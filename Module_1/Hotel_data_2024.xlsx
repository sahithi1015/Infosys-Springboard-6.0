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hit\OneDrive\Documents\Desktop\internships\Infosys springboard 6.0\WEEK1 Assignment\"/>
    </mc:Choice>
  </mc:AlternateContent>
  <xr:revisionPtr revIDLastSave="0" documentId="13_ncr:1_{0E503C85-C81C-4E8B-A725-C3A7E7505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Bookings" sheetId="1" r:id="rId1"/>
    <sheet name="Date" sheetId="2" r:id="rId2"/>
    <sheet name="Room" sheetId="3" r:id="rId3"/>
    <sheet name="Customer" sheetId="4" r:id="rId4"/>
    <sheet name="HotelBran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K3" i="1" a="1"/>
  <c r="K3" i="1" s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 s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 s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 s="1"/>
  <c r="K40" i="1" a="1"/>
  <c r="K40" i="1"/>
  <c r="K41" i="1" a="1"/>
  <c r="K41" i="1" s="1"/>
  <c r="K42" i="1" a="1"/>
  <c r="K42" i="1"/>
  <c r="K43" i="1" a="1"/>
  <c r="K43" i="1"/>
  <c r="K44" i="1" a="1"/>
  <c r="K44" i="1"/>
  <c r="K45" i="1" a="1"/>
  <c r="K45" i="1" s="1"/>
  <c r="K46" i="1" a="1"/>
  <c r="K46" i="1"/>
  <c r="K47" i="1" a="1"/>
  <c r="K47" i="1" s="1"/>
  <c r="K48" i="1" a="1"/>
  <c r="K48" i="1" s="1"/>
  <c r="K49" i="1" a="1"/>
  <c r="K49" i="1" s="1"/>
  <c r="K50" i="1" a="1"/>
  <c r="K50" i="1"/>
  <c r="K51" i="1" a="1"/>
  <c r="K51" i="1" s="1"/>
  <c r="K52" i="1" a="1"/>
  <c r="K52" i="1"/>
  <c r="K53" i="1" a="1"/>
  <c r="K53" i="1"/>
  <c r="K54" i="1" a="1"/>
  <c r="K54" i="1" s="1"/>
  <c r="K55" i="1" a="1"/>
  <c r="K55" i="1"/>
  <c r="K56" i="1" a="1"/>
  <c r="K56" i="1" s="1"/>
  <c r="K57" i="1" a="1"/>
  <c r="K57" i="1" s="1"/>
  <c r="K58" i="1" a="1"/>
  <c r="K58" i="1"/>
  <c r="K59" i="1" a="1"/>
  <c r="K59" i="1"/>
  <c r="K60" i="1" a="1"/>
  <c r="K60" i="1" s="1"/>
  <c r="K61" i="1" a="1"/>
  <c r="K61" i="1" s="1"/>
  <c r="K62" i="1" a="1"/>
  <c r="K62" i="1"/>
  <c r="K63" i="1" a="1"/>
  <c r="K63" i="1" s="1"/>
  <c r="K64" i="1" a="1"/>
  <c r="K64" i="1"/>
  <c r="K65" i="1" a="1"/>
  <c r="K65" i="1"/>
  <c r="K66" i="1" a="1"/>
  <c r="K66" i="1"/>
  <c r="K67" i="1" a="1"/>
  <c r="K67" i="1" s="1"/>
  <c r="K68" i="1" a="1"/>
  <c r="K68" i="1"/>
  <c r="K69" i="1" a="1"/>
  <c r="K69" i="1" s="1"/>
  <c r="K70" i="1" a="1"/>
  <c r="K70" i="1"/>
  <c r="K71" i="1" a="1"/>
  <c r="K71" i="1" s="1"/>
  <c r="K72" i="1" a="1"/>
  <c r="K72" i="1"/>
  <c r="K73" i="1" a="1"/>
  <c r="K73" i="1" s="1"/>
  <c r="K74" i="1" a="1"/>
  <c r="K74" i="1" s="1"/>
  <c r="K75" i="1" a="1"/>
  <c r="K75" i="1" s="1"/>
  <c r="K76" i="1" a="1"/>
  <c r="K76" i="1"/>
  <c r="K77" i="1" a="1"/>
  <c r="K77" i="1"/>
  <c r="K78" i="1" a="1"/>
  <c r="K78" i="1" s="1"/>
  <c r="K79" i="1" a="1"/>
  <c r="K79" i="1"/>
  <c r="K80" i="1" a="1"/>
  <c r="K80" i="1" s="1"/>
  <c r="K81" i="1" a="1"/>
  <c r="K81" i="1" s="1"/>
  <c r="K82" i="1" a="1"/>
  <c r="K82" i="1"/>
  <c r="K83" i="1" a="1"/>
  <c r="K83" i="1"/>
  <c r="K84" i="1" a="1"/>
  <c r="K84" i="1"/>
  <c r="K85" i="1" a="1"/>
  <c r="K85" i="1" s="1"/>
  <c r="K86" i="1" a="1"/>
  <c r="K86" i="1" s="1"/>
  <c r="K87" i="1" a="1"/>
  <c r="K87" i="1" s="1"/>
  <c r="K88" i="1" a="1"/>
  <c r="K88" i="1"/>
  <c r="K89" i="1" a="1"/>
  <c r="K89" i="1"/>
  <c r="K90" i="1" a="1"/>
  <c r="K90" i="1"/>
  <c r="K91" i="1" a="1"/>
  <c r="K91" i="1"/>
  <c r="K92" i="1" a="1"/>
  <c r="K92" i="1" s="1"/>
  <c r="K93" i="1" a="1"/>
  <c r="K93" i="1" s="1"/>
  <c r="K94" i="1" a="1"/>
  <c r="K94" i="1"/>
  <c r="K95" i="1" a="1"/>
  <c r="K95" i="1"/>
  <c r="K96" i="1" a="1"/>
  <c r="K96" i="1" s="1"/>
  <c r="K97" i="1" a="1"/>
  <c r="K97" i="1"/>
  <c r="K98" i="1" a="1"/>
  <c r="K98" i="1"/>
  <c r="K99" i="1" a="1"/>
  <c r="K99" i="1" s="1"/>
  <c r="K100" i="1" a="1"/>
  <c r="K100" i="1"/>
  <c r="K101" i="1" a="1"/>
  <c r="K101" i="1"/>
  <c r="K102" i="1" a="1"/>
  <c r="K102" i="1" s="1"/>
  <c r="K103" i="1" a="1"/>
  <c r="K103" i="1"/>
  <c r="K104" i="1" a="1"/>
  <c r="K104" i="1"/>
  <c r="K105" i="1" a="1"/>
  <c r="K105" i="1" s="1"/>
  <c r="K106" i="1" a="1"/>
  <c r="K106" i="1"/>
  <c r="K107" i="1" a="1"/>
  <c r="K107" i="1" s="1"/>
  <c r="K108" i="1" a="1"/>
  <c r="K108" i="1"/>
  <c r="K109" i="1" a="1"/>
  <c r="K109" i="1" s="1"/>
  <c r="K110" i="1" a="1"/>
  <c r="K110" i="1"/>
  <c r="K111" i="1" a="1"/>
  <c r="K111" i="1" s="1"/>
  <c r="K112" i="1" a="1"/>
  <c r="K112" i="1"/>
  <c r="K113" i="1" a="1"/>
  <c r="K113" i="1" s="1"/>
  <c r="K114" i="1" a="1"/>
  <c r="K114" i="1"/>
  <c r="K115" i="1" a="1"/>
  <c r="K115" i="1"/>
  <c r="K116" i="1" a="1"/>
  <c r="K116" i="1" s="1"/>
  <c r="K117" i="1" a="1"/>
  <c r="K117" i="1" s="1"/>
  <c r="K118" i="1" a="1"/>
  <c r="K118" i="1"/>
  <c r="K119" i="1" a="1"/>
  <c r="K119" i="1" s="1"/>
  <c r="K120" i="1" a="1"/>
  <c r="K120" i="1" s="1"/>
  <c r="K121" i="1" a="1"/>
  <c r="K121" i="1" s="1"/>
  <c r="K122" i="1" a="1"/>
  <c r="K122" i="1"/>
  <c r="K123" i="1" a="1"/>
  <c r="K123" i="1" s="1"/>
  <c r="K124" i="1" a="1"/>
  <c r="K124" i="1"/>
  <c r="K125" i="1" a="1"/>
  <c r="K125" i="1"/>
  <c r="K126" i="1" a="1"/>
  <c r="K126" i="1" s="1"/>
  <c r="K127" i="1" a="1"/>
  <c r="K127" i="1"/>
  <c r="K128" i="1" a="1"/>
  <c r="K128" i="1" s="1"/>
  <c r="K129" i="1" a="1"/>
  <c r="K129" i="1" s="1"/>
  <c r="K130" i="1" a="1"/>
  <c r="K130" i="1"/>
  <c r="K131" i="1" a="1"/>
  <c r="K131" i="1"/>
  <c r="K132" i="1" a="1"/>
  <c r="K132" i="1" s="1"/>
  <c r="K133" i="1" a="1"/>
  <c r="K133" i="1" s="1"/>
  <c r="K134" i="1" a="1"/>
  <c r="K134" i="1"/>
  <c r="K135" i="1" a="1"/>
  <c r="K135" i="1" s="1"/>
  <c r="K136" i="1" a="1"/>
  <c r="K136" i="1" s="1"/>
  <c r="K137" i="1" a="1"/>
  <c r="K137" i="1"/>
  <c r="K138" i="1" a="1"/>
  <c r="K138" i="1"/>
  <c r="K139" i="1" a="1"/>
  <c r="K139" i="1" s="1"/>
  <c r="K140" i="1" a="1"/>
  <c r="K140" i="1"/>
  <c r="K141" i="1" a="1"/>
  <c r="K141" i="1" s="1"/>
  <c r="K142" i="1" a="1"/>
  <c r="K142" i="1"/>
  <c r="K143" i="1" a="1"/>
  <c r="K143" i="1" s="1"/>
  <c r="K144" i="1" a="1"/>
  <c r="K144" i="1"/>
  <c r="K145" i="1" a="1"/>
  <c r="K145" i="1" s="1"/>
  <c r="K146" i="1" a="1"/>
  <c r="K146" i="1" s="1"/>
  <c r="K147" i="1" a="1"/>
  <c r="K147" i="1" s="1"/>
  <c r="K148" i="1" a="1"/>
  <c r="K148" i="1"/>
  <c r="K149" i="1" a="1"/>
  <c r="K149" i="1" s="1"/>
  <c r="K150" i="1" a="1"/>
  <c r="K150" i="1" s="1"/>
  <c r="K151" i="1" a="1"/>
  <c r="K151" i="1"/>
  <c r="K152" i="1" a="1"/>
  <c r="K152" i="1" s="1"/>
  <c r="K153" i="1" a="1"/>
  <c r="K153" i="1" s="1"/>
  <c r="K154" i="1" a="1"/>
  <c r="K154" i="1"/>
  <c r="K155" i="1" a="1"/>
  <c r="K155" i="1"/>
  <c r="K156" i="1" a="1"/>
  <c r="K156" i="1"/>
  <c r="K157" i="1" a="1"/>
  <c r="K157" i="1" s="1"/>
  <c r="K158" i="1" a="1"/>
  <c r="K158" i="1" s="1"/>
  <c r="K159" i="1" a="1"/>
  <c r="K159" i="1" s="1"/>
  <c r="K160" i="1" a="1"/>
  <c r="K160" i="1"/>
  <c r="K161" i="1" a="1"/>
  <c r="K161" i="1"/>
  <c r="K162" i="1" a="1"/>
  <c r="K162" i="1"/>
  <c r="K163" i="1" a="1"/>
  <c r="K163" i="1"/>
  <c r="K164" i="1" a="1"/>
  <c r="K164" i="1" s="1"/>
  <c r="K165" i="1" a="1"/>
  <c r="K165" i="1" s="1"/>
  <c r="K166" i="1" a="1"/>
  <c r="K166" i="1" s="1"/>
  <c r="K167" i="1" a="1"/>
  <c r="K167" i="1"/>
  <c r="K168" i="1" a="1"/>
  <c r="K168" i="1"/>
  <c r="K169" i="1" a="1"/>
  <c r="K169" i="1"/>
  <c r="K170" i="1" a="1"/>
  <c r="K170" i="1"/>
  <c r="K171" i="1" a="1"/>
  <c r="K171" i="1" s="1"/>
  <c r="K172" i="1" a="1"/>
  <c r="K172" i="1" s="1"/>
  <c r="K173" i="1" a="1"/>
  <c r="K173" i="1"/>
  <c r="K174" i="1" a="1"/>
  <c r="K174" i="1"/>
  <c r="K175" i="1" a="1"/>
  <c r="K175" i="1"/>
  <c r="K176" i="1" a="1"/>
  <c r="K176" i="1"/>
  <c r="K177" i="1" a="1"/>
  <c r="K177" i="1" s="1"/>
  <c r="K178" i="1" a="1"/>
  <c r="K178" i="1" s="1"/>
  <c r="K179" i="1" a="1"/>
  <c r="K179" i="1" s="1"/>
  <c r="K180" i="1" a="1"/>
  <c r="K180" i="1" s="1"/>
  <c r="K181" i="1" a="1"/>
  <c r="K181" i="1"/>
  <c r="K182" i="1" a="1"/>
  <c r="K182" i="1"/>
  <c r="K183" i="1" a="1"/>
  <c r="K183" i="1" s="1"/>
  <c r="K184" i="1" a="1"/>
  <c r="K184" i="1"/>
  <c r="K185" i="1" a="1"/>
  <c r="K185" i="1" s="1"/>
  <c r="K186" i="1" a="1"/>
  <c r="K186" i="1"/>
  <c r="K187" i="1" a="1"/>
  <c r="K187" i="1" s="1"/>
  <c r="K188" i="1" a="1"/>
  <c r="K188" i="1"/>
  <c r="K189" i="1" a="1"/>
  <c r="K189" i="1" s="1"/>
  <c r="K190" i="1" a="1"/>
  <c r="K190" i="1"/>
  <c r="K191" i="1" a="1"/>
  <c r="K191" i="1" s="1"/>
  <c r="K192" i="1" a="1"/>
  <c r="K192" i="1" s="1"/>
  <c r="K193" i="1" a="1"/>
  <c r="K193" i="1"/>
  <c r="K194" i="1" a="1"/>
  <c r="K194" i="1" s="1"/>
  <c r="K195" i="1" a="1"/>
  <c r="K195" i="1" s="1"/>
  <c r="K196" i="1" a="1"/>
  <c r="K196" i="1"/>
  <c r="K197" i="1" a="1"/>
  <c r="K197" i="1"/>
  <c r="K198" i="1" a="1"/>
  <c r="K198" i="1" s="1"/>
  <c r="K199" i="1" a="1"/>
  <c r="K199" i="1"/>
  <c r="K200" i="1" a="1"/>
  <c r="K200" i="1"/>
  <c r="K201" i="1" a="1"/>
  <c r="K201" i="1" s="1"/>
  <c r="K202" i="1" a="1"/>
  <c r="K202" i="1" s="1"/>
  <c r="K203" i="1" a="1"/>
  <c r="K203" i="1"/>
  <c r="K204" i="1" a="1"/>
  <c r="K204" i="1" s="1"/>
  <c r="K205" i="1" a="1"/>
  <c r="K205" i="1" s="1"/>
  <c r="K206" i="1" a="1"/>
  <c r="K206" i="1"/>
  <c r="K207" i="1" a="1"/>
  <c r="K207" i="1" s="1"/>
  <c r="K208" i="1" a="1"/>
  <c r="K208" i="1"/>
  <c r="K209" i="1" a="1"/>
  <c r="K209" i="1" s="1"/>
  <c r="K210" i="1" a="1"/>
  <c r="K210" i="1"/>
  <c r="K211" i="1" a="1"/>
  <c r="K211" i="1" s="1"/>
  <c r="K212" i="1" a="1"/>
  <c r="K212" i="1"/>
  <c r="K213" i="1" a="1"/>
  <c r="K213" i="1" s="1"/>
  <c r="K214" i="1" a="1"/>
  <c r="K214" i="1"/>
  <c r="K215" i="1" a="1"/>
  <c r="K215" i="1"/>
  <c r="K216" i="1" a="1"/>
  <c r="K216" i="1" s="1"/>
  <c r="K217" i="1" a="1"/>
  <c r="K217" i="1" s="1"/>
  <c r="K218" i="1" a="1"/>
  <c r="K218" i="1" s="1"/>
  <c r="K219" i="1" a="1"/>
  <c r="K219" i="1" s="1"/>
  <c r="K220" i="1" a="1"/>
  <c r="K220" i="1"/>
  <c r="K221" i="1" a="1"/>
  <c r="K221" i="1" s="1"/>
  <c r="K222" i="1" a="1"/>
  <c r="K222" i="1" s="1"/>
  <c r="K223" i="1" a="1"/>
  <c r="K223" i="1"/>
  <c r="K224" i="1" a="1"/>
  <c r="K224" i="1" s="1"/>
  <c r="K225" i="1" a="1"/>
  <c r="K225" i="1" s="1"/>
  <c r="K226" i="1" a="1"/>
  <c r="K226" i="1"/>
  <c r="K227" i="1" a="1"/>
  <c r="K227" i="1"/>
  <c r="K228" i="1" a="1"/>
  <c r="K228" i="1" s="1"/>
  <c r="K229" i="1" a="1"/>
  <c r="K229" i="1" s="1"/>
  <c r="K230" i="1" a="1"/>
  <c r="K230" i="1" s="1"/>
  <c r="K231" i="1" a="1"/>
  <c r="K231" i="1" s="1"/>
  <c r="K232" i="1" a="1"/>
  <c r="K232" i="1"/>
  <c r="K233" i="1" a="1"/>
  <c r="K233" i="1"/>
  <c r="K234" i="1" a="1"/>
  <c r="K234" i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/>
  <c r="K241" i="1" a="1"/>
  <c r="K241" i="1"/>
  <c r="K242" i="1" a="1"/>
  <c r="K242" i="1"/>
  <c r="K243" i="1" a="1"/>
  <c r="K243" i="1" s="1"/>
  <c r="K244" i="1" a="1"/>
  <c r="K244" i="1" s="1"/>
  <c r="K245" i="1" a="1"/>
  <c r="K245" i="1"/>
  <c r="K246" i="1" a="1"/>
  <c r="K246" i="1" s="1"/>
  <c r="K247" i="1" a="1"/>
  <c r="K247" i="1"/>
  <c r="K248" i="1" a="1"/>
  <c r="K248" i="1"/>
  <c r="K249" i="1" a="1"/>
  <c r="K249" i="1" s="1"/>
  <c r="K250" i="1" a="1"/>
  <c r="K250" i="1" s="1"/>
  <c r="K251" i="1" a="1"/>
  <c r="K251" i="1" s="1"/>
  <c r="K252" i="1" a="1"/>
  <c r="K252" i="1"/>
  <c r="K253" i="1" a="1"/>
  <c r="K253" i="1" s="1"/>
  <c r="K254" i="1" a="1"/>
  <c r="K254" i="1"/>
  <c r="K255" i="1" a="1"/>
  <c r="K255" i="1" s="1"/>
  <c r="K256" i="1" a="1"/>
  <c r="K256" i="1"/>
  <c r="K257" i="1" a="1"/>
  <c r="K257" i="1" s="1"/>
  <c r="K258" i="1" a="1"/>
  <c r="K258" i="1"/>
  <c r="K259" i="1" a="1"/>
  <c r="K259" i="1" s="1"/>
  <c r="K260" i="1" a="1"/>
  <c r="K260" i="1" s="1"/>
  <c r="K261" i="1" a="1"/>
  <c r="K261" i="1" s="1"/>
  <c r="K262" i="1" a="1"/>
  <c r="K262" i="1"/>
  <c r="K263" i="1" a="1"/>
  <c r="K263" i="1" s="1"/>
  <c r="K264" i="1" a="1"/>
  <c r="K264" i="1" s="1"/>
  <c r="K265" i="1" a="1"/>
  <c r="K265" i="1"/>
  <c r="K266" i="1" a="1"/>
  <c r="K266" i="1"/>
  <c r="K267" i="1" a="1"/>
  <c r="K267" i="1" s="1"/>
  <c r="K268" i="1" a="1"/>
  <c r="K268" i="1" s="1"/>
  <c r="K269" i="1" a="1"/>
  <c r="K269" i="1"/>
  <c r="K270" i="1" a="1"/>
  <c r="K270" i="1" s="1"/>
  <c r="K271" i="1" a="1"/>
  <c r="K271" i="1"/>
  <c r="K272" i="1" a="1"/>
  <c r="K272" i="1"/>
  <c r="K273" i="1" a="1"/>
  <c r="K273" i="1" s="1"/>
  <c r="K274" i="1" a="1"/>
  <c r="K274" i="1"/>
  <c r="K275" i="1" a="1"/>
  <c r="K275" i="1" s="1"/>
  <c r="K276" i="1" a="1"/>
  <c r="K276" i="1" s="1"/>
  <c r="K277" i="1" a="1"/>
  <c r="K277" i="1" s="1"/>
  <c r="K278" i="1" a="1"/>
  <c r="K278" i="1"/>
  <c r="K279" i="1" a="1"/>
  <c r="K279" i="1" s="1"/>
  <c r="K280" i="1" a="1"/>
  <c r="K280" i="1"/>
  <c r="K281" i="1" a="1"/>
  <c r="K281" i="1"/>
  <c r="K282" i="1" a="1"/>
  <c r="K282" i="1"/>
  <c r="K283" i="1" a="1"/>
  <c r="K283" i="1" s="1"/>
  <c r="K284" i="1" a="1"/>
  <c r="K284" i="1"/>
  <c r="K285" i="1" a="1"/>
  <c r="K285" i="1" s="1"/>
  <c r="K286" i="1" a="1"/>
  <c r="K286" i="1"/>
  <c r="K287" i="1" a="1"/>
  <c r="K287" i="1"/>
  <c r="K288" i="1" a="1"/>
  <c r="K288" i="1"/>
  <c r="K289" i="1" a="1"/>
  <c r="K289" i="1" s="1"/>
  <c r="K290" i="1" a="1"/>
  <c r="K290" i="1" s="1"/>
  <c r="K291" i="1" a="1"/>
  <c r="K291" i="1" s="1"/>
  <c r="K292" i="1" a="1"/>
  <c r="K292" i="1"/>
  <c r="K293" i="1" a="1"/>
  <c r="K293" i="1"/>
  <c r="K294" i="1" a="1"/>
  <c r="K294" i="1"/>
  <c r="K295" i="1" a="1"/>
  <c r="K295" i="1"/>
  <c r="K296" i="1" a="1"/>
  <c r="K296" i="1" s="1"/>
  <c r="K297" i="1" a="1"/>
  <c r="K297" i="1" s="1"/>
  <c r="K298" i="1" a="1"/>
  <c r="K298" i="1" s="1"/>
  <c r="K299" i="1" a="1"/>
  <c r="K299" i="1"/>
  <c r="K300" i="1" a="1"/>
  <c r="K300" i="1" s="1"/>
  <c r="K301" i="1" a="1"/>
  <c r="K301" i="1"/>
  <c r="K302" i="1" a="1"/>
  <c r="K302" i="1" s="1"/>
  <c r="K303" i="1" a="1"/>
  <c r="K303" i="1" s="1"/>
  <c r="K304" i="1" a="1"/>
  <c r="K304" i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/>
  <c r="K312" i="1" a="1"/>
  <c r="K312" i="1" s="1"/>
  <c r="K313" i="1" a="1"/>
  <c r="K313" i="1" s="1"/>
  <c r="K314" i="1" a="1"/>
  <c r="K314" i="1"/>
  <c r="K315" i="1" a="1"/>
  <c r="K315" i="1" s="1"/>
  <c r="K316" i="1" a="1"/>
  <c r="K316" i="1" s="1"/>
  <c r="K317" i="1" a="1"/>
  <c r="K317" i="1"/>
  <c r="K318" i="1" a="1"/>
  <c r="K318" i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/>
  <c r="K325" i="1" a="1"/>
  <c r="K325" i="1"/>
  <c r="K326" i="1" a="1"/>
  <c r="K326" i="1"/>
  <c r="K327" i="1" a="1"/>
  <c r="K327" i="1" s="1"/>
  <c r="K328" i="1" a="1"/>
  <c r="K328" i="1" s="1"/>
  <c r="K329" i="1" a="1"/>
  <c r="K329" i="1" s="1"/>
  <c r="K330" i="1" a="1"/>
  <c r="K330" i="1"/>
  <c r="K331" i="1" a="1"/>
  <c r="K331" i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/>
  <c r="K338" i="1" a="1"/>
  <c r="K338" i="1"/>
  <c r="K339" i="1" a="1"/>
  <c r="K339" i="1" s="1"/>
  <c r="K340" i="1" a="1"/>
  <c r="K340" i="1"/>
  <c r="K341" i="1" a="1"/>
  <c r="K341" i="1"/>
  <c r="K342" i="1" a="1"/>
  <c r="K342" i="1" s="1"/>
  <c r="K343" i="1" a="1"/>
  <c r="K343" i="1"/>
  <c r="K344" i="1" a="1"/>
  <c r="K344" i="1"/>
  <c r="K345" i="1" a="1"/>
  <c r="K345" i="1" s="1"/>
  <c r="K346" i="1" a="1"/>
  <c r="K346" i="1"/>
  <c r="K347" i="1" a="1"/>
  <c r="K347" i="1"/>
  <c r="K348" i="1" a="1"/>
  <c r="K348" i="1" s="1"/>
  <c r="K349" i="1" a="1"/>
  <c r="K349" i="1" s="1"/>
  <c r="K350" i="1" a="1"/>
  <c r="K350" i="1" s="1"/>
  <c r="K351" i="1" a="1"/>
  <c r="K351" i="1" s="1"/>
  <c r="K352" i="1" a="1"/>
  <c r="K352" i="1"/>
  <c r="K353" i="1" a="1"/>
  <c r="K353" i="1"/>
  <c r="K354" i="1" a="1"/>
  <c r="K354" i="1"/>
  <c r="K355" i="1" a="1"/>
  <c r="K355" i="1" s="1"/>
  <c r="K356" i="1" a="1"/>
  <c r="K356" i="1"/>
  <c r="K357" i="1" a="1"/>
  <c r="K357" i="1" s="1"/>
  <c r="K358" i="1" a="1"/>
  <c r="K358" i="1" s="1"/>
  <c r="K359" i="1" a="1"/>
  <c r="K359" i="1"/>
  <c r="K360" i="1" a="1"/>
  <c r="K360" i="1"/>
  <c r="K361" i="1" a="1"/>
  <c r="K361" i="1" s="1"/>
  <c r="K362" i="1" a="1"/>
  <c r="K362" i="1" s="1"/>
  <c r="K363" i="1" a="1"/>
  <c r="K363" i="1" s="1"/>
  <c r="K364" i="1" a="1"/>
  <c r="K364" i="1"/>
  <c r="K365" i="1" a="1"/>
  <c r="K365" i="1" s="1"/>
  <c r="K366" i="1" a="1"/>
  <c r="K366" i="1"/>
  <c r="K367" i="1" a="1"/>
  <c r="K367" i="1"/>
  <c r="K368" i="1" a="1"/>
  <c r="K368" i="1" s="1"/>
  <c r="K369" i="1" a="1"/>
  <c r="K369" i="1" s="1"/>
  <c r="K370" i="1" a="1"/>
  <c r="K370" i="1"/>
  <c r="K371" i="1" a="1"/>
  <c r="K371" i="1"/>
  <c r="K372" i="1" a="1"/>
  <c r="K372" i="1" s="1"/>
  <c r="K373" i="1" a="1"/>
  <c r="K373" i="1"/>
  <c r="K374" i="1" a="1"/>
  <c r="K374" i="1" s="1"/>
  <c r="K375" i="1" a="1"/>
  <c r="K375" i="1" s="1"/>
  <c r="K376" i="1" a="1"/>
  <c r="K376" i="1"/>
  <c r="K377" i="1" a="1"/>
  <c r="K377" i="1"/>
  <c r="K378" i="1" a="1"/>
  <c r="K378" i="1"/>
  <c r="K379" i="1" a="1"/>
  <c r="K379" i="1" s="1"/>
  <c r="K380" i="1" a="1"/>
  <c r="K380" i="1"/>
  <c r="K381" i="1" a="1"/>
  <c r="K381" i="1" s="1"/>
  <c r="K382" i="1" a="1"/>
  <c r="K382" i="1" s="1"/>
  <c r="K383" i="1" a="1"/>
  <c r="K383" i="1"/>
  <c r="K384" i="1" a="1"/>
  <c r="K384" i="1"/>
  <c r="K385" i="1" a="1"/>
  <c r="K385" i="1"/>
  <c r="K386" i="1" a="1"/>
  <c r="K386" i="1" s="1"/>
  <c r="K387" i="1" a="1"/>
  <c r="K387" i="1" s="1"/>
  <c r="K388" i="1" a="1"/>
  <c r="K388" i="1" s="1"/>
  <c r="K389" i="1" a="1"/>
  <c r="K389" i="1"/>
  <c r="K390" i="1" a="1"/>
  <c r="K390" i="1"/>
  <c r="K391" i="1" a="1"/>
  <c r="K391" i="1"/>
  <c r="K392" i="1" a="1"/>
  <c r="K392" i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/>
  <c r="K399" i="1" a="1"/>
  <c r="K399" i="1" s="1"/>
  <c r="K400" i="1" a="1"/>
  <c r="K400" i="1"/>
  <c r="K401" i="1" a="1"/>
  <c r="K401" i="1" s="1"/>
  <c r="K402" i="1" a="1"/>
  <c r="K402" i="1"/>
  <c r="K403" i="1" a="1"/>
  <c r="K403" i="1" s="1"/>
  <c r="K404" i="1" a="1"/>
  <c r="K404" i="1" s="1"/>
  <c r="K405" i="1" a="1"/>
  <c r="K405" i="1" s="1"/>
  <c r="K406" i="1" a="1"/>
  <c r="K406" i="1"/>
  <c r="K407" i="1" a="1"/>
  <c r="K407" i="1" s="1"/>
  <c r="K408" i="1" a="1"/>
  <c r="K408" i="1" s="1"/>
  <c r="K409" i="1" a="1"/>
  <c r="K409" i="1" s="1"/>
  <c r="K410" i="1" a="1"/>
  <c r="K410" i="1"/>
  <c r="K411" i="1" a="1"/>
  <c r="K411" i="1" s="1"/>
  <c r="K412" i="1" a="1"/>
  <c r="K412" i="1"/>
  <c r="K413" i="1" a="1"/>
  <c r="K413" i="1"/>
  <c r="K414" i="1" a="1"/>
  <c r="K414" i="1" s="1"/>
  <c r="K415" i="1" a="1"/>
  <c r="K415" i="1"/>
  <c r="K416" i="1" a="1"/>
  <c r="K416" i="1" s="1"/>
  <c r="K417" i="1" a="1"/>
  <c r="K417" i="1" s="1"/>
  <c r="K418" i="1" a="1"/>
  <c r="K418" i="1"/>
  <c r="K419" i="1" a="1"/>
  <c r="K419" i="1" s="1"/>
  <c r="K420" i="1" a="1"/>
  <c r="K420" i="1" s="1"/>
  <c r="K421" i="1" a="1"/>
  <c r="K421" i="1" s="1"/>
  <c r="K422" i="1" a="1"/>
  <c r="K422" i="1"/>
  <c r="K423" i="1" a="1"/>
  <c r="K423" i="1" s="1"/>
  <c r="K424" i="1" a="1"/>
  <c r="K424" i="1" s="1"/>
  <c r="K425" i="1" a="1"/>
  <c r="K425" i="1"/>
  <c r="K426" i="1" a="1"/>
  <c r="K426" i="1"/>
  <c r="K427" i="1" a="1"/>
  <c r="K427" i="1" s="1"/>
  <c r="K428" i="1" a="1"/>
  <c r="K428" i="1"/>
  <c r="K429" i="1" a="1"/>
  <c r="K429" i="1" s="1"/>
  <c r="K430" i="1" a="1"/>
  <c r="K430" i="1"/>
  <c r="K431" i="1" a="1"/>
  <c r="K431" i="1" s="1"/>
  <c r="K432" i="1" a="1"/>
  <c r="K432" i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/>
  <c r="K440" i="1" a="1"/>
  <c r="K440" i="1" s="1"/>
  <c r="K441" i="1" a="1"/>
  <c r="K441" i="1" s="1"/>
  <c r="K442" i="1" a="1"/>
  <c r="K442" i="1"/>
  <c r="K443" i="1" a="1"/>
  <c r="K443" i="1"/>
  <c r="K444" i="1" a="1"/>
  <c r="K444" i="1"/>
  <c r="K445" i="1" a="1"/>
  <c r="K445" i="1" s="1"/>
  <c r="K446" i="1" a="1"/>
  <c r="K446" i="1" s="1"/>
  <c r="K447" i="1" a="1"/>
  <c r="K447" i="1" s="1"/>
  <c r="K448" i="1" a="1"/>
  <c r="K448" i="1"/>
  <c r="K449" i="1" a="1"/>
  <c r="K449" i="1"/>
  <c r="K450" i="1" a="1"/>
  <c r="K450" i="1"/>
  <c r="K451" i="1" a="1"/>
  <c r="K451" i="1" s="1"/>
  <c r="K452" i="1" a="1"/>
  <c r="K452" i="1" s="1"/>
  <c r="K453" i="1" a="1"/>
  <c r="K453" i="1" s="1"/>
  <c r="K454" i="1" a="1"/>
  <c r="K454" i="1" s="1"/>
  <c r="K455" i="1" a="1"/>
  <c r="K455" i="1"/>
  <c r="K456" i="1" a="1"/>
  <c r="K456" i="1"/>
  <c r="K457" i="1" a="1"/>
  <c r="K457" i="1"/>
  <c r="K458" i="1" a="1"/>
  <c r="K458" i="1"/>
  <c r="K459" i="1" a="1"/>
  <c r="K459" i="1" s="1"/>
  <c r="K460" i="1" a="1"/>
  <c r="K460" i="1" s="1"/>
  <c r="K461" i="1" a="1"/>
  <c r="K461" i="1"/>
  <c r="K462" i="1" a="1"/>
  <c r="K462" i="1"/>
  <c r="K463" i="1" a="1"/>
  <c r="K463" i="1"/>
  <c r="K464" i="1" a="1"/>
  <c r="K464" i="1"/>
  <c r="K465" i="1" a="1"/>
  <c r="K465" i="1" s="1"/>
  <c r="K466" i="1" a="1"/>
  <c r="K466" i="1" s="1"/>
  <c r="K467" i="1" a="1"/>
  <c r="K467" i="1" s="1"/>
  <c r="K468" i="1" a="1"/>
  <c r="K468" i="1" s="1"/>
  <c r="K469" i="1" a="1"/>
  <c r="K469" i="1"/>
  <c r="K470" i="1" a="1"/>
  <c r="K470" i="1"/>
  <c r="K471" i="1" a="1"/>
  <c r="K471" i="1" s="1"/>
  <c r="K472" i="1" a="1"/>
  <c r="K472" i="1"/>
  <c r="K473" i="1" a="1"/>
  <c r="K473" i="1" s="1"/>
  <c r="K474" i="1" a="1"/>
  <c r="K474" i="1"/>
  <c r="K475" i="1" a="1"/>
  <c r="K475" i="1" s="1"/>
  <c r="K476" i="1" a="1"/>
  <c r="K476" i="1"/>
  <c r="K477" i="1" a="1"/>
  <c r="K477" i="1" s="1"/>
  <c r="K478" i="1" a="1"/>
  <c r="K478" i="1"/>
  <c r="K479" i="1" a="1"/>
  <c r="K479" i="1" s="1"/>
  <c r="K480" i="1" a="1"/>
  <c r="K480" i="1" s="1"/>
  <c r="K481" i="1" a="1"/>
  <c r="K481" i="1"/>
  <c r="K482" i="1" a="1"/>
  <c r="K482" i="1" s="1"/>
  <c r="K483" i="1" a="1"/>
  <c r="K483" i="1" s="1"/>
  <c r="K484" i="1" a="1"/>
  <c r="K484" i="1"/>
  <c r="K485" i="1" a="1"/>
  <c r="K485" i="1"/>
  <c r="K486" i="1" a="1"/>
  <c r="K486" i="1" s="1"/>
  <c r="K487" i="1" a="1"/>
  <c r="K487" i="1"/>
  <c r="K488" i="1" a="1"/>
  <c r="K488" i="1"/>
  <c r="K489" i="1" a="1"/>
  <c r="K489" i="1" s="1"/>
  <c r="K490" i="1" a="1"/>
  <c r="K490" i="1" s="1"/>
  <c r="K491" i="1" a="1"/>
  <c r="K491" i="1"/>
  <c r="K492" i="1" a="1"/>
  <c r="K492" i="1" s="1"/>
  <c r="K493" i="1" a="1"/>
  <c r="K493" i="1" s="1"/>
  <c r="K494" i="1" a="1"/>
  <c r="K494" i="1"/>
  <c r="K495" i="1" a="1"/>
  <c r="K495" i="1" s="1"/>
  <c r="K496" i="1" a="1"/>
  <c r="K496" i="1"/>
  <c r="K497" i="1" a="1"/>
  <c r="K497" i="1" s="1"/>
  <c r="K498" i="1" a="1"/>
  <c r="K498" i="1"/>
  <c r="K499" i="1" a="1"/>
  <c r="K499" i="1" s="1"/>
  <c r="K500" i="1" a="1"/>
  <c r="K500" i="1"/>
  <c r="K501" i="1" a="1"/>
  <c r="K501" i="1" s="1"/>
  <c r="K502" i="1" a="1"/>
  <c r="K502" i="1"/>
  <c r="K503" i="1" a="1"/>
  <c r="K503" i="1"/>
  <c r="K504" i="1" a="1"/>
  <c r="K504" i="1" s="1"/>
  <c r="K505" i="1" a="1"/>
  <c r="K505" i="1"/>
  <c r="K506" i="1" a="1"/>
  <c r="K506" i="1" s="1"/>
  <c r="K507" i="1" a="1"/>
  <c r="K507" i="1" s="1"/>
  <c r="K508" i="1" a="1"/>
  <c r="K508" i="1" s="1"/>
  <c r="K509" i="1" a="1"/>
  <c r="K509" i="1"/>
  <c r="K510" i="1" a="1"/>
  <c r="K510" i="1"/>
  <c r="K511" i="1" a="1"/>
  <c r="K511" i="1" s="1"/>
  <c r="K512" i="1" a="1"/>
  <c r="K512" i="1" s="1"/>
  <c r="K513" i="1" a="1"/>
  <c r="K513" i="1" s="1"/>
  <c r="K514" i="1" a="1"/>
  <c r="K514" i="1"/>
  <c r="K515" i="1" a="1"/>
  <c r="K515" i="1"/>
  <c r="K516" i="1" a="1"/>
  <c r="K516" i="1"/>
  <c r="K517" i="1" a="1"/>
  <c r="K517" i="1"/>
  <c r="K518" i="1" a="1"/>
  <c r="K518" i="1" s="1"/>
  <c r="K519" i="1" a="1"/>
  <c r="K519" i="1" s="1"/>
  <c r="K520" i="1" a="1"/>
  <c r="K520" i="1"/>
  <c r="K521" i="1" a="1"/>
  <c r="K521" i="1"/>
  <c r="K522" i="1" a="1"/>
  <c r="K522" i="1"/>
  <c r="K523" i="1" a="1"/>
  <c r="K523" i="1"/>
  <c r="K524" i="1" a="1"/>
  <c r="K524" i="1" s="1"/>
  <c r="K525" i="1" a="1"/>
  <c r="K525" i="1" s="1"/>
  <c r="K526" i="1" a="1"/>
  <c r="K526" i="1" s="1"/>
  <c r="K527" i="1" a="1"/>
  <c r="K527" i="1"/>
  <c r="K528" i="1" a="1"/>
  <c r="K528" i="1"/>
  <c r="K529" i="1" a="1"/>
  <c r="K529" i="1" s="1"/>
  <c r="K530" i="1" a="1"/>
  <c r="K530" i="1" s="1"/>
  <c r="K531" i="1" a="1"/>
  <c r="K531" i="1" s="1"/>
  <c r="K532" i="1" a="1"/>
  <c r="K532" i="1" s="1"/>
  <c r="K533" i="1" a="1"/>
  <c r="K533" i="1"/>
  <c r="K534" i="1" a="1"/>
  <c r="K534" i="1"/>
  <c r="K535" i="1" a="1"/>
  <c r="K535" i="1"/>
  <c r="K536" i="1" a="1"/>
  <c r="K536" i="1" s="1"/>
  <c r="K537" i="1" a="1"/>
  <c r="K537" i="1" s="1"/>
  <c r="K538" i="1" a="1"/>
  <c r="K538" i="1" s="1"/>
  <c r="K539" i="1" a="1"/>
  <c r="K539" i="1"/>
  <c r="K540" i="1" a="1"/>
  <c r="K540" i="1"/>
  <c r="K541" i="1" a="1"/>
  <c r="K541" i="1"/>
  <c r="K542" i="1" a="1"/>
  <c r="K542" i="1"/>
  <c r="K543" i="1" a="1"/>
  <c r="K543" i="1"/>
  <c r="K544" i="1" a="1"/>
  <c r="K544" i="1" s="1"/>
  <c r="K545" i="1" a="1"/>
  <c r="K545" i="1" s="1"/>
  <c r="K546" i="1" a="1"/>
  <c r="K546" i="1"/>
  <c r="K547" i="1" a="1"/>
  <c r="K547" i="1"/>
  <c r="K548" i="1" a="1"/>
  <c r="K548" i="1"/>
  <c r="K549" i="1" a="1"/>
  <c r="K549" i="1"/>
  <c r="K550" i="1" a="1"/>
  <c r="K550" i="1" s="1"/>
  <c r="K551" i="1" a="1"/>
  <c r="K551" i="1" s="1"/>
  <c r="K552" i="1" a="1"/>
  <c r="K552" i="1"/>
  <c r="K553" i="1" a="1"/>
  <c r="K553" i="1"/>
  <c r="K554" i="1" a="1"/>
  <c r="K554" i="1"/>
  <c r="K555" i="1" a="1"/>
  <c r="K555" i="1"/>
  <c r="K556" i="1" a="1"/>
  <c r="K556" i="1" s="1"/>
  <c r="K557" i="1" a="1"/>
  <c r="K557" i="1" s="1"/>
  <c r="K558" i="1" a="1"/>
  <c r="K558" i="1" s="1"/>
  <c r="K559" i="1" a="1"/>
  <c r="K559" i="1"/>
  <c r="K560" i="1" a="1"/>
  <c r="K560" i="1"/>
  <c r="K561" i="1" a="1"/>
  <c r="K561" i="1"/>
  <c r="K562" i="1" a="1"/>
  <c r="K562" i="1" s="1"/>
  <c r="K563" i="1" a="1"/>
  <c r="K563" i="1"/>
  <c r="K564" i="1" a="1"/>
  <c r="K564" i="1" s="1"/>
  <c r="K565" i="1" a="1"/>
  <c r="K565" i="1"/>
  <c r="K566" i="1" a="1"/>
  <c r="K566" i="1"/>
  <c r="K567" i="1" a="1"/>
  <c r="K567" i="1"/>
  <c r="K568" i="1" a="1"/>
  <c r="K568" i="1" s="1"/>
  <c r="K569" i="1" a="1"/>
  <c r="K569" i="1"/>
  <c r="K570" i="1" a="1"/>
  <c r="K570" i="1"/>
  <c r="K571" i="1" a="1"/>
  <c r="K571" i="1" s="1"/>
  <c r="K572" i="1" a="1"/>
  <c r="K572" i="1"/>
  <c r="K573" i="1" a="1"/>
  <c r="K573" i="1"/>
  <c r="K574" i="1" a="1"/>
  <c r="K574" i="1" s="1"/>
  <c r="K575" i="1" a="1"/>
  <c r="K575" i="1"/>
  <c r="K576" i="1" a="1"/>
  <c r="K576" i="1"/>
  <c r="K577" i="1" a="1"/>
  <c r="K577" i="1" s="1"/>
  <c r="K578" i="1" a="1"/>
  <c r="K578" i="1"/>
  <c r="K579" i="1" a="1"/>
  <c r="K579" i="1"/>
  <c r="K580" i="1" a="1"/>
  <c r="K580" i="1" s="1"/>
  <c r="K581" i="1" a="1"/>
  <c r="K581" i="1"/>
  <c r="K582" i="1" a="1"/>
  <c r="K582" i="1"/>
  <c r="K583" i="1" a="1"/>
  <c r="K583" i="1"/>
  <c r="K584" i="1" a="1"/>
  <c r="K584" i="1" s="1"/>
  <c r="K585" i="1" a="1"/>
  <c r="K585" i="1"/>
  <c r="K586" i="1" a="1"/>
  <c r="K586" i="1" s="1"/>
  <c r="K587" i="1" a="1"/>
  <c r="K587" i="1" s="1"/>
  <c r="K588" i="1" a="1"/>
  <c r="K588" i="1"/>
  <c r="K589" i="1" a="1"/>
  <c r="K589" i="1"/>
  <c r="K590" i="1" a="1"/>
  <c r="K590" i="1" s="1"/>
  <c r="K591" i="1" a="1"/>
  <c r="K591" i="1"/>
  <c r="K592" i="1" a="1"/>
  <c r="K592" i="1" s="1"/>
  <c r="K593" i="1" a="1"/>
  <c r="K593" i="1" s="1"/>
  <c r="K594" i="1" a="1"/>
  <c r="K594" i="1" s="1"/>
  <c r="K595" i="1" a="1"/>
  <c r="K595" i="1"/>
  <c r="K596" i="1" a="1"/>
  <c r="K596" i="1"/>
  <c r="K597" i="1" a="1"/>
  <c r="K597" i="1" s="1"/>
  <c r="K598" i="1" a="1"/>
  <c r="K598" i="1" s="1"/>
  <c r="K599" i="1" a="1"/>
  <c r="K599" i="1"/>
  <c r="K600" i="1" a="1"/>
  <c r="K600" i="1" s="1"/>
  <c r="K601" i="1" a="1"/>
  <c r="K601" i="1" s="1"/>
  <c r="K602" i="1" a="1"/>
  <c r="K602" i="1"/>
  <c r="K603" i="1" a="1"/>
  <c r="K603" i="1" s="1"/>
  <c r="K604" i="1" a="1"/>
  <c r="K604" i="1" s="1"/>
  <c r="K605" i="1" a="1"/>
  <c r="K605" i="1"/>
  <c r="K606" i="1" a="1"/>
  <c r="K606" i="1"/>
  <c r="K607" i="1" a="1"/>
  <c r="K607" i="1" s="1"/>
  <c r="K608" i="1" a="1"/>
  <c r="K608" i="1" s="1"/>
  <c r="K609" i="1" a="1"/>
  <c r="K609" i="1"/>
  <c r="K610" i="1" a="1"/>
  <c r="K610" i="1" s="1"/>
  <c r="K611" i="1" a="1"/>
  <c r="K611" i="1"/>
  <c r="K612" i="1" a="1"/>
  <c r="K612" i="1"/>
  <c r="K613" i="1" a="1"/>
  <c r="K613" i="1"/>
  <c r="K614" i="1" a="1"/>
  <c r="K614" i="1"/>
  <c r="K615" i="1" a="1"/>
  <c r="K615" i="1"/>
  <c r="K616" i="1" a="1"/>
  <c r="K616" i="1" s="1"/>
  <c r="K617" i="1" a="1"/>
  <c r="K617" i="1" s="1"/>
  <c r="K618" i="1" a="1"/>
  <c r="K618" i="1"/>
  <c r="K619" i="1" a="1"/>
  <c r="K619" i="1"/>
  <c r="K620" i="1" a="1"/>
  <c r="K620" i="1"/>
  <c r="K621" i="1" a="1"/>
  <c r="K621" i="1"/>
  <c r="K622" i="1" a="1"/>
  <c r="K622" i="1" s="1"/>
  <c r="K623" i="1" a="1"/>
  <c r="K623" i="1" s="1"/>
  <c r="K624" i="1" a="1"/>
  <c r="K624" i="1"/>
  <c r="K625" i="1" a="1"/>
  <c r="K625" i="1"/>
  <c r="K626" i="1" a="1"/>
  <c r="K626" i="1"/>
  <c r="K627" i="1" a="1"/>
  <c r="K627" i="1"/>
  <c r="K628" i="1" a="1"/>
  <c r="K628" i="1" s="1"/>
  <c r="K629" i="1" a="1"/>
  <c r="K629" i="1" s="1"/>
  <c r="K630" i="1" a="1"/>
  <c r="K630" i="1" s="1"/>
  <c r="K631" i="1" a="1"/>
  <c r="K631" i="1"/>
  <c r="K632" i="1" a="1"/>
  <c r="K632" i="1"/>
  <c r="K633" i="1" a="1"/>
  <c r="K633" i="1"/>
  <c r="K634" i="1" a="1"/>
  <c r="K634" i="1" s="1"/>
  <c r="K635" i="1" a="1"/>
  <c r="K635" i="1" s="1"/>
  <c r="K636" i="1" a="1"/>
  <c r="K636" i="1" s="1"/>
  <c r="K637" i="1" a="1"/>
  <c r="K637" i="1"/>
  <c r="K638" i="1" a="1"/>
  <c r="K638" i="1"/>
  <c r="K639" i="1" a="1"/>
  <c r="K639" i="1"/>
  <c r="K640" i="1" a="1"/>
  <c r="K640" i="1" s="1"/>
  <c r="K641" i="1" a="1"/>
  <c r="K641" i="1"/>
  <c r="K642" i="1" a="1"/>
  <c r="K642" i="1" s="1"/>
  <c r="K643" i="1" a="1"/>
  <c r="K643" i="1" s="1"/>
  <c r="K644" i="1" a="1"/>
  <c r="K644" i="1"/>
  <c r="K645" i="1" a="1"/>
  <c r="K645" i="1"/>
  <c r="K646" i="1" a="1"/>
  <c r="K646" i="1" s="1"/>
  <c r="K647" i="1" a="1"/>
  <c r="K647" i="1"/>
  <c r="K648" i="1" a="1"/>
  <c r="K648" i="1"/>
  <c r="K649" i="1" a="1"/>
  <c r="K649" i="1" s="1"/>
  <c r="K650" i="1" a="1"/>
  <c r="K650" i="1"/>
  <c r="K651" i="1" a="1"/>
  <c r="K651" i="1"/>
  <c r="K652" i="1" a="1"/>
  <c r="K652" i="1" s="1"/>
  <c r="K653" i="1" a="1"/>
  <c r="K653" i="1"/>
  <c r="K654" i="1" a="1"/>
  <c r="K654" i="1"/>
  <c r="K655" i="1" a="1"/>
  <c r="K655" i="1"/>
  <c r="K656" i="1" a="1"/>
  <c r="K656" i="1" s="1"/>
  <c r="K657" i="1" a="1"/>
  <c r="K657" i="1"/>
  <c r="K658" i="1" a="1"/>
  <c r="K658" i="1" s="1"/>
  <c r="K659" i="1" a="1"/>
  <c r="K659" i="1"/>
  <c r="K660" i="1" a="1"/>
  <c r="K660" i="1"/>
  <c r="K661" i="1" a="1"/>
  <c r="K661" i="1"/>
  <c r="K662" i="1" a="1"/>
  <c r="K662" i="1" s="1"/>
  <c r="K663" i="1" a="1"/>
  <c r="K663" i="1"/>
  <c r="K664" i="1" a="1"/>
  <c r="K664" i="1" s="1"/>
  <c r="K665" i="1" a="1"/>
  <c r="K665" i="1" s="1"/>
  <c r="K666" i="1" a="1"/>
  <c r="K666" i="1"/>
  <c r="K667" i="1" a="1"/>
  <c r="K667" i="1"/>
  <c r="K668" i="1" a="1"/>
  <c r="K668" i="1"/>
  <c r="K669" i="1" a="1"/>
  <c r="K669" i="1" s="1"/>
  <c r="K670" i="1" a="1"/>
  <c r="K670" i="1" s="1"/>
  <c r="K671" i="1" a="1"/>
  <c r="K671" i="1" s="1"/>
  <c r="K672" i="1" a="1"/>
  <c r="K672" i="1" s="1"/>
  <c r="K673" i="1" a="1"/>
  <c r="K673" i="1"/>
  <c r="K674" i="1" a="1"/>
  <c r="K674" i="1"/>
  <c r="K675" i="1" a="1"/>
  <c r="K675" i="1" s="1"/>
  <c r="K676" i="1" a="1"/>
  <c r="K676" i="1" s="1"/>
  <c r="K677" i="1" a="1"/>
  <c r="K677" i="1"/>
  <c r="K678" i="1" a="1"/>
  <c r="K678" i="1" s="1"/>
  <c r="K679" i="1" a="1"/>
  <c r="K679" i="1" s="1"/>
  <c r="K680" i="1" a="1"/>
  <c r="K680" i="1"/>
  <c r="K681" i="1" a="1"/>
  <c r="K681" i="1"/>
  <c r="K682" i="1" a="1"/>
  <c r="K682" i="1" s="1"/>
  <c r="K683" i="1" a="1"/>
  <c r="K683" i="1"/>
  <c r="K684" i="1" a="1"/>
  <c r="K684" i="1"/>
  <c r="K685" i="1" a="1"/>
  <c r="K685" i="1"/>
  <c r="K686" i="1" a="1"/>
  <c r="K686" i="1"/>
  <c r="K687" i="1" a="1"/>
  <c r="K687" i="1"/>
  <c r="K688" i="1" a="1"/>
  <c r="K688" i="1" s="1"/>
  <c r="K689" i="1" a="1"/>
  <c r="K689" i="1" s="1"/>
  <c r="K690" i="1" a="1"/>
  <c r="K690" i="1"/>
  <c r="K691" i="1" a="1"/>
  <c r="K691" i="1"/>
  <c r="K692" i="1" a="1"/>
  <c r="K692" i="1"/>
  <c r="K693" i="1" a="1"/>
  <c r="K693" i="1"/>
  <c r="K694" i="1" a="1"/>
  <c r="K694" i="1" s="1"/>
  <c r="K695" i="1" a="1"/>
  <c r="K695" i="1" s="1"/>
  <c r="K696" i="1" a="1"/>
  <c r="K696" i="1"/>
  <c r="K697" i="1" a="1"/>
  <c r="K697" i="1"/>
  <c r="K698" i="1" a="1"/>
  <c r="K698" i="1"/>
  <c r="K699" i="1" a="1"/>
  <c r="K699" i="1"/>
  <c r="K700" i="1" a="1"/>
  <c r="K700" i="1" s="1"/>
  <c r="K701" i="1" a="1"/>
  <c r="K701" i="1"/>
  <c r="K702" i="1" a="1"/>
  <c r="K702" i="1" s="1"/>
  <c r="K703" i="1" a="1"/>
  <c r="K703" i="1"/>
  <c r="K704" i="1" a="1"/>
  <c r="K704" i="1"/>
  <c r="K705" i="1" a="1"/>
  <c r="K705" i="1"/>
  <c r="K706" i="1" a="1"/>
  <c r="K706" i="1" s="1"/>
  <c r="K707" i="1" a="1"/>
  <c r="K707" i="1" s="1"/>
  <c r="K708" i="1" a="1"/>
  <c r="K708" i="1" s="1"/>
  <c r="K709" i="1" a="1"/>
  <c r="K709" i="1"/>
  <c r="K710" i="1" a="1"/>
  <c r="K710" i="1"/>
  <c r="K711" i="1" a="1"/>
  <c r="K711" i="1"/>
  <c r="K712" i="1" a="1"/>
  <c r="K712" i="1" s="1"/>
  <c r="K713" i="1" a="1"/>
  <c r="K713" i="1" s="1"/>
  <c r="K714" i="1" a="1"/>
  <c r="K714" i="1" s="1"/>
  <c r="K715" i="1" a="1"/>
  <c r="K715" i="1" s="1"/>
  <c r="K716" i="1" a="1"/>
  <c r="K716" i="1"/>
  <c r="K717" i="1" a="1"/>
  <c r="K717" i="1"/>
  <c r="K718" i="1" a="1"/>
  <c r="K718" i="1" s="1"/>
  <c r="K719" i="1" a="1"/>
  <c r="K719" i="1"/>
  <c r="K720" i="1" a="1"/>
  <c r="K720" i="1" s="1"/>
  <c r="K721" i="1" a="1"/>
  <c r="K721" i="1" s="1"/>
  <c r="K722" i="1" a="1"/>
  <c r="K722" i="1"/>
  <c r="K723" i="1" a="1"/>
  <c r="K723" i="1"/>
  <c r="K724" i="1" a="1"/>
  <c r="K724" i="1" s="1"/>
  <c r="K725" i="1" a="1"/>
  <c r="K725" i="1"/>
  <c r="K726" i="1" a="1"/>
  <c r="K726" i="1"/>
  <c r="K727" i="1" a="1"/>
  <c r="K727" i="1" s="1"/>
  <c r="K728" i="1" a="1"/>
  <c r="K728" i="1" s="1"/>
  <c r="K729" i="1" a="1"/>
  <c r="K729" i="1"/>
  <c r="K730" i="1" a="1"/>
  <c r="K730" i="1" s="1"/>
  <c r="K731" i="1" a="1"/>
  <c r="K731" i="1"/>
  <c r="K732" i="1" a="1"/>
  <c r="K732" i="1"/>
  <c r="K733" i="1" a="1"/>
  <c r="K733" i="1"/>
  <c r="K734" i="1" a="1"/>
  <c r="K734" i="1" s="1"/>
  <c r="K735" i="1" a="1"/>
  <c r="K735" i="1"/>
  <c r="K736" i="1" a="1"/>
  <c r="K736" i="1" s="1"/>
  <c r="K737" i="1" a="1"/>
  <c r="K737" i="1"/>
  <c r="K738" i="1" a="1"/>
  <c r="K738" i="1"/>
  <c r="K739" i="1" a="1"/>
  <c r="K739" i="1"/>
  <c r="K740" i="1" a="1"/>
  <c r="K740" i="1"/>
  <c r="K741" i="1" a="1"/>
  <c r="K741" i="1" s="1"/>
  <c r="K742" i="1" a="1"/>
  <c r="K742" i="1" s="1"/>
  <c r="K743" i="1" a="1"/>
  <c r="K743" i="1" s="1"/>
  <c r="K744" i="1" a="1"/>
  <c r="K744" i="1"/>
  <c r="K745" i="1" a="1"/>
  <c r="K745" i="1"/>
  <c r="K746" i="1" a="1"/>
  <c r="K746" i="1"/>
  <c r="K747" i="1" a="1"/>
  <c r="K747" i="1" s="1"/>
  <c r="K748" i="1" a="1"/>
  <c r="K748" i="1" s="1"/>
  <c r="K749" i="1" a="1"/>
  <c r="K749" i="1"/>
  <c r="K750" i="1" a="1"/>
  <c r="K750" i="1" s="1"/>
  <c r="K751" i="1" a="1"/>
  <c r="K751" i="1"/>
  <c r="K752" i="1" a="1"/>
  <c r="K752" i="1"/>
  <c r="K753" i="1" a="1"/>
  <c r="K753" i="1"/>
  <c r="K754" i="1" a="1"/>
  <c r="K754" i="1" s="1"/>
  <c r="K755" i="1" a="1"/>
  <c r="K755" i="1"/>
  <c r="K756" i="1" a="1"/>
  <c r="K756" i="1"/>
  <c r="K757" i="1" a="1"/>
  <c r="K757" i="1"/>
  <c r="K758" i="1" a="1"/>
  <c r="K758" i="1"/>
  <c r="K759" i="1" a="1"/>
  <c r="K759" i="1"/>
  <c r="K760" i="1" a="1"/>
  <c r="K760" i="1" s="1"/>
  <c r="K761" i="1" a="1"/>
  <c r="K761" i="1" s="1"/>
  <c r="K762" i="1" a="1"/>
  <c r="K762" i="1"/>
  <c r="K763" i="1" a="1"/>
  <c r="K763" i="1"/>
  <c r="K764" i="1" a="1"/>
  <c r="K764" i="1"/>
  <c r="K765" i="1" a="1"/>
  <c r="K765" i="1"/>
  <c r="K766" i="1" a="1"/>
  <c r="K766" i="1" s="1"/>
  <c r="K767" i="1" a="1"/>
  <c r="K767" i="1" s="1"/>
  <c r="K768" i="1" a="1"/>
  <c r="K768" i="1"/>
  <c r="K769" i="1" a="1"/>
  <c r="K769" i="1"/>
  <c r="K770" i="1" a="1"/>
  <c r="K770" i="1"/>
  <c r="K771" i="1" a="1"/>
  <c r="K771" i="1"/>
  <c r="K772" i="1" a="1"/>
  <c r="K772" i="1" s="1"/>
  <c r="K773" i="1" a="1"/>
  <c r="K773" i="1"/>
  <c r="K774" i="1" a="1"/>
  <c r="K774" i="1" s="1"/>
  <c r="K775" i="1" a="1"/>
  <c r="K775" i="1"/>
  <c r="K776" i="1" a="1"/>
  <c r="K776" i="1"/>
  <c r="K777" i="1" a="1"/>
  <c r="K777" i="1"/>
  <c r="K778" i="1" a="1"/>
  <c r="K778" i="1" s="1"/>
  <c r="K779" i="1" a="1"/>
  <c r="K779" i="1"/>
  <c r="K780" i="1" a="1"/>
  <c r="K780" i="1" s="1"/>
  <c r="K781" i="1" a="1"/>
  <c r="K781" i="1"/>
  <c r="K782" i="1" a="1"/>
  <c r="K782" i="1"/>
  <c r="K783" i="1" a="1"/>
  <c r="K783" i="1"/>
  <c r="K784" i="1" a="1"/>
  <c r="K784" i="1" s="1"/>
  <c r="K785" i="1" a="1"/>
  <c r="K785" i="1" s="1"/>
  <c r="K786" i="1" a="1"/>
  <c r="K786" i="1"/>
  <c r="K787" i="1" a="1"/>
  <c r="K787" i="1" s="1"/>
  <c r="K788" i="1" a="1"/>
  <c r="K788" i="1"/>
  <c r="K789" i="1" a="1"/>
  <c r="K789" i="1"/>
  <c r="K790" i="1" a="1"/>
  <c r="K790" i="1" s="1"/>
  <c r="K791" i="1" a="1"/>
  <c r="K791" i="1" s="1"/>
  <c r="K792" i="1" a="1"/>
  <c r="K792" i="1" s="1"/>
  <c r="K793" i="1" a="1"/>
  <c r="K793" i="1" s="1"/>
  <c r="K794" i="1" a="1"/>
  <c r="K794" i="1"/>
  <c r="K795" i="1" a="1"/>
  <c r="K795" i="1"/>
  <c r="K796" i="1" a="1"/>
  <c r="K796" i="1" s="1"/>
  <c r="K797" i="1" a="1"/>
  <c r="K797" i="1"/>
  <c r="K798" i="1" a="1"/>
  <c r="K798" i="1" s="1"/>
  <c r="K799" i="1" a="1"/>
  <c r="K799" i="1" s="1"/>
  <c r="K800" i="1" a="1"/>
  <c r="K800" i="1" s="1"/>
  <c r="K801" i="1" a="1"/>
  <c r="K801" i="1"/>
  <c r="K802" i="1" a="1"/>
  <c r="K802" i="1" s="1"/>
  <c r="K803" i="1" a="1"/>
  <c r="K803" i="1"/>
  <c r="K804" i="1" a="1"/>
  <c r="K804" i="1"/>
  <c r="K805" i="1" a="1"/>
  <c r="K805" i="1" s="1"/>
  <c r="K806" i="1" a="1"/>
  <c r="K806" i="1" s="1"/>
  <c r="K807" i="1" a="1"/>
  <c r="K807" i="1"/>
  <c r="K808" i="1" a="1"/>
  <c r="K808" i="1" s="1"/>
  <c r="K809" i="1" a="1"/>
  <c r="K809" i="1"/>
  <c r="K810" i="1" a="1"/>
  <c r="K810" i="1"/>
  <c r="K811" i="1" a="1"/>
  <c r="K811" i="1"/>
  <c r="K812" i="1" a="1"/>
  <c r="K812" i="1" s="1"/>
  <c r="K813" i="1" a="1"/>
  <c r="K813" i="1" s="1"/>
  <c r="K814" i="1" a="1"/>
  <c r="K814" i="1" s="1"/>
  <c r="K815" i="1" a="1"/>
  <c r="K815" i="1"/>
  <c r="K816" i="1" a="1"/>
  <c r="K816" i="1"/>
  <c r="K817" i="1" a="1"/>
  <c r="K817" i="1"/>
  <c r="K818" i="1" a="1"/>
  <c r="K818" i="1"/>
  <c r="K819" i="1" a="1"/>
  <c r="K819" i="1" s="1"/>
  <c r="K820" i="1" a="1"/>
  <c r="K820" i="1" s="1"/>
  <c r="K821" i="1" a="1"/>
  <c r="K821" i="1"/>
  <c r="K822" i="1" a="1"/>
  <c r="K822" i="1"/>
  <c r="K823" i="1" a="1"/>
  <c r="K823" i="1"/>
  <c r="K824" i="1" a="1"/>
  <c r="K824" i="1"/>
  <c r="K825" i="1" a="1"/>
  <c r="K825" i="1"/>
  <c r="K826" i="1" a="1"/>
  <c r="K826" i="1" s="1"/>
  <c r="K827" i="1" a="1"/>
  <c r="K827" i="1" s="1"/>
  <c r="K828" i="1" a="1"/>
  <c r="K828" i="1" s="1"/>
  <c r="K829" i="1" a="1"/>
  <c r="K829" i="1"/>
  <c r="K830" i="1" a="1"/>
  <c r="K830" i="1"/>
  <c r="K831" i="1" a="1"/>
  <c r="K831" i="1"/>
  <c r="K832" i="1" a="1"/>
  <c r="K832" i="1" s="1"/>
  <c r="K833" i="1" a="1"/>
  <c r="K833" i="1" s="1"/>
  <c r="K834" i="1" a="1"/>
  <c r="K834" i="1"/>
  <c r="K835" i="1" a="1"/>
  <c r="K835" i="1" s="1"/>
  <c r="K836" i="1" a="1"/>
  <c r="K836" i="1"/>
  <c r="K837" i="1" a="1"/>
  <c r="K837" i="1"/>
  <c r="K838" i="1" a="1"/>
  <c r="K838" i="1" s="1"/>
  <c r="K839" i="1" a="1"/>
  <c r="K839" i="1" s="1"/>
  <c r="K840" i="1" a="1"/>
  <c r="K840" i="1" s="1"/>
  <c r="K841" i="1" a="1"/>
  <c r="K841" i="1"/>
  <c r="K842" i="1" a="1"/>
  <c r="K842" i="1"/>
  <c r="K843" i="1" a="1"/>
  <c r="K843" i="1"/>
  <c r="K844" i="1" a="1"/>
  <c r="K844" i="1"/>
  <c r="K845" i="1" a="1"/>
  <c r="K845" i="1" s="1"/>
  <c r="K846" i="1" a="1"/>
  <c r="K846" i="1" s="1"/>
  <c r="K847" i="1" a="1"/>
  <c r="K847" i="1"/>
  <c r="K848" i="1" a="1"/>
  <c r="K848" i="1"/>
  <c r="K849" i="1" a="1"/>
  <c r="K849" i="1"/>
  <c r="K850" i="1" a="1"/>
  <c r="K850" i="1"/>
  <c r="K851" i="1" a="1"/>
  <c r="K851" i="1" s="1"/>
  <c r="K852" i="1" a="1"/>
  <c r="K852" i="1" s="1"/>
  <c r="K853" i="1" a="1"/>
  <c r="K853" i="1"/>
  <c r="K854" i="1" a="1"/>
  <c r="K854" i="1"/>
  <c r="K855" i="1" a="1"/>
  <c r="K855" i="1"/>
  <c r="K856" i="1" a="1"/>
  <c r="K856" i="1"/>
  <c r="K857" i="1" a="1"/>
  <c r="K857" i="1" s="1"/>
  <c r="K858" i="1" a="1"/>
  <c r="K858" i="1" s="1"/>
  <c r="K859" i="1" a="1"/>
  <c r="K859" i="1"/>
  <c r="K860" i="1" a="1"/>
  <c r="K860" i="1"/>
  <c r="K861" i="1" a="1"/>
  <c r="K861" i="1"/>
  <c r="K862" i="1" a="1"/>
  <c r="K862" i="1"/>
  <c r="K863" i="1" a="1"/>
  <c r="K863" i="1" s="1"/>
  <c r="K864" i="1" a="1"/>
  <c r="K864" i="1" s="1"/>
  <c r="K865" i="1" a="1"/>
  <c r="K865" i="1"/>
  <c r="K866" i="1" a="1"/>
  <c r="K866" i="1"/>
  <c r="K867" i="1" a="1"/>
  <c r="K867" i="1"/>
  <c r="K868" i="1" a="1"/>
  <c r="K868" i="1"/>
  <c r="K869" i="1" a="1"/>
  <c r="K869" i="1" s="1"/>
  <c r="K870" i="1" a="1"/>
  <c r="K870" i="1" s="1"/>
  <c r="K871" i="1" a="1"/>
  <c r="K871" i="1"/>
  <c r="K872" i="1" a="1"/>
  <c r="K872" i="1"/>
  <c r="K873" i="1" a="1"/>
  <c r="K873" i="1"/>
  <c r="K874" i="1" a="1"/>
  <c r="K874" i="1"/>
  <c r="K875" i="1" a="1"/>
  <c r="K875" i="1" s="1"/>
  <c r="K876" i="1" a="1"/>
  <c r="K876" i="1" s="1"/>
  <c r="K877" i="1" a="1"/>
  <c r="K877" i="1"/>
  <c r="K878" i="1" a="1"/>
  <c r="K878" i="1"/>
  <c r="K879" i="1" a="1"/>
  <c r="K879" i="1"/>
  <c r="K880" i="1" a="1"/>
  <c r="K880" i="1"/>
  <c r="K881" i="1" a="1"/>
  <c r="K881" i="1" s="1"/>
  <c r="K882" i="1" a="1"/>
  <c r="K882" i="1" s="1"/>
  <c r="K883" i="1" a="1"/>
  <c r="K883" i="1"/>
  <c r="K884" i="1" a="1"/>
  <c r="K884" i="1"/>
  <c r="K885" i="1" a="1"/>
  <c r="K885" i="1"/>
  <c r="K886" i="1" a="1"/>
  <c r="K886" i="1"/>
  <c r="K887" i="1" a="1"/>
  <c r="K887" i="1" s="1"/>
  <c r="K888" i="1" a="1"/>
  <c r="K888" i="1" s="1"/>
  <c r="K889" i="1" a="1"/>
  <c r="K889" i="1"/>
  <c r="K890" i="1" a="1"/>
  <c r="K890" i="1"/>
  <c r="K891" i="1" a="1"/>
  <c r="K891" i="1"/>
  <c r="K892" i="1" a="1"/>
  <c r="K892" i="1"/>
  <c r="K893" i="1" a="1"/>
  <c r="K893" i="1" s="1"/>
  <c r="K894" i="1" a="1"/>
  <c r="K894" i="1" s="1"/>
  <c r="K895" i="1" a="1"/>
  <c r="K895" i="1"/>
  <c r="K896" i="1" a="1"/>
  <c r="K896" i="1"/>
  <c r="K897" i="1" a="1"/>
  <c r="K897" i="1"/>
  <c r="K898" i="1" a="1"/>
  <c r="K898" i="1"/>
  <c r="K899" i="1" a="1"/>
  <c r="K899" i="1" s="1"/>
  <c r="K900" i="1" a="1"/>
  <c r="K900" i="1" s="1"/>
  <c r="K901" i="1" a="1"/>
  <c r="K901" i="1"/>
  <c r="K902" i="1" a="1"/>
  <c r="K902" i="1"/>
  <c r="K903" i="1" a="1"/>
  <c r="K903" i="1"/>
  <c r="K904" i="1" a="1"/>
  <c r="K904" i="1"/>
  <c r="K905" i="1" a="1"/>
  <c r="K905" i="1" s="1"/>
  <c r="K906" i="1" a="1"/>
  <c r="K906" i="1" s="1"/>
  <c r="K907" i="1" a="1"/>
  <c r="K907" i="1"/>
  <c r="K908" i="1" a="1"/>
  <c r="K908" i="1"/>
  <c r="K909" i="1" a="1"/>
  <c r="K909" i="1"/>
  <c r="K910" i="1" a="1"/>
  <c r="K910" i="1"/>
  <c r="K911" i="1" a="1"/>
  <c r="K911" i="1" s="1"/>
  <c r="K912" i="1" a="1"/>
  <c r="K912" i="1" s="1"/>
  <c r="K913" i="1" a="1"/>
  <c r="K913" i="1"/>
  <c r="K914" i="1" a="1"/>
  <c r="K914" i="1"/>
  <c r="K915" i="1" a="1"/>
  <c r="K915" i="1"/>
  <c r="K916" i="1" a="1"/>
  <c r="K916" i="1"/>
  <c r="K917" i="1" a="1"/>
  <c r="K917" i="1" s="1"/>
  <c r="K918" i="1" a="1"/>
  <c r="K918" i="1" s="1"/>
  <c r="K919" i="1" a="1"/>
  <c r="K919" i="1"/>
  <c r="K920" i="1" a="1"/>
  <c r="K920" i="1"/>
  <c r="K921" i="1" a="1"/>
  <c r="K921" i="1"/>
  <c r="K922" i="1" a="1"/>
  <c r="K922" i="1"/>
  <c r="K923" i="1" a="1"/>
  <c r="K923" i="1" s="1"/>
  <c r="K924" i="1" a="1"/>
  <c r="K924" i="1" s="1"/>
  <c r="K925" i="1" a="1"/>
  <c r="K925" i="1"/>
  <c r="K926" i="1" a="1"/>
  <c r="K926" i="1"/>
  <c r="K927" i="1" a="1"/>
  <c r="K927" i="1"/>
  <c r="K928" i="1" a="1"/>
  <c r="K928" i="1"/>
  <c r="K929" i="1" a="1"/>
  <c r="K929" i="1" s="1"/>
  <c r="K930" i="1" a="1"/>
  <c r="K930" i="1" s="1"/>
  <c r="K931" i="1" a="1"/>
  <c r="K931" i="1"/>
  <c r="K932" i="1" a="1"/>
  <c r="K932" i="1"/>
  <c r="K933" i="1" a="1"/>
  <c r="K933" i="1"/>
  <c r="K934" i="1" a="1"/>
  <c r="K934" i="1"/>
  <c r="K935" i="1" a="1"/>
  <c r="K935" i="1" s="1"/>
  <c r="K936" i="1" a="1"/>
  <c r="K936" i="1" s="1"/>
  <c r="K937" i="1" a="1"/>
  <c r="K937" i="1"/>
  <c r="K938" i="1" a="1"/>
  <c r="K938" i="1"/>
  <c r="K939" i="1" a="1"/>
  <c r="K939" i="1"/>
  <c r="K940" i="1" a="1"/>
  <c r="K940" i="1"/>
  <c r="K941" i="1" a="1"/>
  <c r="K941" i="1" s="1"/>
  <c r="K942" i="1" a="1"/>
  <c r="K942" i="1" s="1"/>
  <c r="K943" i="1" a="1"/>
  <c r="K943" i="1"/>
  <c r="K944" i="1" a="1"/>
  <c r="K944" i="1"/>
  <c r="K945" i="1" a="1"/>
  <c r="K945" i="1"/>
  <c r="K946" i="1" a="1"/>
  <c r="K946" i="1"/>
  <c r="K947" i="1" a="1"/>
  <c r="K947" i="1" s="1"/>
  <c r="K948" i="1" a="1"/>
  <c r="K948" i="1" s="1"/>
  <c r="K949" i="1" a="1"/>
  <c r="K949" i="1"/>
  <c r="K950" i="1" a="1"/>
  <c r="K950" i="1"/>
  <c r="K951" i="1" a="1"/>
  <c r="K951" i="1"/>
  <c r="K952" i="1" a="1"/>
  <c r="K952" i="1"/>
  <c r="K953" i="1" a="1"/>
  <c r="K953" i="1" s="1"/>
  <c r="K954" i="1" a="1"/>
  <c r="K954" i="1" s="1"/>
  <c r="K955" i="1" a="1"/>
  <c r="K955" i="1"/>
  <c r="K956" i="1" a="1"/>
  <c r="K956" i="1"/>
  <c r="K957" i="1" a="1"/>
  <c r="K957" i="1"/>
  <c r="K958" i="1" a="1"/>
  <c r="K958" i="1"/>
  <c r="K959" i="1" a="1"/>
  <c r="K959" i="1" s="1"/>
  <c r="K960" i="1" a="1"/>
  <c r="K960" i="1" s="1"/>
  <c r="K961" i="1" a="1"/>
  <c r="K961" i="1"/>
  <c r="K962" i="1" a="1"/>
  <c r="K962" i="1"/>
  <c r="K963" i="1" a="1"/>
  <c r="K963" i="1"/>
  <c r="K964" i="1" a="1"/>
  <c r="K964" i="1"/>
  <c r="K965" i="1" a="1"/>
  <c r="K965" i="1" s="1"/>
  <c r="K966" i="1" a="1"/>
  <c r="K966" i="1" s="1"/>
  <c r="K967" i="1" a="1"/>
  <c r="K967" i="1"/>
  <c r="K968" i="1" a="1"/>
  <c r="K968" i="1"/>
  <c r="K969" i="1" a="1"/>
  <c r="K969" i="1"/>
  <c r="K970" i="1" a="1"/>
  <c r="K970" i="1"/>
  <c r="K971" i="1" a="1"/>
  <c r="K971" i="1" s="1"/>
  <c r="K972" i="1" a="1"/>
  <c r="K972" i="1" s="1"/>
  <c r="K973" i="1" a="1"/>
  <c r="K973" i="1"/>
  <c r="K974" i="1" a="1"/>
  <c r="K974" i="1"/>
  <c r="K975" i="1" a="1"/>
  <c r="K975" i="1"/>
  <c r="K976" i="1" a="1"/>
  <c r="K976" i="1"/>
  <c r="K977" i="1" a="1"/>
  <c r="K977" i="1" s="1"/>
  <c r="K978" i="1" a="1"/>
  <c r="K978" i="1" s="1"/>
  <c r="K979" i="1" a="1"/>
  <c r="K979" i="1"/>
  <c r="K980" i="1" a="1"/>
  <c r="K980" i="1"/>
  <c r="K981" i="1" a="1"/>
  <c r="K981" i="1"/>
  <c r="K982" i="1" a="1"/>
  <c r="K982" i="1"/>
  <c r="K983" i="1" a="1"/>
  <c r="K983" i="1" s="1"/>
  <c r="K984" i="1" a="1"/>
  <c r="K984" i="1" s="1"/>
  <c r="K985" i="1" a="1"/>
  <c r="K985" i="1"/>
  <c r="K986" i="1" a="1"/>
  <c r="K986" i="1"/>
  <c r="K987" i="1" a="1"/>
  <c r="K987" i="1"/>
  <c r="K988" i="1" a="1"/>
  <c r="K988" i="1"/>
  <c r="K989" i="1" a="1"/>
  <c r="K989" i="1" s="1"/>
  <c r="K990" i="1" a="1"/>
  <c r="K990" i="1" s="1"/>
  <c r="K991" i="1" a="1"/>
  <c r="K991" i="1"/>
  <c r="K992" i="1" a="1"/>
  <c r="K992" i="1"/>
  <c r="K993" i="1" a="1"/>
  <c r="K993" i="1"/>
  <c r="K994" i="1" a="1"/>
  <c r="K994" i="1"/>
  <c r="K995" i="1" a="1"/>
  <c r="K995" i="1" s="1"/>
  <c r="K996" i="1" a="1"/>
  <c r="K996" i="1" s="1"/>
  <c r="K997" i="1" a="1"/>
  <c r="K997" i="1"/>
  <c r="K998" i="1" a="1"/>
  <c r="K998" i="1"/>
  <c r="K999" i="1" a="1"/>
  <c r="K999" i="1"/>
  <c r="K1000" i="1" a="1"/>
  <c r="K1000" i="1"/>
  <c r="K1001" i="1" a="1"/>
  <c r="K1001" i="1" s="1"/>
  <c r="K1002" i="1" a="1"/>
  <c r="K1002" i="1" s="1"/>
  <c r="K1003" i="1" a="1"/>
  <c r="K1003" i="1"/>
  <c r="K1004" i="1" a="1"/>
  <c r="K1004" i="1"/>
  <c r="K1005" i="1" a="1"/>
  <c r="K1005" i="1"/>
  <c r="K1006" i="1" a="1"/>
  <c r="K1006" i="1"/>
  <c r="K1007" i="1" a="1"/>
  <c r="K1007" i="1" s="1"/>
  <c r="K1008" i="1" a="1"/>
  <c r="K1008" i="1" s="1"/>
  <c r="K1009" i="1" a="1"/>
  <c r="K1009" i="1"/>
  <c r="K1010" i="1" a="1"/>
  <c r="K1010" i="1"/>
  <c r="K1011" i="1" a="1"/>
  <c r="K1011" i="1"/>
  <c r="K1012" i="1" a="1"/>
  <c r="K1012" i="1"/>
  <c r="K1013" i="1" a="1"/>
  <c r="K1013" i="1" s="1"/>
  <c r="K1014" i="1" a="1"/>
  <c r="K1014" i="1" s="1"/>
  <c r="K1015" i="1" a="1"/>
  <c r="K1015" i="1"/>
  <c r="K1016" i="1" a="1"/>
  <c r="K1016" i="1"/>
  <c r="K1017" i="1" a="1"/>
  <c r="K1017" i="1"/>
  <c r="K1018" i="1" a="1"/>
  <c r="K1018" i="1"/>
  <c r="K1019" i="1" a="1"/>
  <c r="K1019" i="1" s="1"/>
  <c r="K1020" i="1" a="1"/>
  <c r="K1020" i="1" s="1"/>
  <c r="K1021" i="1" a="1"/>
  <c r="K1021" i="1"/>
  <c r="K1022" i="1" a="1"/>
  <c r="K1022" i="1"/>
  <c r="K1023" i="1" a="1"/>
  <c r="K1023" i="1"/>
  <c r="K1024" i="1" a="1"/>
  <c r="K1024" i="1"/>
  <c r="K1025" i="1" a="1"/>
  <c r="K1025" i="1" s="1"/>
  <c r="K1026" i="1" a="1"/>
  <c r="K1026" i="1" s="1"/>
  <c r="K1027" i="1" a="1"/>
  <c r="K1027" i="1"/>
  <c r="K1028" i="1" a="1"/>
  <c r="K1028" i="1"/>
  <c r="K1029" i="1" a="1"/>
  <c r="K1029" i="1"/>
  <c r="K1030" i="1" a="1"/>
  <c r="K1030" i="1"/>
  <c r="K1031" i="1" a="1"/>
  <c r="K1031" i="1" s="1"/>
  <c r="K1032" i="1" a="1"/>
  <c r="K1032" i="1" s="1"/>
  <c r="K1033" i="1" a="1"/>
  <c r="K1033" i="1"/>
  <c r="K1034" i="1" a="1"/>
  <c r="K1034" i="1"/>
  <c r="K1035" i="1" a="1"/>
  <c r="K1035" i="1"/>
  <c r="K1036" i="1" a="1"/>
  <c r="K1036" i="1"/>
  <c r="K1037" i="1" a="1"/>
  <c r="K1037" i="1" s="1"/>
  <c r="K1038" i="1" a="1"/>
  <c r="K1038" i="1" s="1"/>
  <c r="K1039" i="1" a="1"/>
  <c r="K1039" i="1"/>
  <c r="K1040" i="1" a="1"/>
  <c r="K1040" i="1"/>
  <c r="K1041" i="1" a="1"/>
  <c r="K1041" i="1"/>
  <c r="K1042" i="1" a="1"/>
  <c r="K1042" i="1"/>
  <c r="K1043" i="1" a="1"/>
  <c r="K1043" i="1" s="1"/>
  <c r="K1044" i="1" a="1"/>
  <c r="K1044" i="1" s="1"/>
  <c r="K1045" i="1" a="1"/>
  <c r="K1045" i="1"/>
  <c r="K1046" i="1" a="1"/>
  <c r="K1046" i="1"/>
  <c r="K1047" i="1" a="1"/>
  <c r="K1047" i="1"/>
  <c r="K1048" i="1" a="1"/>
  <c r="K1048" i="1"/>
  <c r="K1049" i="1" a="1"/>
  <c r="K1049" i="1" s="1"/>
  <c r="K1050" i="1" a="1"/>
  <c r="K1050" i="1" s="1"/>
  <c r="K1051" i="1" a="1"/>
  <c r="K1051" i="1"/>
  <c r="K1052" i="1" a="1"/>
  <c r="K1052" i="1"/>
  <c r="K1053" i="1" a="1"/>
  <c r="K1053" i="1"/>
  <c r="K1054" i="1" a="1"/>
  <c r="K1054" i="1"/>
  <c r="K1055" i="1" a="1"/>
  <c r="K1055" i="1" s="1"/>
  <c r="K1056" i="1" a="1"/>
  <c r="K1056" i="1" s="1"/>
  <c r="K1057" i="1" a="1"/>
  <c r="K1057" i="1"/>
  <c r="K1058" i="1" a="1"/>
  <c r="K1058" i="1"/>
  <c r="K1059" i="1" a="1"/>
  <c r="K1059" i="1"/>
  <c r="K1060" i="1" a="1"/>
  <c r="K1060" i="1"/>
  <c r="K1061" i="1" a="1"/>
  <c r="K1061" i="1" s="1"/>
  <c r="K1062" i="1" a="1"/>
  <c r="K1062" i="1" s="1"/>
  <c r="K1063" i="1" a="1"/>
  <c r="K1063" i="1"/>
  <c r="K1064" i="1" a="1"/>
  <c r="K1064" i="1"/>
  <c r="K1065" i="1" a="1"/>
  <c r="K1065" i="1"/>
  <c r="K1066" i="1" a="1"/>
  <c r="K1066" i="1"/>
  <c r="K1067" i="1" a="1"/>
  <c r="K1067" i="1" s="1"/>
  <c r="K1068" i="1" a="1"/>
  <c r="K1068" i="1" s="1"/>
  <c r="K1069" i="1" a="1"/>
  <c r="K1069" i="1"/>
  <c r="K1070" i="1" a="1"/>
  <c r="K1070" i="1"/>
  <c r="K1071" i="1" a="1"/>
  <c r="K1071" i="1"/>
  <c r="K1072" i="1" a="1"/>
  <c r="K1072" i="1"/>
  <c r="K1073" i="1" a="1"/>
  <c r="K1073" i="1" s="1"/>
  <c r="K1074" i="1" a="1"/>
  <c r="K1074" i="1" s="1"/>
  <c r="K1075" i="1" a="1"/>
  <c r="K1075" i="1"/>
  <c r="K1076" i="1" a="1"/>
  <c r="K1076" i="1"/>
  <c r="K1077" i="1" a="1"/>
  <c r="K1077" i="1"/>
  <c r="K1078" i="1" a="1"/>
  <c r="K1078" i="1"/>
  <c r="K1079" i="1" a="1"/>
  <c r="K1079" i="1" s="1"/>
  <c r="K1080" i="1" a="1"/>
  <c r="K1080" i="1" s="1"/>
  <c r="K1081" i="1" a="1"/>
  <c r="K1081" i="1"/>
  <c r="K1082" i="1" a="1"/>
  <c r="K1082" i="1"/>
  <c r="K1083" i="1" a="1"/>
  <c r="K1083" i="1"/>
  <c r="K1084" i="1" a="1"/>
  <c r="K1084" i="1"/>
  <c r="K1085" i="1" a="1"/>
  <c r="K1085" i="1"/>
  <c r="K1086" i="1" a="1"/>
  <c r="K1086" i="1" s="1"/>
  <c r="K1087" i="1" a="1"/>
  <c r="K1087" i="1" s="1"/>
  <c r="K1088" i="1" a="1"/>
  <c r="K1088" i="1"/>
  <c r="K1089" i="1" a="1"/>
  <c r="K1089" i="1"/>
  <c r="K1090" i="1" a="1"/>
  <c r="K1090" i="1"/>
  <c r="K1091" i="1" a="1"/>
  <c r="K1091" i="1"/>
  <c r="K1092" i="1" a="1"/>
  <c r="K1092" i="1" s="1"/>
  <c r="K1093" i="1" a="1"/>
  <c r="K1093" i="1"/>
  <c r="K1094" i="1" a="1"/>
  <c r="K1094" i="1"/>
  <c r="K1095" i="1" a="1"/>
  <c r="K1095" i="1"/>
  <c r="K1096" i="1" a="1"/>
  <c r="K1096" i="1"/>
  <c r="K1097" i="1" a="1"/>
  <c r="K1097" i="1"/>
  <c r="K1098" i="1" a="1"/>
  <c r="K1098" i="1" s="1"/>
  <c r="K1099" i="1" a="1"/>
  <c r="K1099" i="1" s="1"/>
  <c r="K1100" i="1" a="1"/>
  <c r="K1100" i="1" s="1"/>
  <c r="K1101" i="1" a="1"/>
  <c r="K1101" i="1"/>
  <c r="K1102" i="1" a="1"/>
  <c r="K1102" i="1"/>
  <c r="K1103" i="1" a="1"/>
  <c r="K1103" i="1"/>
  <c r="K1104" i="1" a="1"/>
  <c r="K1104" i="1" s="1"/>
  <c r="K1105" i="1" a="1"/>
  <c r="K1105" i="1"/>
  <c r="K1106" i="1" a="1"/>
  <c r="K1106" i="1"/>
  <c r="K1107" i="1" a="1"/>
  <c r="K1107" i="1"/>
  <c r="K1108" i="1" a="1"/>
  <c r="K1108" i="1"/>
  <c r="K1109" i="1" a="1"/>
  <c r="K1109" i="1"/>
  <c r="K1110" i="1" a="1"/>
  <c r="K1110" i="1" s="1"/>
  <c r="K1111" i="1" a="1"/>
  <c r="K1111" i="1"/>
  <c r="K1112" i="1" a="1"/>
  <c r="K1112" i="1" s="1"/>
  <c r="K1113" i="1" a="1"/>
  <c r="K1113" i="1" s="1"/>
  <c r="K1114" i="1" a="1"/>
  <c r="K1114" i="1"/>
  <c r="K1115" i="1" a="1"/>
  <c r="K1115" i="1"/>
  <c r="K1116" i="1" a="1"/>
  <c r="K1116" i="1" s="1"/>
  <c r="K1117" i="1" a="1"/>
  <c r="K1117" i="1"/>
  <c r="K1118" i="1" a="1"/>
  <c r="K1118" i="1"/>
  <c r="K1119" i="1" a="1"/>
  <c r="K1119" i="1"/>
  <c r="K1120" i="1" a="1"/>
  <c r="K1120" i="1"/>
  <c r="K1121" i="1" a="1"/>
  <c r="K1121" i="1"/>
  <c r="K1122" i="1" a="1"/>
  <c r="K1122" i="1" s="1"/>
  <c r="K1123" i="1" a="1"/>
  <c r="K1123" i="1"/>
  <c r="K1124" i="1" a="1"/>
  <c r="K1124" i="1"/>
  <c r="K1125" i="1" a="1"/>
  <c r="K1125" i="1" s="1"/>
  <c r="K1126" i="1" a="1"/>
  <c r="K1126" i="1" s="1"/>
  <c r="K1127" i="1" a="1"/>
  <c r="K1127" i="1"/>
  <c r="K1128" i="1" a="1"/>
  <c r="K1128" i="1" s="1"/>
  <c r="K1129" i="1" a="1"/>
  <c r="K1129" i="1"/>
  <c r="K1130" i="1" a="1"/>
  <c r="K1130" i="1"/>
  <c r="K1131" i="1" a="1"/>
  <c r="K1131" i="1"/>
  <c r="K1132" i="1" a="1"/>
  <c r="K1132" i="1"/>
  <c r="K1133" i="1" a="1"/>
  <c r="K1133" i="1"/>
  <c r="K1134" i="1" a="1"/>
  <c r="K1134" i="1" s="1"/>
  <c r="K1135" i="1" a="1"/>
  <c r="K1135" i="1"/>
  <c r="K1136" i="1" a="1"/>
  <c r="K1136" i="1"/>
  <c r="K1137" i="1" a="1"/>
  <c r="K1137" i="1"/>
  <c r="K1138" i="1" a="1"/>
  <c r="K1138" i="1" s="1"/>
  <c r="K1139" i="1" a="1"/>
  <c r="K1139" i="1" s="1"/>
  <c r="K1140" i="1" a="1"/>
  <c r="K1140" i="1" s="1"/>
  <c r="K1141" i="1" a="1"/>
  <c r="K1141" i="1"/>
  <c r="K1142" i="1" a="1"/>
  <c r="K1142" i="1"/>
  <c r="K1143" i="1" a="1"/>
  <c r="K1143" i="1"/>
  <c r="K1144" i="1" a="1"/>
  <c r="K1144" i="1"/>
  <c r="K1145" i="1" a="1"/>
  <c r="K1145" i="1"/>
  <c r="K1146" i="1" a="1"/>
  <c r="K1146" i="1" s="1"/>
  <c r="K1147" i="1" a="1"/>
  <c r="K1147" i="1"/>
  <c r="K1148" i="1" a="1"/>
  <c r="K1148" i="1"/>
  <c r="K1149" i="1" a="1"/>
  <c r="K1149" i="1"/>
  <c r="K1150" i="1" a="1"/>
  <c r="K1150" i="1"/>
  <c r="K1151" i="1" a="1"/>
  <c r="K1151" i="1" s="1"/>
  <c r="K1152" i="1" a="1"/>
  <c r="K1152" i="1" s="1"/>
  <c r="K1153" i="1" a="1"/>
  <c r="K1153" i="1"/>
  <c r="K1154" i="1" a="1"/>
  <c r="K1154" i="1"/>
  <c r="K1155" i="1" a="1"/>
  <c r="K1155" i="1"/>
  <c r="K1156" i="1" a="1"/>
  <c r="K1156" i="1"/>
  <c r="K1157" i="1" a="1"/>
  <c r="K1157" i="1"/>
  <c r="K1158" i="1" a="1"/>
  <c r="K1158" i="1" s="1"/>
  <c r="K1159" i="1" a="1"/>
  <c r="K1159" i="1" s="1"/>
  <c r="K1160" i="1" a="1"/>
  <c r="K1160" i="1"/>
  <c r="K1161" i="1" a="1"/>
  <c r="K1161" i="1"/>
  <c r="K1162" i="1" a="1"/>
  <c r="K1162" i="1"/>
  <c r="K1163" i="1" a="1"/>
  <c r="K1163" i="1"/>
  <c r="K1164" i="1" a="1"/>
  <c r="K1164" i="1" s="1"/>
  <c r="K1165" i="1" a="1"/>
  <c r="K1165" i="1"/>
  <c r="K1166" i="1" a="1"/>
  <c r="K1166" i="1"/>
  <c r="K1167" i="1" a="1"/>
  <c r="K1167" i="1"/>
  <c r="K1168" i="1" a="1"/>
  <c r="K1168" i="1"/>
  <c r="K1169" i="1" a="1"/>
  <c r="K1169" i="1"/>
  <c r="K1170" i="1" a="1"/>
  <c r="K1170" i="1" s="1"/>
  <c r="K1171" i="1" a="1"/>
  <c r="K1171" i="1" s="1"/>
  <c r="K1172" i="1" a="1"/>
  <c r="K1172" i="1" s="1"/>
  <c r="K1173" i="1" a="1"/>
  <c r="K1173" i="1"/>
  <c r="K1174" i="1" a="1"/>
  <c r="K1174" i="1"/>
  <c r="K1175" i="1" a="1"/>
  <c r="K1175" i="1"/>
  <c r="K1176" i="1" a="1"/>
  <c r="K1176" i="1" s="1"/>
  <c r="K1177" i="1" a="1"/>
  <c r="K1177" i="1"/>
  <c r="K1178" i="1" a="1"/>
  <c r="K1178" i="1"/>
  <c r="K1179" i="1" a="1"/>
  <c r="K1179" i="1"/>
  <c r="K1180" i="1" a="1"/>
  <c r="K1180" i="1"/>
  <c r="K1181" i="1" a="1"/>
  <c r="K1181" i="1"/>
  <c r="K1182" i="1" a="1"/>
  <c r="K1182" i="1" s="1"/>
  <c r="K1183" i="1" a="1"/>
  <c r="K1183" i="1"/>
  <c r="K1184" i="1" a="1"/>
  <c r="K1184" i="1" s="1"/>
  <c r="K1185" i="1" a="1"/>
  <c r="K1185" i="1" s="1"/>
  <c r="K1186" i="1" a="1"/>
  <c r="K1186" i="1"/>
  <c r="K1187" i="1" a="1"/>
  <c r="K1187" i="1"/>
  <c r="K1188" i="1" a="1"/>
  <c r="K1188" i="1" s="1"/>
  <c r="K1189" i="1" a="1"/>
  <c r="K1189" i="1"/>
  <c r="K1190" i="1" a="1"/>
  <c r="K1190" i="1"/>
  <c r="K1191" i="1" a="1"/>
  <c r="K1191" i="1"/>
  <c r="K1192" i="1" a="1"/>
  <c r="K1192" i="1"/>
  <c r="K1193" i="1" a="1"/>
  <c r="K1193" i="1"/>
  <c r="K1194" i="1" a="1"/>
  <c r="K1194" i="1" s="1"/>
  <c r="K1195" i="1" a="1"/>
  <c r="K1195" i="1"/>
  <c r="K1196" i="1" a="1"/>
  <c r="K1196" i="1"/>
  <c r="K1197" i="1" a="1"/>
  <c r="K1197" i="1" s="1"/>
  <c r="K1198" i="1" a="1"/>
  <c r="K1198" i="1" s="1"/>
  <c r="K1199" i="1" a="1"/>
  <c r="K1199" i="1"/>
  <c r="K1200" i="1" a="1"/>
  <c r="K1200" i="1" s="1"/>
  <c r="K1201" i="1" a="1"/>
  <c r="K1201" i="1"/>
  <c r="K1202" i="1" a="1"/>
  <c r="K1202" i="1"/>
  <c r="K1203" i="1" a="1"/>
  <c r="K1203" i="1"/>
  <c r="K1204" i="1" a="1"/>
  <c r="K1204" i="1"/>
  <c r="K1205" i="1" a="1"/>
  <c r="K1205" i="1"/>
  <c r="K1206" i="1" a="1"/>
  <c r="K1206" i="1" s="1"/>
  <c r="K1207" i="1" a="1"/>
  <c r="K1207" i="1"/>
  <c r="K1208" i="1" a="1"/>
  <c r="K1208" i="1"/>
  <c r="K1209" i="1" a="1"/>
  <c r="K1209" i="1"/>
  <c r="K1210" i="1" a="1"/>
  <c r="K1210" i="1" s="1"/>
  <c r="K1211" i="1" a="1"/>
  <c r="K1211" i="1" s="1"/>
  <c r="K1212" i="1" a="1"/>
  <c r="K1212" i="1" s="1"/>
  <c r="K1213" i="1" a="1"/>
  <c r="K1213" i="1"/>
  <c r="K1214" i="1" a="1"/>
  <c r="K1214" i="1"/>
  <c r="K1215" i="1" a="1"/>
  <c r="K1215" i="1"/>
  <c r="K1216" i="1" a="1"/>
  <c r="K1216" i="1"/>
  <c r="K1217" i="1" a="1"/>
  <c r="K1217" i="1"/>
  <c r="K1218" i="1" a="1"/>
  <c r="K1218" i="1" s="1"/>
  <c r="K1219" i="1" a="1"/>
  <c r="K1219" i="1"/>
  <c r="K1220" i="1" a="1"/>
  <c r="K1220" i="1"/>
  <c r="K1221" i="1" a="1"/>
  <c r="K1221" i="1"/>
  <c r="K1222" i="1" a="1"/>
  <c r="K1222" i="1"/>
  <c r="K1223" i="1" a="1"/>
  <c r="K1223" i="1" s="1"/>
  <c r="K1224" i="1" a="1"/>
  <c r="K1224" i="1" s="1"/>
  <c r="K1225" i="1" a="1"/>
  <c r="K1225" i="1"/>
  <c r="K1226" i="1" a="1"/>
  <c r="K1226" i="1"/>
  <c r="K1227" i="1" a="1"/>
  <c r="K1227" i="1"/>
  <c r="K1228" i="1" a="1"/>
  <c r="K1228" i="1"/>
  <c r="K1229" i="1" a="1"/>
  <c r="K1229" i="1"/>
  <c r="K1230" i="1" a="1"/>
  <c r="K1230" i="1" s="1"/>
  <c r="K1231" i="1" a="1"/>
  <c r="K1231" i="1" s="1"/>
  <c r="K1232" i="1" a="1"/>
  <c r="K1232" i="1"/>
  <c r="K1233" i="1" a="1"/>
  <c r="K1233" i="1"/>
  <c r="K1234" i="1" a="1"/>
  <c r="K1234" i="1"/>
  <c r="K1235" i="1" a="1"/>
  <c r="K1235" i="1"/>
  <c r="K1236" i="1" a="1"/>
  <c r="K1236" i="1" s="1"/>
  <c r="K1237" i="1" a="1"/>
  <c r="K1237" i="1"/>
  <c r="K1238" i="1" a="1"/>
  <c r="K1238" i="1"/>
  <c r="K1239" i="1" a="1"/>
  <c r="K1239" i="1"/>
  <c r="K1240" i="1" a="1"/>
  <c r="K1240" i="1"/>
  <c r="K1241" i="1" a="1"/>
  <c r="K1241" i="1"/>
  <c r="K1242" i="1" a="1"/>
  <c r="K1242" i="1" s="1"/>
  <c r="K1243" i="1" a="1"/>
  <c r="K1243" i="1" s="1"/>
  <c r="K1244" i="1" a="1"/>
  <c r="K1244" i="1" s="1"/>
  <c r="K1245" i="1" a="1"/>
  <c r="K1245" i="1"/>
  <c r="K1246" i="1" a="1"/>
  <c r="K1246" i="1"/>
  <c r="K1247" i="1" a="1"/>
  <c r="K1247" i="1"/>
  <c r="K1248" i="1" a="1"/>
  <c r="K1248" i="1" s="1"/>
  <c r="K1249" i="1" a="1"/>
  <c r="K1249" i="1"/>
  <c r="K1250" i="1" a="1"/>
  <c r="K1250" i="1"/>
  <c r="K1251" i="1" a="1"/>
  <c r="K1251" i="1"/>
  <c r="K1252" i="1" a="1"/>
  <c r="K1252" i="1"/>
  <c r="K1253" i="1" a="1"/>
  <c r="K1253" i="1"/>
  <c r="K1254" i="1" a="1"/>
  <c r="K1254" i="1" s="1"/>
  <c r="K1255" i="1" a="1"/>
  <c r="K1255" i="1"/>
  <c r="K1256" i="1" a="1"/>
  <c r="K1256" i="1" s="1"/>
  <c r="K1257" i="1" a="1"/>
  <c r="K1257" i="1" s="1"/>
  <c r="K1258" i="1" a="1"/>
  <c r="K1258" i="1"/>
  <c r="K1259" i="1" a="1"/>
  <c r="K1259" i="1"/>
  <c r="K1260" i="1" a="1"/>
  <c r="K1260" i="1" s="1"/>
  <c r="K1261" i="1" a="1"/>
  <c r="K1261" i="1"/>
  <c r="K1262" i="1" a="1"/>
  <c r="K1262" i="1"/>
  <c r="K1263" i="1" a="1"/>
  <c r="K1263" i="1"/>
  <c r="K1264" i="1" a="1"/>
  <c r="K1264" i="1"/>
  <c r="K1265" i="1" a="1"/>
  <c r="K1265" i="1"/>
  <c r="K1266" i="1" a="1"/>
  <c r="K1266" i="1" s="1"/>
  <c r="K1267" i="1" a="1"/>
  <c r="K1267" i="1"/>
  <c r="K1268" i="1" a="1"/>
  <c r="K1268" i="1"/>
  <c r="K1269" i="1" a="1"/>
  <c r="K1269" i="1" s="1"/>
  <c r="K1270" i="1" a="1"/>
  <c r="K1270" i="1" s="1"/>
  <c r="K1271" i="1" a="1"/>
  <c r="K1271" i="1"/>
  <c r="K1272" i="1" a="1"/>
  <c r="K1272" i="1" s="1"/>
  <c r="K1273" i="1" a="1"/>
  <c r="K1273" i="1"/>
  <c r="K1274" i="1" a="1"/>
  <c r="K1274" i="1"/>
  <c r="K1275" i="1" a="1"/>
  <c r="K1275" i="1"/>
  <c r="K1276" i="1" a="1"/>
  <c r="K1276" i="1"/>
  <c r="K1277" i="1" a="1"/>
  <c r="K1277" i="1"/>
  <c r="K1278" i="1" a="1"/>
  <c r="K1278" i="1" s="1"/>
  <c r="K1279" i="1" a="1"/>
  <c r="K1279" i="1"/>
  <c r="K1280" i="1" a="1"/>
  <c r="K1280" i="1"/>
  <c r="K1281" i="1" a="1"/>
  <c r="K1281" i="1"/>
  <c r="K1282" i="1" a="1"/>
  <c r="K1282" i="1" s="1"/>
  <c r="K1283" i="1" a="1"/>
  <c r="K1283" i="1" s="1"/>
  <c r="K1284" i="1" a="1"/>
  <c r="K1284" i="1" s="1"/>
  <c r="K1285" i="1" a="1"/>
  <c r="K1285" i="1"/>
  <c r="K1286" i="1" a="1"/>
  <c r="K1286" i="1"/>
  <c r="K1287" i="1" a="1"/>
  <c r="K1287" i="1"/>
  <c r="K1288" i="1" a="1"/>
  <c r="K1288" i="1"/>
  <c r="K1289" i="1" a="1"/>
  <c r="K1289" i="1"/>
  <c r="K1290" i="1" a="1"/>
  <c r="K1290" i="1" s="1"/>
  <c r="K1291" i="1" a="1"/>
  <c r="K1291" i="1"/>
  <c r="K1292" i="1" a="1"/>
  <c r="K1292" i="1"/>
  <c r="K1293" i="1" a="1"/>
  <c r="K1293" i="1"/>
  <c r="K1294" i="1" a="1"/>
  <c r="K1294" i="1"/>
  <c r="K1295" i="1" a="1"/>
  <c r="K1295" i="1" s="1"/>
  <c r="K1296" i="1" a="1"/>
  <c r="K1296" i="1" s="1"/>
  <c r="K1297" i="1" a="1"/>
  <c r="K1297" i="1"/>
  <c r="K1298" i="1" a="1"/>
  <c r="K1298" i="1"/>
  <c r="K1299" i="1" a="1"/>
  <c r="K1299" i="1"/>
  <c r="K1300" i="1" a="1"/>
  <c r="K1300" i="1"/>
  <c r="K1301" i="1" a="1"/>
  <c r="K1301" i="1"/>
  <c r="K1302" i="1" a="1"/>
  <c r="K1302" i="1" s="1"/>
  <c r="K1303" i="1" a="1"/>
  <c r="K1303" i="1" s="1"/>
  <c r="K1304" i="1" a="1"/>
  <c r="K1304" i="1"/>
  <c r="K1305" i="1" a="1"/>
  <c r="K1305" i="1"/>
  <c r="K1306" i="1" a="1"/>
  <c r="K1306" i="1"/>
  <c r="K1307" i="1" a="1"/>
  <c r="K1307" i="1"/>
  <c r="K1308" i="1" a="1"/>
  <c r="K1308" i="1" s="1"/>
  <c r="K1309" i="1" a="1"/>
  <c r="K1309" i="1"/>
  <c r="K1310" i="1" a="1"/>
  <c r="K1310" i="1"/>
  <c r="K1311" i="1" a="1"/>
  <c r="K1311" i="1"/>
  <c r="K1312" i="1" a="1"/>
  <c r="K1312" i="1"/>
  <c r="K1313" i="1" a="1"/>
  <c r="K1313" i="1"/>
  <c r="K1314" i="1" a="1"/>
  <c r="K1314" i="1" s="1"/>
  <c r="K1315" i="1" a="1"/>
  <c r="K1315" i="1" s="1"/>
  <c r="K1316" i="1" a="1"/>
  <c r="K1316" i="1" s="1"/>
  <c r="K1317" i="1" a="1"/>
  <c r="K1317" i="1"/>
  <c r="K1318" i="1" a="1"/>
  <c r="K1318" i="1"/>
  <c r="K1319" i="1" a="1"/>
  <c r="K1319" i="1"/>
  <c r="K1320" i="1" a="1"/>
  <c r="K1320" i="1" s="1"/>
  <c r="K1321" i="1" a="1"/>
  <c r="K1321" i="1"/>
  <c r="K1322" i="1" a="1"/>
  <c r="K1322" i="1"/>
  <c r="K1323" i="1" a="1"/>
  <c r="K1323" i="1"/>
  <c r="K1324" i="1" a="1"/>
  <c r="K1324" i="1"/>
  <c r="K1325" i="1" a="1"/>
  <c r="K1325" i="1"/>
  <c r="K1326" i="1" a="1"/>
  <c r="K1326" i="1" s="1"/>
  <c r="K1327" i="1" a="1"/>
  <c r="K1327" i="1"/>
  <c r="K1328" i="1" a="1"/>
  <c r="K1328" i="1" s="1"/>
  <c r="K1329" i="1" a="1"/>
  <c r="K1329" i="1" s="1"/>
  <c r="K1330" i="1" a="1"/>
  <c r="K1330" i="1"/>
  <c r="K1331" i="1" a="1"/>
  <c r="K1331" i="1"/>
  <c r="K1332" i="1" a="1"/>
  <c r="K1332" i="1" s="1"/>
  <c r="K1333" i="1" a="1"/>
  <c r="K1333" i="1"/>
  <c r="K1334" i="1" a="1"/>
  <c r="K1334" i="1"/>
  <c r="K1335" i="1" a="1"/>
  <c r="K1335" i="1"/>
  <c r="K1336" i="1" a="1"/>
  <c r="K1336" i="1"/>
  <c r="K1337" i="1" a="1"/>
  <c r="K1337" i="1"/>
  <c r="K1338" i="1" a="1"/>
  <c r="K1338" i="1" s="1"/>
  <c r="K1339" i="1" a="1"/>
  <c r="K1339" i="1"/>
  <c r="K1340" i="1" a="1"/>
  <c r="K1340" i="1"/>
  <c r="K1341" i="1" a="1"/>
  <c r="K1341" i="1" s="1"/>
  <c r="K1342" i="1" a="1"/>
  <c r="K1342" i="1" s="1"/>
  <c r="K1343" i="1" a="1"/>
  <c r="K1343" i="1"/>
  <c r="K1344" i="1" a="1"/>
  <c r="K1344" i="1" s="1"/>
  <c r="K1345" i="1" a="1"/>
  <c r="K1345" i="1"/>
  <c r="K1346" i="1" a="1"/>
  <c r="K1346" i="1"/>
  <c r="K1347" i="1" a="1"/>
  <c r="K1347" i="1"/>
  <c r="K1348" i="1" a="1"/>
  <c r="K1348" i="1"/>
  <c r="K1349" i="1" a="1"/>
  <c r="K1349" i="1"/>
  <c r="K1350" i="1" a="1"/>
  <c r="K1350" i="1" s="1"/>
  <c r="K1351" i="1" a="1"/>
  <c r="K1351" i="1"/>
  <c r="K1352" i="1" a="1"/>
  <c r="K1352" i="1"/>
  <c r="K1353" i="1" a="1"/>
  <c r="K1353" i="1"/>
  <c r="K1354" i="1" a="1"/>
  <c r="K1354" i="1" s="1"/>
  <c r="K1355" i="1" a="1"/>
  <c r="K1355" i="1" s="1"/>
  <c r="K1356" i="1" a="1"/>
  <c r="K1356" i="1" s="1"/>
  <c r="K1357" i="1" a="1"/>
  <c r="K1357" i="1"/>
  <c r="K1358" i="1" a="1"/>
  <c r="K1358" i="1"/>
  <c r="K1359" i="1" a="1"/>
  <c r="K1359" i="1"/>
  <c r="K1360" i="1" a="1"/>
  <c r="K1360" i="1"/>
  <c r="K1361" i="1" a="1"/>
  <c r="K1361" i="1"/>
  <c r="K1362" i="1" a="1"/>
  <c r="K1362" i="1" s="1"/>
  <c r="K1363" i="1" a="1"/>
  <c r="K1363" i="1"/>
  <c r="K1364" i="1" a="1"/>
  <c r="K1364" i="1"/>
  <c r="K1365" i="1" a="1"/>
  <c r="K1365" i="1"/>
  <c r="K1366" i="1" a="1"/>
  <c r="K1366" i="1"/>
  <c r="K1367" i="1" a="1"/>
  <c r="K1367" i="1" s="1"/>
  <c r="K1368" i="1" a="1"/>
  <c r="K1368" i="1" s="1"/>
  <c r="K1369" i="1" a="1"/>
  <c r="K1369" i="1"/>
  <c r="K1370" i="1" a="1"/>
  <c r="K1370" i="1"/>
  <c r="K1371" i="1" a="1"/>
  <c r="K1371" i="1"/>
  <c r="K1372" i="1" a="1"/>
  <c r="K1372" i="1"/>
  <c r="K1373" i="1" a="1"/>
  <c r="K1373" i="1"/>
  <c r="K1374" i="1" a="1"/>
  <c r="K1374" i="1" s="1"/>
  <c r="K1375" i="1" a="1"/>
  <c r="K1375" i="1" s="1"/>
  <c r="K1376" i="1" a="1"/>
  <c r="K1376" i="1"/>
  <c r="K1377" i="1" a="1"/>
  <c r="K1377" i="1"/>
  <c r="K1378" i="1" a="1"/>
  <c r="K1378" i="1"/>
  <c r="K1379" i="1" a="1"/>
  <c r="K1379" i="1"/>
  <c r="K1380" i="1" a="1"/>
  <c r="K1380" i="1" s="1"/>
  <c r="K1381" i="1" a="1"/>
  <c r="K1381" i="1"/>
  <c r="K1382" i="1" a="1"/>
  <c r="K1382" i="1"/>
  <c r="K1383" i="1" a="1"/>
  <c r="K1383" i="1"/>
  <c r="K1384" i="1" a="1"/>
  <c r="K1384" i="1"/>
  <c r="K1385" i="1" a="1"/>
  <c r="K1385" i="1"/>
  <c r="K1386" i="1" a="1"/>
  <c r="K1386" i="1" s="1"/>
  <c r="K1387" i="1" a="1"/>
  <c r="K1387" i="1" s="1"/>
  <c r="K1388" i="1" a="1"/>
  <c r="K1388" i="1" s="1"/>
  <c r="K1389" i="1" a="1"/>
  <c r="K1389" i="1"/>
  <c r="K1390" i="1" a="1"/>
  <c r="K1390" i="1"/>
  <c r="K1391" i="1" a="1"/>
  <c r="K1391" i="1"/>
  <c r="K1392" i="1" a="1"/>
  <c r="K1392" i="1" s="1"/>
  <c r="K1393" i="1" a="1"/>
  <c r="K1393" i="1"/>
  <c r="K1394" i="1" a="1"/>
  <c r="K1394" i="1"/>
  <c r="K1395" i="1" a="1"/>
  <c r="K1395" i="1"/>
  <c r="K1396" i="1" a="1"/>
  <c r="K1396" i="1"/>
  <c r="K1397" i="1" a="1"/>
  <c r="K1397" i="1"/>
  <c r="K1398" i="1" a="1"/>
  <c r="K1398" i="1" s="1"/>
  <c r="K1399" i="1" a="1"/>
  <c r="K1399" i="1"/>
  <c r="K1400" i="1" a="1"/>
  <c r="K1400" i="1" s="1"/>
  <c r="K1401" i="1" a="1"/>
  <c r="K1401" i="1" s="1"/>
  <c r="K1402" i="1" a="1"/>
  <c r="K1402" i="1"/>
  <c r="K1403" i="1" a="1"/>
  <c r="K1403" i="1"/>
  <c r="K1404" i="1" a="1"/>
  <c r="K1404" i="1" s="1"/>
  <c r="K1405" i="1" a="1"/>
  <c r="K1405" i="1"/>
  <c r="K1406" i="1" a="1"/>
  <c r="K1406" i="1"/>
  <c r="K1407" i="1" a="1"/>
  <c r="K1407" i="1"/>
  <c r="K1408" i="1" a="1"/>
  <c r="K1408" i="1"/>
  <c r="K1409" i="1" a="1"/>
  <c r="K1409" i="1"/>
  <c r="K1410" i="1" a="1"/>
  <c r="K1410" i="1" s="1"/>
  <c r="K1411" i="1" a="1"/>
  <c r="K1411" i="1"/>
  <c r="K1412" i="1" a="1"/>
  <c r="K1412" i="1"/>
  <c r="K1413" i="1" a="1"/>
  <c r="K1413" i="1" s="1"/>
  <c r="K1414" i="1" a="1"/>
  <c r="K1414" i="1" s="1"/>
  <c r="K1415" i="1" a="1"/>
  <c r="K1415" i="1"/>
  <c r="K1416" i="1" a="1"/>
  <c r="K1416" i="1" s="1"/>
  <c r="K1417" i="1" a="1"/>
  <c r="K1417" i="1"/>
  <c r="K1418" i="1" a="1"/>
  <c r="K1418" i="1"/>
  <c r="K1419" i="1" a="1"/>
  <c r="K1419" i="1"/>
  <c r="K1420" i="1" a="1"/>
  <c r="K1420" i="1"/>
  <c r="K1421" i="1" a="1"/>
  <c r="K1421" i="1"/>
  <c r="K1422" i="1" a="1"/>
  <c r="K1422" i="1" s="1"/>
  <c r="K1423" i="1" a="1"/>
  <c r="K1423" i="1"/>
  <c r="K1424" i="1" a="1"/>
  <c r="K1424" i="1"/>
  <c r="K1425" i="1" a="1"/>
  <c r="K1425" i="1"/>
  <c r="K1426" i="1" a="1"/>
  <c r="K1426" i="1" s="1"/>
  <c r="K1427" i="1" a="1"/>
  <c r="K1427" i="1" s="1"/>
  <c r="K1428" i="1" a="1"/>
  <c r="K1428" i="1" s="1"/>
  <c r="K1429" i="1" a="1"/>
  <c r="K1429" i="1"/>
  <c r="K1430" i="1" a="1"/>
  <c r="K1430" i="1"/>
  <c r="K1431" i="1" a="1"/>
  <c r="K1431" i="1"/>
  <c r="K1432" i="1" a="1"/>
  <c r="K1432" i="1"/>
  <c r="K1433" i="1" a="1"/>
  <c r="K1433" i="1"/>
  <c r="K1434" i="1" a="1"/>
  <c r="K1434" i="1" s="1"/>
  <c r="K1435" i="1" a="1"/>
  <c r="K1435" i="1"/>
  <c r="K1436" i="1" a="1"/>
  <c r="K1436" i="1"/>
  <c r="K1437" i="1" a="1"/>
  <c r="K1437" i="1"/>
  <c r="K1438" i="1" a="1"/>
  <c r="K1438" i="1"/>
  <c r="K1439" i="1" a="1"/>
  <c r="K1439" i="1" s="1"/>
  <c r="K1440" i="1" a="1"/>
  <c r="K1440" i="1" s="1"/>
  <c r="K1441" i="1" a="1"/>
  <c r="K1441" i="1"/>
  <c r="K1442" i="1" a="1"/>
  <c r="K1442" i="1"/>
  <c r="K1443" i="1" a="1"/>
  <c r="K1443" i="1"/>
  <c r="K1444" i="1" a="1"/>
  <c r="K1444" i="1"/>
  <c r="K1445" i="1" a="1"/>
  <c r="K1445" i="1"/>
  <c r="K1446" i="1" a="1"/>
  <c r="K1446" i="1" s="1"/>
  <c r="K1447" i="1" a="1"/>
  <c r="K1447" i="1" s="1"/>
  <c r="K1448" i="1" a="1"/>
  <c r="K1448" i="1"/>
  <c r="K1449" i="1" a="1"/>
  <c r="K1449" i="1"/>
  <c r="K1450" i="1" a="1"/>
  <c r="K1450" i="1"/>
  <c r="K1451" i="1" a="1"/>
  <c r="K1451" i="1"/>
  <c r="K1452" i="1" a="1"/>
  <c r="K1452" i="1" s="1"/>
  <c r="K1453" i="1" a="1"/>
  <c r="K1453" i="1"/>
  <c r="K1454" i="1" a="1"/>
  <c r="K1454" i="1"/>
  <c r="K1455" i="1" a="1"/>
  <c r="K1455" i="1"/>
  <c r="K1456" i="1" a="1"/>
  <c r="K1456" i="1"/>
  <c r="K1457" i="1" a="1"/>
  <c r="K1457" i="1"/>
  <c r="K1458" i="1" a="1"/>
  <c r="K1458" i="1" s="1"/>
  <c r="K1459" i="1" a="1"/>
  <c r="K1459" i="1" s="1"/>
  <c r="K1460" i="1" a="1"/>
  <c r="K1460" i="1" s="1"/>
  <c r="K1461" i="1" a="1"/>
  <c r="K1461" i="1"/>
  <c r="K1462" i="1" a="1"/>
  <c r="K1462" i="1"/>
  <c r="K1463" i="1" a="1"/>
  <c r="K1463" i="1"/>
  <c r="K1464" i="1" a="1"/>
  <c r="K1464" i="1" s="1"/>
  <c r="K1465" i="1" a="1"/>
  <c r="K1465" i="1"/>
  <c r="K1466" i="1" a="1"/>
  <c r="K1466" i="1"/>
  <c r="K1467" i="1" a="1"/>
  <c r="K1467" i="1"/>
  <c r="K1468" i="1" a="1"/>
  <c r="K1468" i="1"/>
  <c r="K1469" i="1" a="1"/>
  <c r="K1469" i="1"/>
  <c r="K1470" i="1" a="1"/>
  <c r="K1470" i="1" s="1"/>
  <c r="K1471" i="1" a="1"/>
  <c r="K1471" i="1"/>
  <c r="K1472" i="1" a="1"/>
  <c r="K1472" i="1" s="1"/>
  <c r="K1473" i="1" a="1"/>
  <c r="K1473" i="1" s="1"/>
  <c r="K1474" i="1" a="1"/>
  <c r="K1474" i="1"/>
  <c r="K1475" i="1" a="1"/>
  <c r="K1475" i="1"/>
  <c r="K1476" i="1" a="1"/>
  <c r="K1476" i="1" s="1"/>
  <c r="K1477" i="1" a="1"/>
  <c r="K1477" i="1"/>
  <c r="K1478" i="1" a="1"/>
  <c r="K1478" i="1"/>
  <c r="K1479" i="1" a="1"/>
  <c r="K1479" i="1"/>
  <c r="K1480" i="1" a="1"/>
  <c r="K1480" i="1"/>
  <c r="K1481" i="1" a="1"/>
  <c r="K1481" i="1"/>
  <c r="K1482" i="1" a="1"/>
  <c r="K1482" i="1" s="1"/>
  <c r="K1483" i="1" a="1"/>
  <c r="K1483" i="1"/>
  <c r="K1484" i="1" a="1"/>
  <c r="K1484" i="1"/>
  <c r="K1485" i="1" a="1"/>
  <c r="K1485" i="1" s="1"/>
  <c r="K1486" i="1" a="1"/>
  <c r="K1486" i="1" s="1"/>
  <c r="K1487" i="1" a="1"/>
  <c r="K1487" i="1"/>
  <c r="K1488" i="1" a="1"/>
  <c r="K1488" i="1" s="1"/>
  <c r="K1489" i="1" a="1"/>
  <c r="K1489" i="1"/>
  <c r="K1490" i="1" a="1"/>
  <c r="K1490" i="1"/>
  <c r="K1491" i="1" a="1"/>
  <c r="K1491" i="1"/>
  <c r="K1492" i="1" a="1"/>
  <c r="K1492" i="1"/>
  <c r="K1493" i="1" a="1"/>
  <c r="K1493" i="1"/>
  <c r="K1494" i="1" a="1"/>
  <c r="K1494" i="1" s="1"/>
  <c r="K1495" i="1" a="1"/>
  <c r="K1495" i="1"/>
  <c r="K1496" i="1" a="1"/>
  <c r="K1496" i="1"/>
  <c r="K1497" i="1" a="1"/>
  <c r="K1497" i="1"/>
  <c r="K1498" i="1" a="1"/>
  <c r="K1498" i="1" s="1"/>
  <c r="K1499" i="1" a="1"/>
  <c r="K1499" i="1" s="1"/>
  <c r="K1500" i="1" a="1"/>
  <c r="K1500" i="1" s="1"/>
  <c r="K1501" i="1" a="1"/>
  <c r="K1501" i="1"/>
  <c r="K1502" i="1" a="1"/>
  <c r="K1502" i="1"/>
  <c r="K1503" i="1" a="1"/>
  <c r="K1503" i="1"/>
  <c r="K1504" i="1" a="1"/>
  <c r="K1504" i="1"/>
  <c r="K1505" i="1" a="1"/>
  <c r="K1505" i="1"/>
  <c r="K1506" i="1" a="1"/>
  <c r="K1506" i="1" s="1"/>
  <c r="K1507" i="1" a="1"/>
  <c r="K1507" i="1"/>
  <c r="K1508" i="1" a="1"/>
  <c r="K1508" i="1"/>
  <c r="K1509" i="1" a="1"/>
  <c r="K1509" i="1"/>
  <c r="K1510" i="1" a="1"/>
  <c r="K1510" i="1"/>
  <c r="K1511" i="1" a="1"/>
  <c r="K1511" i="1" s="1"/>
  <c r="K1512" i="1" a="1"/>
  <c r="K1512" i="1" s="1"/>
  <c r="K1513" i="1" a="1"/>
  <c r="K1513" i="1"/>
  <c r="K1514" i="1" a="1"/>
  <c r="K1514" i="1"/>
  <c r="K1515" i="1" a="1"/>
  <c r="K1515" i="1"/>
  <c r="K1516" i="1" a="1"/>
  <c r="K1516" i="1"/>
  <c r="K1517" i="1" a="1"/>
  <c r="K1517" i="1"/>
  <c r="K1518" i="1" a="1"/>
  <c r="K1518" i="1" s="1"/>
  <c r="K1519" i="1" a="1"/>
  <c r="K1519" i="1" s="1"/>
  <c r="K1520" i="1" a="1"/>
  <c r="K1520" i="1"/>
  <c r="K1521" i="1" a="1"/>
  <c r="K1521" i="1"/>
  <c r="K1522" i="1" a="1"/>
  <c r="K1522" i="1"/>
  <c r="K1523" i="1" a="1"/>
  <c r="K1523" i="1"/>
  <c r="K1524" i="1" a="1"/>
  <c r="K1524" i="1" s="1"/>
  <c r="K1525" i="1" a="1"/>
  <c r="K1525" i="1"/>
  <c r="K1526" i="1" a="1"/>
  <c r="K1526" i="1"/>
  <c r="K1527" i="1" a="1"/>
  <c r="K1527" i="1"/>
  <c r="K1528" i="1" a="1"/>
  <c r="K1528" i="1"/>
  <c r="K1529" i="1" a="1"/>
  <c r="K1529" i="1"/>
  <c r="K1530" i="1" a="1"/>
  <c r="K1530" i="1" s="1"/>
  <c r="K1531" i="1" a="1"/>
  <c r="K1531" i="1" s="1"/>
  <c r="K1532" i="1" a="1"/>
  <c r="K1532" i="1" s="1"/>
  <c r="K1533" i="1" a="1"/>
  <c r="K1533" i="1"/>
  <c r="K1534" i="1" a="1"/>
  <c r="K1534" i="1"/>
  <c r="K1535" i="1" a="1"/>
  <c r="K1535" i="1"/>
  <c r="K1536" i="1" a="1"/>
  <c r="K1536" i="1" s="1"/>
  <c r="K1537" i="1" a="1"/>
  <c r="K1537" i="1"/>
  <c r="K1538" i="1" a="1"/>
  <c r="K1538" i="1"/>
  <c r="K1539" i="1" a="1"/>
  <c r="K1539" i="1"/>
  <c r="K1540" i="1" a="1"/>
  <c r="K1540" i="1"/>
  <c r="K1541" i="1" a="1"/>
  <c r="K1541" i="1"/>
  <c r="K1542" i="1" a="1"/>
  <c r="K1542" i="1" s="1"/>
  <c r="K1543" i="1" a="1"/>
  <c r="K1543" i="1"/>
  <c r="K1544" i="1" a="1"/>
  <c r="K1544" i="1" s="1"/>
  <c r="K1545" i="1" a="1"/>
  <c r="K1545" i="1" s="1"/>
  <c r="K1546" i="1" a="1"/>
  <c r="K1546" i="1"/>
  <c r="K1547" i="1" a="1"/>
  <c r="K1547" i="1"/>
  <c r="K1548" i="1" a="1"/>
  <c r="K1548" i="1" s="1"/>
  <c r="K1549" i="1" a="1"/>
  <c r="K1549" i="1"/>
  <c r="K1550" i="1" a="1"/>
  <c r="K1550" i="1"/>
  <c r="K1551" i="1" a="1"/>
  <c r="K1551" i="1"/>
  <c r="K1552" i="1" a="1"/>
  <c r="K1552" i="1"/>
  <c r="K1553" i="1" a="1"/>
  <c r="K1553" i="1"/>
  <c r="K1554" i="1" a="1"/>
  <c r="K1554" i="1" s="1"/>
  <c r="K1555" i="1" a="1"/>
  <c r="K1555" i="1"/>
  <c r="K1556" i="1" a="1"/>
  <c r="K1556" i="1"/>
  <c r="K1557" i="1" a="1"/>
  <c r="K1557" i="1" s="1"/>
  <c r="K1558" i="1" a="1"/>
  <c r="K1558" i="1" s="1"/>
  <c r="K1559" i="1" a="1"/>
  <c r="K1559" i="1"/>
  <c r="K1560" i="1" a="1"/>
  <c r="K1560" i="1" s="1"/>
  <c r="K1561" i="1" a="1"/>
  <c r="K1561" i="1"/>
  <c r="K1562" i="1" a="1"/>
  <c r="K1562" i="1"/>
  <c r="K1563" i="1" a="1"/>
  <c r="K1563" i="1"/>
  <c r="K1564" i="1" a="1"/>
  <c r="K1564" i="1"/>
  <c r="K1565" i="1" a="1"/>
  <c r="K1565" i="1"/>
  <c r="K1566" i="1" a="1"/>
  <c r="K1566" i="1" s="1"/>
  <c r="K1567" i="1" a="1"/>
  <c r="K1567" i="1"/>
  <c r="K1568" i="1" a="1"/>
  <c r="K1568" i="1"/>
  <c r="K1569" i="1" a="1"/>
  <c r="K1569" i="1"/>
  <c r="K1570" i="1" a="1"/>
  <c r="K1570" i="1" s="1"/>
  <c r="K1571" i="1" a="1"/>
  <c r="K1571" i="1" s="1"/>
  <c r="K1572" i="1" a="1"/>
  <c r="K1572" i="1" s="1"/>
  <c r="K1573" i="1" a="1"/>
  <c r="K1573" i="1"/>
  <c r="K1574" i="1" a="1"/>
  <c r="K1574" i="1"/>
  <c r="K1575" i="1" a="1"/>
  <c r="K1575" i="1"/>
  <c r="K1576" i="1" a="1"/>
  <c r="K1576" i="1"/>
  <c r="K1577" i="1" a="1"/>
  <c r="K1577" i="1"/>
  <c r="K1578" i="1" a="1"/>
  <c r="K1578" i="1" s="1"/>
  <c r="K1579" i="1" a="1"/>
  <c r="K1579" i="1"/>
  <c r="K1580" i="1" a="1"/>
  <c r="K1580" i="1"/>
  <c r="K1581" i="1" a="1"/>
  <c r="K1581" i="1"/>
  <c r="K1582" i="1" a="1"/>
  <c r="K1582" i="1"/>
  <c r="K1583" i="1" a="1"/>
  <c r="K1583" i="1" s="1"/>
  <c r="K1584" i="1" a="1"/>
  <c r="K1584" i="1" s="1"/>
  <c r="K1585" i="1" a="1"/>
  <c r="K1585" i="1"/>
  <c r="K1586" i="1" a="1"/>
  <c r="K1586" i="1"/>
  <c r="K1587" i="1" a="1"/>
  <c r="K1587" i="1"/>
  <c r="K1588" i="1" a="1"/>
  <c r="K1588" i="1"/>
  <c r="K1589" i="1" a="1"/>
  <c r="K1589" i="1"/>
  <c r="K1590" i="1" a="1"/>
  <c r="K1590" i="1" s="1"/>
  <c r="K1591" i="1" a="1"/>
  <c r="K1591" i="1" s="1"/>
  <c r="K1592" i="1" a="1"/>
  <c r="K1592" i="1"/>
  <c r="K1593" i="1" a="1"/>
  <c r="K1593" i="1"/>
  <c r="K1594" i="1" a="1"/>
  <c r="K1594" i="1"/>
  <c r="K1595" i="1" a="1"/>
  <c r="K1595" i="1"/>
  <c r="K1596" i="1" a="1"/>
  <c r="K1596" i="1" s="1"/>
  <c r="K1597" i="1" a="1"/>
  <c r="K1597" i="1"/>
  <c r="K1598" i="1" a="1"/>
  <c r="K1598" i="1"/>
  <c r="K1599" i="1" a="1"/>
  <c r="K1599" i="1"/>
  <c r="K1600" i="1" a="1"/>
  <c r="K1600" i="1"/>
  <c r="K1601" i="1" a="1"/>
  <c r="K1601" i="1"/>
  <c r="K1602" i="1" a="1"/>
  <c r="K1602" i="1" s="1"/>
  <c r="K1603" i="1" a="1"/>
  <c r="K1603" i="1" s="1"/>
  <c r="K1604" i="1" a="1"/>
  <c r="K1604" i="1" s="1"/>
  <c r="K1605" i="1" a="1"/>
  <c r="K1605" i="1"/>
  <c r="K1606" i="1" a="1"/>
  <c r="K1606" i="1"/>
  <c r="K1607" i="1" a="1"/>
  <c r="K1607" i="1"/>
  <c r="K1608" i="1" a="1"/>
  <c r="K1608" i="1" s="1"/>
  <c r="K1609" i="1" a="1"/>
  <c r="K1609" i="1"/>
  <c r="K1610" i="1" a="1"/>
  <c r="K1610" i="1"/>
  <c r="K1611" i="1" a="1"/>
  <c r="K1611" i="1"/>
  <c r="K1612" i="1" a="1"/>
  <c r="K1612" i="1"/>
  <c r="K1613" i="1" a="1"/>
  <c r="K1613" i="1"/>
  <c r="K1614" i="1" a="1"/>
  <c r="K1614" i="1" s="1"/>
  <c r="K1615" i="1" a="1"/>
  <c r="K1615" i="1"/>
  <c r="K1616" i="1" a="1"/>
  <c r="K1616" i="1" s="1"/>
  <c r="K1617" i="1" a="1"/>
  <c r="K1617" i="1" s="1"/>
  <c r="K1618" i="1" a="1"/>
  <c r="K1618" i="1"/>
  <c r="K1619" i="1" a="1"/>
  <c r="K1619" i="1"/>
  <c r="K1620" i="1" a="1"/>
  <c r="K1620" i="1" s="1"/>
  <c r="K1621" i="1" a="1"/>
  <c r="K1621" i="1"/>
  <c r="K1622" i="1" a="1"/>
  <c r="K1622" i="1"/>
  <c r="K1623" i="1" a="1"/>
  <c r="K1623" i="1"/>
  <c r="K1624" i="1" a="1"/>
  <c r="K1624" i="1"/>
  <c r="K1625" i="1" a="1"/>
  <c r="K1625" i="1"/>
  <c r="K1626" i="1" a="1"/>
  <c r="K1626" i="1" s="1"/>
  <c r="K1627" i="1" a="1"/>
  <c r="K1627" i="1"/>
  <c r="K1628" i="1" a="1"/>
  <c r="K1628" i="1"/>
  <c r="K1629" i="1" a="1"/>
  <c r="K1629" i="1" s="1"/>
  <c r="K1630" i="1" a="1"/>
  <c r="K1630" i="1" s="1"/>
  <c r="K1631" i="1" a="1"/>
  <c r="K1631" i="1"/>
  <c r="K1632" i="1" a="1"/>
  <c r="K1632" i="1" s="1"/>
  <c r="K1633" i="1" a="1"/>
  <c r="K1633" i="1"/>
  <c r="K1634" i="1" a="1"/>
  <c r="K1634" i="1"/>
  <c r="K1635" i="1" a="1"/>
  <c r="K1635" i="1"/>
  <c r="K1636" i="1" a="1"/>
  <c r="K1636" i="1"/>
  <c r="K1637" i="1" a="1"/>
  <c r="K1637" i="1"/>
  <c r="K1638" i="1" a="1"/>
  <c r="K1638" i="1" s="1"/>
  <c r="K1639" i="1" a="1"/>
  <c r="K1639" i="1"/>
  <c r="K1640" i="1" a="1"/>
  <c r="K1640" i="1"/>
  <c r="K1641" i="1" a="1"/>
  <c r="K1641" i="1"/>
  <c r="K1642" i="1" a="1"/>
  <c r="K1642" i="1" s="1"/>
  <c r="K1643" i="1" a="1"/>
  <c r="K1643" i="1" s="1"/>
  <c r="K1644" i="1" a="1"/>
  <c r="K1644" i="1" s="1"/>
  <c r="K1645" i="1" a="1"/>
  <c r="K1645" i="1"/>
  <c r="K1646" i="1" a="1"/>
  <c r="K1646" i="1"/>
  <c r="K1647" i="1" a="1"/>
  <c r="K1647" i="1"/>
  <c r="K1648" i="1" a="1"/>
  <c r="K1648" i="1"/>
  <c r="K1649" i="1" a="1"/>
  <c r="K1649" i="1"/>
  <c r="K1650" i="1" a="1"/>
  <c r="K1650" i="1" s="1"/>
  <c r="K1651" i="1" a="1"/>
  <c r="K1651" i="1"/>
  <c r="K1652" i="1" a="1"/>
  <c r="K1652" i="1"/>
  <c r="K1653" i="1" a="1"/>
  <c r="K1653" i="1"/>
  <c r="K1654" i="1" a="1"/>
  <c r="K1654" i="1"/>
  <c r="K1655" i="1" a="1"/>
  <c r="K1655" i="1" s="1"/>
  <c r="K1656" i="1" a="1"/>
  <c r="K1656" i="1" s="1"/>
  <c r="K1657" i="1" a="1"/>
  <c r="K1657" i="1"/>
  <c r="K1658" i="1" a="1"/>
  <c r="K1658" i="1"/>
  <c r="K1659" i="1" a="1"/>
  <c r="K1659" i="1"/>
  <c r="K1660" i="1" a="1"/>
  <c r="K1660" i="1"/>
  <c r="K1661" i="1" a="1"/>
  <c r="K1661" i="1"/>
  <c r="K1662" i="1" a="1"/>
  <c r="K1662" i="1" s="1"/>
  <c r="K1663" i="1" a="1"/>
  <c r="K1663" i="1" s="1"/>
  <c r="K1664" i="1" a="1"/>
  <c r="K1664" i="1"/>
  <c r="K1665" i="1" a="1"/>
  <c r="K1665" i="1"/>
  <c r="K1666" i="1" a="1"/>
  <c r="K1666" i="1"/>
  <c r="K1667" i="1" a="1"/>
  <c r="K1667" i="1"/>
  <c r="K1668" i="1" a="1"/>
  <c r="K1668" i="1" s="1"/>
  <c r="K1669" i="1" a="1"/>
  <c r="K1669" i="1"/>
  <c r="K1670" i="1" a="1"/>
  <c r="K1670" i="1"/>
  <c r="K1671" i="1" a="1"/>
  <c r="K1671" i="1"/>
  <c r="K1672" i="1" a="1"/>
  <c r="K1672" i="1"/>
  <c r="K1673" i="1" a="1"/>
  <c r="K1673" i="1"/>
  <c r="K1674" i="1" a="1"/>
  <c r="K1674" i="1" s="1"/>
  <c r="K1675" i="1" a="1"/>
  <c r="K1675" i="1" s="1"/>
  <c r="K1676" i="1" a="1"/>
  <c r="K1676" i="1" s="1"/>
  <c r="K1677" i="1" a="1"/>
  <c r="K1677" i="1"/>
  <c r="K1678" i="1" a="1"/>
  <c r="K1678" i="1"/>
  <c r="K1679" i="1" a="1"/>
  <c r="K1679" i="1"/>
  <c r="K1680" i="1" a="1"/>
  <c r="K1680" i="1" s="1"/>
  <c r="K1681" i="1" a="1"/>
  <c r="K1681" i="1"/>
  <c r="K1682" i="1" a="1"/>
  <c r="K1682" i="1"/>
  <c r="K1683" i="1" a="1"/>
  <c r="K1683" i="1"/>
  <c r="K1684" i="1" a="1"/>
  <c r="K1684" i="1"/>
  <c r="K1685" i="1" a="1"/>
  <c r="K1685" i="1"/>
  <c r="K1686" i="1" a="1"/>
  <c r="K1686" i="1" s="1"/>
  <c r="K1687" i="1" a="1"/>
  <c r="K1687" i="1"/>
  <c r="K1688" i="1" a="1"/>
  <c r="K1688" i="1" s="1"/>
  <c r="K1689" i="1" a="1"/>
  <c r="K1689" i="1" s="1"/>
  <c r="K1690" i="1" a="1"/>
  <c r="K1690" i="1"/>
  <c r="K1691" i="1" a="1"/>
  <c r="K1691" i="1"/>
  <c r="K1692" i="1" a="1"/>
  <c r="K1692" i="1" s="1"/>
  <c r="K1693" i="1" a="1"/>
  <c r="K1693" i="1"/>
  <c r="K1694" i="1" a="1"/>
  <c r="K1694" i="1"/>
  <c r="K1695" i="1" a="1"/>
  <c r="K1695" i="1"/>
  <c r="K1696" i="1" a="1"/>
  <c r="K1696" i="1"/>
  <c r="K1697" i="1" a="1"/>
  <c r="K1697" i="1"/>
  <c r="K1698" i="1" a="1"/>
  <c r="K1698" i="1" s="1"/>
  <c r="K1699" i="1" a="1"/>
  <c r="K1699" i="1"/>
  <c r="K1700" i="1" a="1"/>
  <c r="K1700" i="1"/>
  <c r="K1701" i="1" a="1"/>
  <c r="K1701" i="1" s="1"/>
  <c r="K1702" i="1" a="1"/>
  <c r="K1702" i="1" s="1"/>
  <c r="K1703" i="1" a="1"/>
  <c r="K1703" i="1"/>
  <c r="K1704" i="1" a="1"/>
  <c r="K1704" i="1" s="1"/>
  <c r="K1705" i="1" a="1"/>
  <c r="K1705" i="1"/>
  <c r="K1706" i="1" a="1"/>
  <c r="K1706" i="1"/>
  <c r="K1707" i="1" a="1"/>
  <c r="K1707" i="1"/>
  <c r="K1708" i="1" a="1"/>
  <c r="K1708" i="1"/>
  <c r="K1709" i="1" a="1"/>
  <c r="K1709" i="1"/>
  <c r="K1710" i="1" a="1"/>
  <c r="K1710" i="1" s="1"/>
  <c r="K1711" i="1" a="1"/>
  <c r="K1711" i="1"/>
  <c r="K1712" i="1" a="1"/>
  <c r="K1712" i="1"/>
  <c r="K1713" i="1" a="1"/>
  <c r="K1713" i="1"/>
  <c r="K1714" i="1" a="1"/>
  <c r="K1714" i="1" s="1"/>
  <c r="K1715" i="1" a="1"/>
  <c r="K1715" i="1" s="1"/>
  <c r="K1716" i="1" a="1"/>
  <c r="K1716" i="1" s="1"/>
  <c r="K1717" i="1" a="1"/>
  <c r="K1717" i="1"/>
  <c r="K1718" i="1" a="1"/>
  <c r="K1718" i="1"/>
  <c r="K1719" i="1" a="1"/>
  <c r="K1719" i="1"/>
  <c r="K1720" i="1" a="1"/>
  <c r="K1720" i="1"/>
  <c r="K1721" i="1" a="1"/>
  <c r="K1721" i="1"/>
  <c r="K1722" i="1" a="1"/>
  <c r="K1722" i="1" s="1"/>
  <c r="K1723" i="1" a="1"/>
  <c r="K1723" i="1"/>
  <c r="K1724" i="1" a="1"/>
  <c r="K1724" i="1"/>
  <c r="K1725" i="1" a="1"/>
  <c r="K1725" i="1"/>
  <c r="K1726" i="1" a="1"/>
  <c r="K1726" i="1"/>
  <c r="K1727" i="1" a="1"/>
  <c r="K1727" i="1" s="1"/>
  <c r="K1728" i="1" a="1"/>
  <c r="K1728" i="1" s="1"/>
  <c r="K1729" i="1" a="1"/>
  <c r="K1729" i="1"/>
  <c r="K1730" i="1" a="1"/>
  <c r="K1730" i="1"/>
  <c r="K1731" i="1" a="1"/>
  <c r="K1731" i="1"/>
  <c r="K1732" i="1" a="1"/>
  <c r="K1732" i="1"/>
  <c r="K1733" i="1" a="1"/>
  <c r="K1733" i="1"/>
  <c r="K1734" i="1" a="1"/>
  <c r="K1734" i="1" s="1"/>
  <c r="K1735" i="1" a="1"/>
  <c r="K1735" i="1" s="1"/>
  <c r="K1736" i="1" a="1"/>
  <c r="K1736" i="1"/>
  <c r="K1737" i="1" a="1"/>
  <c r="K1737" i="1"/>
  <c r="K1738" i="1" a="1"/>
  <c r="K1738" i="1"/>
  <c r="K1739" i="1" a="1"/>
  <c r="K1739" i="1"/>
  <c r="K1740" i="1" a="1"/>
  <c r="K1740" i="1" s="1"/>
  <c r="K1741" i="1" a="1"/>
  <c r="K1741" i="1" s="1"/>
  <c r="K1742" i="1" a="1"/>
  <c r="K1742" i="1"/>
  <c r="K1743" i="1" a="1"/>
  <c r="K1743" i="1"/>
  <c r="K1744" i="1" a="1"/>
  <c r="K1744" i="1"/>
  <c r="K1745" i="1" a="1"/>
  <c r="K1745" i="1"/>
  <c r="K1746" i="1" a="1"/>
  <c r="K1746" i="1" s="1"/>
  <c r="K1747" i="1" a="1"/>
  <c r="K1747" i="1" s="1"/>
  <c r="K1748" i="1" a="1"/>
  <c r="K1748" i="1"/>
  <c r="K1749" i="1" a="1"/>
  <c r="K1749" i="1"/>
  <c r="K1750" i="1" a="1"/>
  <c r="K1750" i="1"/>
  <c r="K1751" i="1" a="1"/>
  <c r="K1751" i="1"/>
  <c r="K1752" i="1" a="1"/>
  <c r="K1752" i="1" s="1"/>
  <c r="K1753" i="1" a="1"/>
  <c r="K1753" i="1" s="1"/>
  <c r="K1754" i="1" a="1"/>
  <c r="K1754" i="1"/>
  <c r="K1755" i="1" a="1"/>
  <c r="K1755" i="1"/>
  <c r="K1756" i="1" a="1"/>
  <c r="K1756" i="1"/>
  <c r="K1757" i="1" a="1"/>
  <c r="K1757" i="1"/>
  <c r="K1758" i="1" a="1"/>
  <c r="K1758" i="1" s="1"/>
  <c r="K1759" i="1" a="1"/>
  <c r="K1759" i="1" s="1"/>
  <c r="K1760" i="1" a="1"/>
  <c r="K1760" i="1"/>
  <c r="K1761" i="1" a="1"/>
  <c r="K1761" i="1"/>
  <c r="K1762" i="1" a="1"/>
  <c r="K1762" i="1"/>
  <c r="K1763" i="1" a="1"/>
  <c r="K1763" i="1"/>
  <c r="K1764" i="1" a="1"/>
  <c r="K1764" i="1" s="1"/>
  <c r="K1765" i="1" a="1"/>
  <c r="K1765" i="1" s="1"/>
  <c r="K1766" i="1" a="1"/>
  <c r="K1766" i="1"/>
  <c r="K1767" i="1" a="1"/>
  <c r="K1767" i="1"/>
  <c r="K1768" i="1" a="1"/>
  <c r="K1768" i="1"/>
  <c r="K1769" i="1" a="1"/>
  <c r="K1769" i="1"/>
  <c r="K1770" i="1" a="1"/>
  <c r="K1770" i="1" s="1"/>
  <c r="K1771" i="1" a="1"/>
  <c r="K1771" i="1" s="1"/>
  <c r="K1772" i="1" a="1"/>
  <c r="K1772" i="1"/>
  <c r="K1773" i="1" a="1"/>
  <c r="K1773" i="1"/>
  <c r="K1774" i="1" a="1"/>
  <c r="K1774" i="1"/>
  <c r="K1775" i="1" a="1"/>
  <c r="K1775" i="1"/>
  <c r="K1776" i="1" a="1"/>
  <c r="K1776" i="1" s="1"/>
  <c r="K1777" i="1" a="1"/>
  <c r="K1777" i="1" s="1"/>
  <c r="K1778" i="1" a="1"/>
  <c r="K1778" i="1"/>
  <c r="K1779" i="1" a="1"/>
  <c r="K1779" i="1"/>
  <c r="K1780" i="1" a="1"/>
  <c r="K1780" i="1"/>
  <c r="K1781" i="1" a="1"/>
  <c r="K1781" i="1"/>
  <c r="K1782" i="1" a="1"/>
  <c r="K1782" i="1" s="1"/>
  <c r="K1783" i="1" a="1"/>
  <c r="K1783" i="1" s="1"/>
  <c r="K1784" i="1" a="1"/>
  <c r="K1784" i="1"/>
  <c r="K1785" i="1" a="1"/>
  <c r="K1785" i="1"/>
  <c r="K1786" i="1" a="1"/>
  <c r="K1786" i="1"/>
  <c r="K1787" i="1" a="1"/>
  <c r="K1787" i="1"/>
  <c r="K1788" i="1" a="1"/>
  <c r="K1788" i="1" s="1"/>
  <c r="K1789" i="1" a="1"/>
  <c r="K1789" i="1" s="1"/>
  <c r="K1790" i="1" a="1"/>
  <c r="K1790" i="1"/>
  <c r="K1791" i="1" a="1"/>
  <c r="K1791" i="1"/>
  <c r="K1792" i="1" a="1"/>
  <c r="K1792" i="1"/>
  <c r="K1793" i="1" a="1"/>
  <c r="K1793" i="1"/>
  <c r="K1794" i="1" a="1"/>
  <c r="K1794" i="1" s="1"/>
  <c r="K1795" i="1" a="1"/>
  <c r="K1795" i="1" s="1"/>
  <c r="K1796" i="1" a="1"/>
  <c r="K1796" i="1"/>
  <c r="K1797" i="1" a="1"/>
  <c r="K1797" i="1"/>
  <c r="K1798" i="1" a="1"/>
  <c r="K1798" i="1"/>
  <c r="K1799" i="1" a="1"/>
  <c r="K1799" i="1"/>
  <c r="K1800" i="1" a="1"/>
  <c r="K1800" i="1" s="1"/>
  <c r="K1801" i="1" a="1"/>
  <c r="K1801" i="1" s="1"/>
  <c r="K1802" i="1" a="1"/>
  <c r="K1802" i="1"/>
  <c r="K1803" i="1" a="1"/>
  <c r="K1803" i="1"/>
  <c r="K1804" i="1" a="1"/>
  <c r="K1804" i="1"/>
  <c r="K1805" i="1" a="1"/>
  <c r="K1805" i="1"/>
  <c r="K1806" i="1" a="1"/>
  <c r="K1806" i="1" s="1"/>
  <c r="K1807" i="1" a="1"/>
  <c r="K1807" i="1" s="1"/>
  <c r="K1808" i="1" a="1"/>
  <c r="K1808" i="1"/>
  <c r="K1809" i="1" a="1"/>
  <c r="K1809" i="1"/>
  <c r="K1810" i="1" a="1"/>
  <c r="K1810" i="1"/>
  <c r="K1811" i="1" a="1"/>
  <c r="K1811" i="1"/>
  <c r="K1812" i="1" a="1"/>
  <c r="K1812" i="1" s="1"/>
  <c r="K1813" i="1" a="1"/>
  <c r="K1813" i="1" s="1"/>
  <c r="K1814" i="1" a="1"/>
  <c r="K1814" i="1"/>
  <c r="K1815" i="1" a="1"/>
  <c r="K1815" i="1"/>
  <c r="K1816" i="1" a="1"/>
  <c r="K1816" i="1"/>
  <c r="K1817" i="1" a="1"/>
  <c r="K1817" i="1"/>
  <c r="K1818" i="1" a="1"/>
  <c r="K1818" i="1" s="1"/>
  <c r="K1819" i="1" a="1"/>
  <c r="K1819" i="1" s="1"/>
  <c r="K1820" i="1" a="1"/>
  <c r="K1820" i="1"/>
  <c r="K1821" i="1" a="1"/>
  <c r="K1821" i="1"/>
  <c r="K1822" i="1" a="1"/>
  <c r="K1822" i="1"/>
  <c r="K1823" i="1" a="1"/>
  <c r="K1823" i="1"/>
  <c r="K1824" i="1" a="1"/>
  <c r="K1824" i="1" s="1"/>
  <c r="K1825" i="1" a="1"/>
  <c r="K1825" i="1" s="1"/>
  <c r="K1826" i="1" a="1"/>
  <c r="K1826" i="1"/>
  <c r="K1827" i="1" a="1"/>
  <c r="K1827" i="1"/>
  <c r="K1828" i="1" a="1"/>
  <c r="K1828" i="1"/>
  <c r="K1829" i="1" a="1"/>
  <c r="K1829" i="1"/>
  <c r="K1830" i="1" a="1"/>
  <c r="K1830" i="1" s="1"/>
  <c r="K1831" i="1" a="1"/>
  <c r="K1831" i="1" s="1"/>
  <c r="K1832" i="1" a="1"/>
  <c r="K1832" i="1"/>
  <c r="K1833" i="1" a="1"/>
  <c r="K1833" i="1"/>
  <c r="K1834" i="1" a="1"/>
  <c r="K1834" i="1"/>
  <c r="K1835" i="1" a="1"/>
  <c r="K1835" i="1"/>
  <c r="K1836" i="1" a="1"/>
  <c r="K1836" i="1" s="1"/>
  <c r="K1837" i="1" a="1"/>
  <c r="K1837" i="1" s="1"/>
  <c r="K1838" i="1" a="1"/>
  <c r="K1838" i="1"/>
  <c r="K1839" i="1" a="1"/>
  <c r="K1839" i="1"/>
  <c r="K1840" i="1" a="1"/>
  <c r="K1840" i="1"/>
  <c r="K1841" i="1" a="1"/>
  <c r="K1841" i="1"/>
  <c r="K1842" i="1" a="1"/>
  <c r="K1842" i="1" s="1"/>
  <c r="K1843" i="1" a="1"/>
  <c r="K1843" i="1" s="1"/>
  <c r="K1844" i="1" a="1"/>
  <c r="K1844" i="1"/>
  <c r="K1845" i="1" a="1"/>
  <c r="K1845" i="1"/>
  <c r="K1846" i="1" a="1"/>
  <c r="K1846" i="1"/>
  <c r="K1847" i="1" a="1"/>
  <c r="K1847" i="1"/>
  <c r="K1848" i="1" a="1"/>
  <c r="K1848" i="1" s="1"/>
  <c r="K1849" i="1" a="1"/>
  <c r="K1849" i="1" s="1"/>
  <c r="K1850" i="1" a="1"/>
  <c r="K1850" i="1"/>
  <c r="K1851" i="1" a="1"/>
  <c r="K1851" i="1"/>
  <c r="K1852" i="1" a="1"/>
  <c r="K1852" i="1"/>
  <c r="K1853" i="1" a="1"/>
  <c r="K1853" i="1"/>
  <c r="K1854" i="1" a="1"/>
  <c r="K1854" i="1" s="1"/>
  <c r="K1855" i="1" a="1"/>
  <c r="K1855" i="1" s="1"/>
  <c r="K1856" i="1" a="1"/>
  <c r="K1856" i="1"/>
  <c r="K1857" i="1" a="1"/>
  <c r="K1857" i="1"/>
  <c r="K1858" i="1" a="1"/>
  <c r="K1858" i="1"/>
  <c r="K1859" i="1" a="1"/>
  <c r="K1859" i="1"/>
  <c r="K1860" i="1" a="1"/>
  <c r="K1860" i="1" s="1"/>
  <c r="K1861" i="1" a="1"/>
  <c r="K1861" i="1" s="1"/>
  <c r="K1862" i="1" a="1"/>
  <c r="K1862" i="1"/>
  <c r="K1863" i="1" a="1"/>
  <c r="K1863" i="1"/>
  <c r="K1864" i="1" a="1"/>
  <c r="K1864" i="1"/>
  <c r="K1865" i="1" a="1"/>
  <c r="K1865" i="1"/>
  <c r="K1866" i="1" a="1"/>
  <c r="K1866" i="1" s="1"/>
  <c r="K1867" i="1" a="1"/>
  <c r="K1867" i="1" s="1"/>
  <c r="K1868" i="1" a="1"/>
  <c r="K1868" i="1"/>
  <c r="K1869" i="1" a="1"/>
  <c r="K1869" i="1"/>
  <c r="K1870" i="1" a="1"/>
  <c r="K1870" i="1"/>
  <c r="K1871" i="1" a="1"/>
  <c r="K1871" i="1"/>
  <c r="K1872" i="1" a="1"/>
  <c r="K1872" i="1" s="1"/>
  <c r="K1873" i="1" a="1"/>
  <c r="K1873" i="1" s="1"/>
  <c r="K1874" i="1" a="1"/>
  <c r="K1874" i="1"/>
  <c r="K1875" i="1" a="1"/>
  <c r="K1875" i="1"/>
  <c r="K1876" i="1" a="1"/>
  <c r="K1876" i="1"/>
  <c r="K1877" i="1" a="1"/>
  <c r="K1877" i="1"/>
  <c r="K1878" i="1" a="1"/>
  <c r="K1878" i="1" s="1"/>
  <c r="K1879" i="1" a="1"/>
  <c r="K1879" i="1" s="1"/>
  <c r="K1880" i="1" a="1"/>
  <c r="K1880" i="1"/>
  <c r="K1881" i="1" a="1"/>
  <c r="K1881" i="1"/>
  <c r="K1882" i="1" a="1"/>
  <c r="K1882" i="1"/>
  <c r="K1883" i="1" a="1"/>
  <c r="K1883" i="1"/>
  <c r="K1884" i="1" a="1"/>
  <c r="K1884" i="1" s="1"/>
  <c r="K1885" i="1" a="1"/>
  <c r="K1885" i="1" s="1"/>
  <c r="K1886" i="1" a="1"/>
  <c r="K1886" i="1"/>
  <c r="K1887" i="1" a="1"/>
  <c r="K1887" i="1"/>
  <c r="K1888" i="1" a="1"/>
  <c r="K1888" i="1"/>
  <c r="K1889" i="1" a="1"/>
  <c r="K1889" i="1"/>
  <c r="K1890" i="1" a="1"/>
  <c r="K1890" i="1" s="1"/>
  <c r="K1891" i="1" a="1"/>
  <c r="K1891" i="1" s="1"/>
  <c r="K1892" i="1" a="1"/>
  <c r="K1892" i="1"/>
  <c r="K1893" i="1" a="1"/>
  <c r="K1893" i="1"/>
  <c r="K1894" i="1" a="1"/>
  <c r="K1894" i="1"/>
  <c r="K1895" i="1" a="1"/>
  <c r="K1895" i="1"/>
  <c r="K1896" i="1" a="1"/>
  <c r="K1896" i="1" s="1"/>
  <c r="K1897" i="1" a="1"/>
  <c r="K1897" i="1" s="1"/>
  <c r="K1898" i="1" a="1"/>
  <c r="K1898" i="1"/>
  <c r="K1899" i="1" a="1"/>
  <c r="K1899" i="1"/>
  <c r="K1900" i="1" a="1"/>
  <c r="K1900" i="1"/>
  <c r="K1901" i="1" a="1"/>
  <c r="K1901" i="1"/>
  <c r="K1902" i="1" a="1"/>
  <c r="K1902" i="1" s="1"/>
  <c r="K1903" i="1" a="1"/>
  <c r="K1903" i="1" s="1"/>
  <c r="K1904" i="1" a="1"/>
  <c r="K1904" i="1"/>
  <c r="K1905" i="1" a="1"/>
  <c r="K1905" i="1"/>
  <c r="K1906" i="1" a="1"/>
  <c r="K1906" i="1"/>
  <c r="K1907" i="1" a="1"/>
  <c r="K1907" i="1"/>
  <c r="K1908" i="1" a="1"/>
  <c r="K1908" i="1" s="1"/>
  <c r="K1909" i="1" a="1"/>
  <c r="K1909" i="1" s="1"/>
  <c r="K1910" i="1" a="1"/>
  <c r="K1910" i="1"/>
  <c r="K1911" i="1" a="1"/>
  <c r="K1911" i="1"/>
  <c r="K1912" i="1" a="1"/>
  <c r="K1912" i="1"/>
  <c r="K1913" i="1" a="1"/>
  <c r="K1913" i="1"/>
  <c r="K1914" i="1" a="1"/>
  <c r="K1914" i="1" s="1"/>
  <c r="K1915" i="1" a="1"/>
  <c r="K1915" i="1" s="1"/>
  <c r="K1916" i="1" a="1"/>
  <c r="K1916" i="1"/>
  <c r="K1917" i="1" a="1"/>
  <c r="K1917" i="1"/>
  <c r="K1918" i="1" a="1"/>
  <c r="K1918" i="1"/>
  <c r="K1919" i="1" a="1"/>
  <c r="K1919" i="1"/>
  <c r="K1920" i="1" a="1"/>
  <c r="K1920" i="1" s="1"/>
  <c r="K1921" i="1" a="1"/>
  <c r="K1921" i="1" s="1"/>
  <c r="K1922" i="1" a="1"/>
  <c r="K1922" i="1"/>
  <c r="K1923" i="1" a="1"/>
  <c r="K1923" i="1"/>
  <c r="K1924" i="1" a="1"/>
  <c r="K1924" i="1"/>
  <c r="K1925" i="1" a="1"/>
  <c r="K1925" i="1"/>
  <c r="K1926" i="1" a="1"/>
  <c r="K1926" i="1" s="1"/>
  <c r="K1927" i="1" a="1"/>
  <c r="K1927" i="1" s="1"/>
  <c r="K1928" i="1" a="1"/>
  <c r="K1928" i="1"/>
  <c r="K1929" i="1" a="1"/>
  <c r="K1929" i="1"/>
  <c r="K1930" i="1" a="1"/>
  <c r="K1930" i="1"/>
  <c r="K1931" i="1" a="1"/>
  <c r="K1931" i="1"/>
  <c r="K1932" i="1" a="1"/>
  <c r="K1932" i="1" s="1"/>
  <c r="K1933" i="1" a="1"/>
  <c r="K1933" i="1" s="1"/>
  <c r="K1934" i="1" a="1"/>
  <c r="K1934" i="1"/>
  <c r="K1935" i="1" a="1"/>
  <c r="K1935" i="1"/>
  <c r="K1936" i="1" a="1"/>
  <c r="K1936" i="1"/>
  <c r="K1937" i="1" a="1"/>
  <c r="K1937" i="1"/>
  <c r="K1938" i="1" a="1"/>
  <c r="K1938" i="1" s="1"/>
  <c r="K1939" i="1" a="1"/>
  <c r="K1939" i="1" s="1"/>
  <c r="K1940" i="1" a="1"/>
  <c r="K1940" i="1"/>
  <c r="K1941" i="1" a="1"/>
  <c r="K1941" i="1"/>
  <c r="K1942" i="1" a="1"/>
  <c r="K1942" i="1"/>
  <c r="K1943" i="1" a="1"/>
  <c r="K1943" i="1"/>
  <c r="K1944" i="1" a="1"/>
  <c r="K1944" i="1" s="1"/>
  <c r="K1945" i="1" a="1"/>
  <c r="K1945" i="1" s="1"/>
  <c r="K1946" i="1" a="1"/>
  <c r="K1946" i="1"/>
  <c r="K1947" i="1" a="1"/>
  <c r="K1947" i="1"/>
  <c r="K1948" i="1" a="1"/>
  <c r="K1948" i="1"/>
  <c r="K1949" i="1" a="1"/>
  <c r="K1949" i="1"/>
  <c r="K1950" i="1" a="1"/>
  <c r="K1950" i="1" s="1"/>
  <c r="K1951" i="1" a="1"/>
  <c r="K1951" i="1" s="1"/>
  <c r="K1952" i="1" a="1"/>
  <c r="K1952" i="1"/>
  <c r="K1953" i="1" a="1"/>
  <c r="K1953" i="1"/>
  <c r="K1954" i="1" a="1"/>
  <c r="K1954" i="1"/>
  <c r="K1955" i="1" a="1"/>
  <c r="K1955" i="1"/>
  <c r="K1956" i="1" a="1"/>
  <c r="K1956" i="1" s="1"/>
  <c r="K1957" i="1" a="1"/>
  <c r="K1957" i="1" s="1"/>
  <c r="K1958" i="1" a="1"/>
  <c r="K1958" i="1"/>
  <c r="K1959" i="1" a="1"/>
  <c r="K1959" i="1"/>
  <c r="K1960" i="1" a="1"/>
  <c r="K1960" i="1"/>
  <c r="K1961" i="1" a="1"/>
  <c r="K1961" i="1"/>
  <c r="K1962" i="1" a="1"/>
  <c r="K1962" i="1" s="1"/>
  <c r="K1963" i="1" a="1"/>
  <c r="K1963" i="1" s="1"/>
  <c r="K1964" i="1" a="1"/>
  <c r="K1964" i="1"/>
  <c r="K1965" i="1" a="1"/>
  <c r="K1965" i="1"/>
  <c r="K1966" i="1" a="1"/>
  <c r="K1966" i="1"/>
  <c r="K1967" i="1" a="1"/>
  <c r="K1967" i="1"/>
  <c r="K1968" i="1" a="1"/>
  <c r="K1968" i="1" s="1"/>
  <c r="K1969" i="1" a="1"/>
  <c r="K1969" i="1" s="1"/>
  <c r="K1970" i="1" a="1"/>
  <c r="K1970" i="1"/>
  <c r="K1971" i="1" a="1"/>
  <c r="K1971" i="1"/>
  <c r="K1972" i="1" a="1"/>
  <c r="K1972" i="1"/>
  <c r="K1973" i="1" a="1"/>
  <c r="K1973" i="1"/>
  <c r="K1974" i="1" a="1"/>
  <c r="K1974" i="1" s="1"/>
  <c r="K1975" i="1" a="1"/>
  <c r="K1975" i="1" s="1"/>
  <c r="K1976" i="1" a="1"/>
  <c r="K1976" i="1"/>
  <c r="K1977" i="1" a="1"/>
  <c r="K1977" i="1"/>
  <c r="K1978" i="1" a="1"/>
  <c r="K1978" i="1"/>
  <c r="K1979" i="1" a="1"/>
  <c r="K1979" i="1"/>
  <c r="K1980" i="1" a="1"/>
  <c r="K1980" i="1" s="1"/>
  <c r="K1981" i="1" a="1"/>
  <c r="K1981" i="1" s="1"/>
  <c r="K1982" i="1" a="1"/>
  <c r="K1982" i="1"/>
  <c r="K1983" i="1" a="1"/>
  <c r="K1983" i="1"/>
  <c r="K1984" i="1" a="1"/>
  <c r="K1984" i="1"/>
  <c r="K1985" i="1" a="1"/>
  <c r="K1985" i="1"/>
  <c r="K1986" i="1" a="1"/>
  <c r="K1986" i="1" s="1"/>
  <c r="K1987" i="1" a="1"/>
  <c r="K1987" i="1" s="1"/>
  <c r="K1988" i="1" a="1"/>
  <c r="K1988" i="1"/>
  <c r="K1989" i="1" a="1"/>
  <c r="K1989" i="1"/>
  <c r="K1990" i="1" a="1"/>
  <c r="K1990" i="1"/>
  <c r="K1991" i="1" a="1"/>
  <c r="K1991" i="1"/>
  <c r="K1992" i="1" a="1"/>
  <c r="K1992" i="1" s="1"/>
  <c r="K1993" i="1" a="1"/>
  <c r="K1993" i="1" s="1"/>
  <c r="K1994" i="1" a="1"/>
  <c r="K1994" i="1"/>
  <c r="K1995" i="1" a="1"/>
  <c r="K1995" i="1"/>
  <c r="K1996" i="1" a="1"/>
  <c r="K1996" i="1"/>
  <c r="K1997" i="1" a="1"/>
  <c r="K1997" i="1"/>
  <c r="K1998" i="1" a="1"/>
  <c r="K1998" i="1" s="1"/>
  <c r="K1999" i="1" a="1"/>
  <c r="K1999" i="1" s="1"/>
  <c r="K2000" i="1" a="1"/>
  <c r="K2000" i="1"/>
  <c r="K2001" i="1" a="1"/>
  <c r="K2001" i="1"/>
  <c r="I2" i="1"/>
  <c r="F3" i="3" a="1"/>
  <c r="F3" i="3" s="1"/>
  <c r="F4" i="3" a="1"/>
  <c r="F4" i="3"/>
  <c r="F5" i="3" a="1"/>
  <c r="F5" i="3"/>
  <c r="F6" i="3" a="1"/>
  <c r="F6" i="3"/>
  <c r="F7" i="3" a="1"/>
  <c r="F7" i="3"/>
  <c r="F8" i="3" a="1"/>
  <c r="F8" i="3"/>
  <c r="F9" i="3" a="1"/>
  <c r="F9" i="3" s="1"/>
  <c r="F10" i="3" a="1"/>
  <c r="F10" i="3"/>
  <c r="F11" i="3" a="1"/>
  <c r="F11" i="3"/>
  <c r="F2" i="3" a="1"/>
  <c r="F2" i="3" s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<sst xmlns="http://schemas.openxmlformats.org/spreadsheetml/2006/main" count="24638" uniqueCount="7771">
  <si>
    <t>BookingID</t>
  </si>
  <si>
    <t>DateID</t>
  </si>
  <si>
    <t>RoomID</t>
  </si>
  <si>
    <t>CustomerID</t>
  </si>
  <si>
    <t>BranchID</t>
  </si>
  <si>
    <t>TotalAmount</t>
  </si>
  <si>
    <t>CheckInDate</t>
  </si>
  <si>
    <t>CheckOutDate</t>
  </si>
  <si>
    <t>Purpose</t>
  </si>
  <si>
    <t>Stay_Type</t>
  </si>
  <si>
    <t>B0001</t>
  </si>
  <si>
    <t>D20240723</t>
  </si>
  <si>
    <t>R0005</t>
  </si>
  <si>
    <t>C0773</t>
  </si>
  <si>
    <t>H0001</t>
  </si>
  <si>
    <t>₹ 14359</t>
  </si>
  <si>
    <t>23/07/2024</t>
  </si>
  <si>
    <t>27/07/2024</t>
  </si>
  <si>
    <t>Business</t>
  </si>
  <si>
    <t>B0002</t>
  </si>
  <si>
    <t>D20240526</t>
  </si>
  <si>
    <t>R0008</t>
  </si>
  <si>
    <t>C0829</t>
  </si>
  <si>
    <t>H0019</t>
  </si>
  <si>
    <t>₹ 4287</t>
  </si>
  <si>
    <t>26/05/2024</t>
  </si>
  <si>
    <t>28/05/2024</t>
  </si>
  <si>
    <t>Conference</t>
  </si>
  <si>
    <t>B0003</t>
  </si>
  <si>
    <t>D20240217</t>
  </si>
  <si>
    <t>R0009</t>
  </si>
  <si>
    <t>C0334</t>
  </si>
  <si>
    <t>H0011</t>
  </si>
  <si>
    <t>₹ 8912</t>
  </si>
  <si>
    <t>17/02/2024</t>
  </si>
  <si>
    <t>18/02/2024</t>
  </si>
  <si>
    <t>B0004</t>
  </si>
  <si>
    <t>D20240820</t>
  </si>
  <si>
    <t>R0010</t>
  </si>
  <si>
    <t>C0982</t>
  </si>
  <si>
    <t>H0010</t>
  </si>
  <si>
    <t>₹ 6490</t>
  </si>
  <si>
    <t>20/08/2024</t>
  </si>
  <si>
    <t>23/08/2024</t>
  </si>
  <si>
    <t>Wedding</t>
  </si>
  <si>
    <t>B0005</t>
  </si>
  <si>
    <t>D20240709</t>
  </si>
  <si>
    <t>C0422</t>
  </si>
  <si>
    <t>H0002</t>
  </si>
  <si>
    <t>₹ 12293</t>
  </si>
  <si>
    <t>09/07/2024</t>
  </si>
  <si>
    <t>10/07/2024</t>
  </si>
  <si>
    <t>B0006</t>
  </si>
  <si>
    <t>D20240620</t>
  </si>
  <si>
    <t>R0006</t>
  </si>
  <si>
    <t>C0399</t>
  </si>
  <si>
    <t>₹ 12646</t>
  </si>
  <si>
    <t>20/06/2024</t>
  </si>
  <si>
    <t>22/06/2024</t>
  </si>
  <si>
    <t>B0007</t>
  </si>
  <si>
    <t>D20240719</t>
  </si>
  <si>
    <t>R0002</t>
  </si>
  <si>
    <t>C0476</t>
  </si>
  <si>
    <t>H0007</t>
  </si>
  <si>
    <t>₹ 12141</t>
  </si>
  <si>
    <t>19/07/2024</t>
  </si>
  <si>
    <t>B0008</t>
  </si>
  <si>
    <t>D20240522</t>
  </si>
  <si>
    <t>C0889</t>
  </si>
  <si>
    <t>H0008</t>
  </si>
  <si>
    <t>₹ 4429</t>
  </si>
  <si>
    <t>22/05/2024</t>
  </si>
  <si>
    <t>25/05/2024</t>
  </si>
  <si>
    <t>B0009</t>
  </si>
  <si>
    <t>D20241028</t>
  </si>
  <si>
    <t>R0004</t>
  </si>
  <si>
    <t>C0103</t>
  </si>
  <si>
    <t>H0012</t>
  </si>
  <si>
    <t>₹ 18422</t>
  </si>
  <si>
    <t>28/10/2024</t>
  </si>
  <si>
    <t>30/10/2024</t>
  </si>
  <si>
    <t>B0010</t>
  </si>
  <si>
    <t>D20240324</t>
  </si>
  <si>
    <t>R0003</t>
  </si>
  <si>
    <t>C0412</t>
  </si>
  <si>
    <t>H0009</t>
  </si>
  <si>
    <t>₹ 16354</t>
  </si>
  <si>
    <t>24/03/2024</t>
  </si>
  <si>
    <t>27/03/2024</t>
  </si>
  <si>
    <t>B0011</t>
  </si>
  <si>
    <t>D20240916</t>
  </si>
  <si>
    <t>C0838</t>
  </si>
  <si>
    <t>₹ 19783</t>
  </si>
  <si>
    <t>16/09/2024</t>
  </si>
  <si>
    <t>17/09/2024</t>
  </si>
  <si>
    <t>B0012</t>
  </si>
  <si>
    <t>D20240510</t>
  </si>
  <si>
    <t>R0007</t>
  </si>
  <si>
    <t>C0205</t>
  </si>
  <si>
    <t>₹ 11882</t>
  </si>
  <si>
    <t>10/05/2024</t>
  </si>
  <si>
    <t>14/05/2024</t>
  </si>
  <si>
    <t>B0013</t>
  </si>
  <si>
    <t>D20240731</t>
  </si>
  <si>
    <t>C0098</t>
  </si>
  <si>
    <t>₹ 13815</t>
  </si>
  <si>
    <t>31/07/2024</t>
  </si>
  <si>
    <t>03/08/2024</t>
  </si>
  <si>
    <t>B0014</t>
  </si>
  <si>
    <t>D20240530</t>
  </si>
  <si>
    <t>C0033</t>
  </si>
  <si>
    <t>₹ 6816</t>
  </si>
  <si>
    <t>30/05/2024</t>
  </si>
  <si>
    <t>02/06/2024</t>
  </si>
  <si>
    <t>B0015</t>
  </si>
  <si>
    <t>D20241228</t>
  </si>
  <si>
    <t>C0305</t>
  </si>
  <si>
    <t>H0013</t>
  </si>
  <si>
    <t>₹ 16938</t>
  </si>
  <si>
    <t>28/12/2024</t>
  </si>
  <si>
    <t>30/12/2024</t>
  </si>
  <si>
    <t>Vacation</t>
  </si>
  <si>
    <t>B0016</t>
  </si>
  <si>
    <t>D20241212</t>
  </si>
  <si>
    <t>C0172</t>
  </si>
  <si>
    <t>₹ 6478</t>
  </si>
  <si>
    <t>12/12/2024</t>
  </si>
  <si>
    <t>17/12/2024</t>
  </si>
  <si>
    <t>B0017</t>
  </si>
  <si>
    <t>D20240828</t>
  </si>
  <si>
    <t>C0843</t>
  </si>
  <si>
    <t>₹ 5885</t>
  </si>
  <si>
    <t>28/08/2024</t>
  </si>
  <si>
    <t>01/09/2024</t>
  </si>
  <si>
    <t>B0018</t>
  </si>
  <si>
    <t>D20241105</t>
  </si>
  <si>
    <t>C0066</t>
  </si>
  <si>
    <t>₹ 18378</t>
  </si>
  <si>
    <t>05/11/2024</t>
  </si>
  <si>
    <t>09/11/2024</t>
  </si>
  <si>
    <t>B0019</t>
  </si>
  <si>
    <t>D20240307</t>
  </si>
  <si>
    <t>C0474</t>
  </si>
  <si>
    <t>₹ 13125</t>
  </si>
  <si>
    <t>07/03/2024</t>
  </si>
  <si>
    <t>10/03/2024</t>
  </si>
  <si>
    <t>B0020</t>
  </si>
  <si>
    <t>D20240119</t>
  </si>
  <si>
    <t>C0569</t>
  </si>
  <si>
    <t>H0006</t>
  </si>
  <si>
    <t>₹ 9035</t>
  </si>
  <si>
    <t>19/01/2024</t>
  </si>
  <si>
    <t>23/01/2024</t>
  </si>
  <si>
    <t>B0021</t>
  </si>
  <si>
    <t>D20240712</t>
  </si>
  <si>
    <t>C0404</t>
  </si>
  <si>
    <t>H0014</t>
  </si>
  <si>
    <t>₹ 14641</t>
  </si>
  <si>
    <t>12/07/2024</t>
  </si>
  <si>
    <t>16/07/2024</t>
  </si>
  <si>
    <t>B0022</t>
  </si>
  <si>
    <t>D20240425</t>
  </si>
  <si>
    <t>C0076</t>
  </si>
  <si>
    <t>₹ 3406</t>
  </si>
  <si>
    <t>25/04/2024</t>
  </si>
  <si>
    <t>29/04/2024</t>
  </si>
  <si>
    <t>B0023</t>
  </si>
  <si>
    <t>D20241017</t>
  </si>
  <si>
    <t>C0658</t>
  </si>
  <si>
    <t>₹ 18534</t>
  </si>
  <si>
    <t>17/10/2024</t>
  </si>
  <si>
    <t>20/10/2024</t>
  </si>
  <si>
    <t>B0024</t>
  </si>
  <si>
    <t>D20240113</t>
  </si>
  <si>
    <t>R0001</t>
  </si>
  <si>
    <t>C0753</t>
  </si>
  <si>
    <t>H0020</t>
  </si>
  <si>
    <t>₹ 15817</t>
  </si>
  <si>
    <t>13/01/2024</t>
  </si>
  <si>
    <t>18/01/2024</t>
  </si>
  <si>
    <t>B0025</t>
  </si>
  <si>
    <t>D20240208</t>
  </si>
  <si>
    <t>C0315</t>
  </si>
  <si>
    <t>₹ 7845</t>
  </si>
  <si>
    <t>08/02/2024</t>
  </si>
  <si>
    <t>13/02/2024</t>
  </si>
  <si>
    <t>B0026</t>
  </si>
  <si>
    <t>D20240508</t>
  </si>
  <si>
    <t>C0744</t>
  </si>
  <si>
    <t>₹ 11014</t>
  </si>
  <si>
    <t>08/05/2024</t>
  </si>
  <si>
    <t>13/05/2024</t>
  </si>
  <si>
    <t>B0027</t>
  </si>
  <si>
    <t>D20241113</t>
  </si>
  <si>
    <t>C0446</t>
  </si>
  <si>
    <t>₹ 16854</t>
  </si>
  <si>
    <t>13/11/2024</t>
  </si>
  <si>
    <t>16/11/2024</t>
  </si>
  <si>
    <t>B0028</t>
  </si>
  <si>
    <t>D20240621</t>
  </si>
  <si>
    <t>C0367</t>
  </si>
  <si>
    <t>H0005</t>
  </si>
  <si>
    <t>₹ 5884</t>
  </si>
  <si>
    <t>21/06/2024</t>
  </si>
  <si>
    <t>26/06/2024</t>
  </si>
  <si>
    <t>B0029</t>
  </si>
  <si>
    <t>D20241220</t>
  </si>
  <si>
    <t>C0298</t>
  </si>
  <si>
    <t>₹ 6332</t>
  </si>
  <si>
    <t>20/12/2024</t>
  </si>
  <si>
    <t>21/12/2024</t>
  </si>
  <si>
    <t>B0030</t>
  </si>
  <si>
    <t>D20240429</t>
  </si>
  <si>
    <t>C0577</t>
  </si>
  <si>
    <t>H0017</t>
  </si>
  <si>
    <t>₹ 11225</t>
  </si>
  <si>
    <t>30/04/2024</t>
  </si>
  <si>
    <t>B0031</t>
  </si>
  <si>
    <t>D20240108</t>
  </si>
  <si>
    <t>C0782</t>
  </si>
  <si>
    <t>₹ 15654</t>
  </si>
  <si>
    <t>08/01/2024</t>
  </si>
  <si>
    <t>10/01/2024</t>
  </si>
  <si>
    <t>B0032</t>
  </si>
  <si>
    <t>D20240104</t>
  </si>
  <si>
    <t>C0880</t>
  </si>
  <si>
    <t>₹ 10791</t>
  </si>
  <si>
    <t>04/01/2024</t>
  </si>
  <si>
    <t>B0033</t>
  </si>
  <si>
    <t>D20241110</t>
  </si>
  <si>
    <t>C0778</t>
  </si>
  <si>
    <t>₹ 11522</t>
  </si>
  <si>
    <t>10/11/2024</t>
  </si>
  <si>
    <t>12/11/2024</t>
  </si>
  <si>
    <t>B0034</t>
  </si>
  <si>
    <t>D20240221</t>
  </si>
  <si>
    <t>C0588</t>
  </si>
  <si>
    <t>₹ 15361</t>
  </si>
  <si>
    <t>21/02/2024</t>
  </si>
  <si>
    <t>26/02/2024</t>
  </si>
  <si>
    <t>B0035</t>
  </si>
  <si>
    <t>D20241003</t>
  </si>
  <si>
    <t>C0713</t>
  </si>
  <si>
    <t>₹ 10218</t>
  </si>
  <si>
    <t>03/10/2024</t>
  </si>
  <si>
    <t>04/10/2024</t>
  </si>
  <si>
    <t>B0036</t>
  </si>
  <si>
    <t>D20241102</t>
  </si>
  <si>
    <t>C0045</t>
  </si>
  <si>
    <t>₹ 10414</t>
  </si>
  <si>
    <t>02/11/2024</t>
  </si>
  <si>
    <t>B0037</t>
  </si>
  <si>
    <t>D20240327</t>
  </si>
  <si>
    <t>C0849</t>
  </si>
  <si>
    <t>₹ 6517</t>
  </si>
  <si>
    <t>30/03/2024</t>
  </si>
  <si>
    <t>B0038</t>
  </si>
  <si>
    <t>D20240714</t>
  </si>
  <si>
    <t>C0827</t>
  </si>
  <si>
    <t>₹ 5272</t>
  </si>
  <si>
    <t>14/07/2024</t>
  </si>
  <si>
    <t>B0039</t>
  </si>
  <si>
    <t>D20240705</t>
  </si>
  <si>
    <t>C0198</t>
  </si>
  <si>
    <t>₹ 14620</t>
  </si>
  <si>
    <t>05/07/2024</t>
  </si>
  <si>
    <t>06/07/2024</t>
  </si>
  <si>
    <t>B0040</t>
  </si>
  <si>
    <t>D20241016</t>
  </si>
  <si>
    <t>C0004</t>
  </si>
  <si>
    <t>₹ 16272</t>
  </si>
  <si>
    <t>16/10/2024</t>
  </si>
  <si>
    <t>B0041</t>
  </si>
  <si>
    <t>D20240724</t>
  </si>
  <si>
    <t>C0153</t>
  </si>
  <si>
    <t>₹ 9441</t>
  </si>
  <si>
    <t>24/07/2024</t>
  </si>
  <si>
    <t>25/07/2024</t>
  </si>
  <si>
    <t>B0042</t>
  </si>
  <si>
    <t>D20240612</t>
  </si>
  <si>
    <t>C0864</t>
  </si>
  <si>
    <t>₹ 7387</t>
  </si>
  <si>
    <t>12/06/2024</t>
  </si>
  <si>
    <t>14/06/2024</t>
  </si>
  <si>
    <t>B0043</t>
  </si>
  <si>
    <t>D20240910</t>
  </si>
  <si>
    <t>C0866</t>
  </si>
  <si>
    <t>₹ 9495</t>
  </si>
  <si>
    <t>10/09/2024</t>
  </si>
  <si>
    <t>15/09/2024</t>
  </si>
  <si>
    <t>B0044</t>
  </si>
  <si>
    <t>C0294</t>
  </si>
  <si>
    <t>₹ 8504</t>
  </si>
  <si>
    <t>B0045</t>
  </si>
  <si>
    <t>D20240102</t>
  </si>
  <si>
    <t>C0872</t>
  </si>
  <si>
    <t>₹ 12110</t>
  </si>
  <si>
    <t>02/01/2024</t>
  </si>
  <si>
    <t>05/01/2024</t>
  </si>
  <si>
    <t>B0046</t>
  </si>
  <si>
    <t>D20240228</t>
  </si>
  <si>
    <t>C0584</t>
  </si>
  <si>
    <t>₹ 12097</t>
  </si>
  <si>
    <t>28/02/2024</t>
  </si>
  <si>
    <t>03/03/2024</t>
  </si>
  <si>
    <t>B0047</t>
  </si>
  <si>
    <t>D20240605</t>
  </si>
  <si>
    <t>C0326</t>
  </si>
  <si>
    <t>₹ 17066</t>
  </si>
  <si>
    <t>05/06/2024</t>
  </si>
  <si>
    <t>09/06/2024</t>
  </si>
  <si>
    <t>B0048</t>
  </si>
  <si>
    <t>D20240329</t>
  </si>
  <si>
    <t>C0091</t>
  </si>
  <si>
    <t>H0003</t>
  </si>
  <si>
    <t>₹ 9572</t>
  </si>
  <si>
    <t>29/03/2024</t>
  </si>
  <si>
    <t>02/04/2024</t>
  </si>
  <si>
    <t>B0049</t>
  </si>
  <si>
    <t>D20240325</t>
  </si>
  <si>
    <t>C0780</t>
  </si>
  <si>
    <t>₹ 6207</t>
  </si>
  <si>
    <t>25/03/2024</t>
  </si>
  <si>
    <t>B0050</t>
  </si>
  <si>
    <t>D20240131</t>
  </si>
  <si>
    <t>C0421</t>
  </si>
  <si>
    <t>₹ 19417</t>
  </si>
  <si>
    <t>31/01/2024</t>
  </si>
  <si>
    <t>05/02/2024</t>
  </si>
  <si>
    <t>B0051</t>
  </si>
  <si>
    <t>D20240107</t>
  </si>
  <si>
    <t>C0785</t>
  </si>
  <si>
    <t>₹ 3816</t>
  </si>
  <si>
    <t>07/01/2024</t>
  </si>
  <si>
    <t>B0052</t>
  </si>
  <si>
    <t>D20240216</t>
  </si>
  <si>
    <t>C0565</t>
  </si>
  <si>
    <t>₹ 18710</t>
  </si>
  <si>
    <t>16/02/2024</t>
  </si>
  <si>
    <t>20/02/2024</t>
  </si>
  <si>
    <t>B0053</t>
  </si>
  <si>
    <t>D20241027</t>
  </si>
  <si>
    <t>C0320</t>
  </si>
  <si>
    <t>₹ 11341</t>
  </si>
  <si>
    <t>27/10/2024</t>
  </si>
  <si>
    <t>31/10/2024</t>
  </si>
  <si>
    <t>B0054</t>
  </si>
  <si>
    <t>D20241005</t>
  </si>
  <si>
    <t>C0925</t>
  </si>
  <si>
    <t>₹ 3065</t>
  </si>
  <si>
    <t>05/10/2024</t>
  </si>
  <si>
    <t>09/10/2024</t>
  </si>
  <si>
    <t>B0055</t>
  </si>
  <si>
    <t>D20240821</t>
  </si>
  <si>
    <t>C0606</t>
  </si>
  <si>
    <t>₹ 19105</t>
  </si>
  <si>
    <t>21/08/2024</t>
  </si>
  <si>
    <t>24/08/2024</t>
  </si>
  <si>
    <t>B0056</t>
  </si>
  <si>
    <t>D20240415</t>
  </si>
  <si>
    <t>C0434</t>
  </si>
  <si>
    <t>₹ 14873</t>
  </si>
  <si>
    <t>15/04/2024</t>
  </si>
  <si>
    <t>16/04/2024</t>
  </si>
  <si>
    <t>B0057</t>
  </si>
  <si>
    <t>D20240913</t>
  </si>
  <si>
    <t>C0756</t>
  </si>
  <si>
    <t>₹ 13298</t>
  </si>
  <si>
    <t>13/09/2024</t>
  </si>
  <si>
    <t>14/09/2024</t>
  </si>
  <si>
    <t>B0058</t>
  </si>
  <si>
    <t>C0764</t>
  </si>
  <si>
    <t>₹ 12751</t>
  </si>
  <si>
    <t>24/05/2024</t>
  </si>
  <si>
    <t>B0059</t>
  </si>
  <si>
    <t>D20240814</t>
  </si>
  <si>
    <t>₹ 17701</t>
  </si>
  <si>
    <t>14/08/2024</t>
  </si>
  <si>
    <t>18/08/2024</t>
  </si>
  <si>
    <t>B0060</t>
  </si>
  <si>
    <t>D20241111</t>
  </si>
  <si>
    <t>C0530</t>
  </si>
  <si>
    <t>₹ 4573</t>
  </si>
  <si>
    <t>11/11/2024</t>
  </si>
  <si>
    <t>B0061</t>
  </si>
  <si>
    <t>D20241030</t>
  </si>
  <si>
    <t>C0068</t>
  </si>
  <si>
    <t>₹ 12993</t>
  </si>
  <si>
    <t>B0062</t>
  </si>
  <si>
    <t>D20240531</t>
  </si>
  <si>
    <t>C0061</t>
  </si>
  <si>
    <t>₹ 16624</t>
  </si>
  <si>
    <t>31/05/2024</t>
  </si>
  <si>
    <t>04/06/2024</t>
  </si>
  <si>
    <t>B0063</t>
  </si>
  <si>
    <t>D20240923</t>
  </si>
  <si>
    <t>C0694</t>
  </si>
  <si>
    <t>₹ 6170</t>
  </si>
  <si>
    <t>23/09/2024</t>
  </si>
  <si>
    <t>27/09/2024</t>
  </si>
  <si>
    <t>B0064</t>
  </si>
  <si>
    <t>D20240218</t>
  </si>
  <si>
    <t>C0246</t>
  </si>
  <si>
    <t>₹ 3759</t>
  </si>
  <si>
    <t>23/02/2024</t>
  </si>
  <si>
    <t>B0065</t>
  </si>
  <si>
    <t>D20240501</t>
  </si>
  <si>
    <t>C0319</t>
  </si>
  <si>
    <t>₹ 8823</t>
  </si>
  <si>
    <t>01/05/2024</t>
  </si>
  <si>
    <t>03/05/2024</t>
  </si>
  <si>
    <t>B0066</t>
  </si>
  <si>
    <t>D20241019</t>
  </si>
  <si>
    <t>C0275</t>
  </si>
  <si>
    <t>₹ 3619</t>
  </si>
  <si>
    <t>19/10/2024</t>
  </si>
  <si>
    <t>21/10/2024</t>
  </si>
  <si>
    <t>B0067</t>
  </si>
  <si>
    <t>D20241216</t>
  </si>
  <si>
    <t>C0545</t>
  </si>
  <si>
    <t>₹ 7168</t>
  </si>
  <si>
    <t>16/12/2024</t>
  </si>
  <si>
    <t>19/12/2024</t>
  </si>
  <si>
    <t>B0068</t>
  </si>
  <si>
    <t>C0938</t>
  </si>
  <si>
    <t>₹ 19887</t>
  </si>
  <si>
    <t>03/06/2024</t>
  </si>
  <si>
    <t>B0069</t>
  </si>
  <si>
    <t>D20240708</t>
  </si>
  <si>
    <t>C0241</t>
  </si>
  <si>
    <t>H0016</t>
  </si>
  <si>
    <t>₹ 15417</t>
  </si>
  <si>
    <t>08/07/2024</t>
  </si>
  <si>
    <t>B0070</t>
  </si>
  <si>
    <t>D20241117</t>
  </si>
  <si>
    <t>C0116</t>
  </si>
  <si>
    <t>₹ 10482</t>
  </si>
  <si>
    <t>17/11/2024</t>
  </si>
  <si>
    <t>18/11/2024</t>
  </si>
  <si>
    <t>B0071</t>
  </si>
  <si>
    <t>D20240917</t>
  </si>
  <si>
    <t>C0644</t>
  </si>
  <si>
    <t>₹ 18106</t>
  </si>
  <si>
    <t>20/09/2024</t>
  </si>
  <si>
    <t>B0072</t>
  </si>
  <si>
    <t>D20240511</t>
  </si>
  <si>
    <t>C0464</t>
  </si>
  <si>
    <t>₹ 18918</t>
  </si>
  <si>
    <t>11/05/2024</t>
  </si>
  <si>
    <t>B0073</t>
  </si>
  <si>
    <t>D20240209</t>
  </si>
  <si>
    <t>C0191</t>
  </si>
  <si>
    <t>₹ 3039</t>
  </si>
  <si>
    <t>09/02/2024</t>
  </si>
  <si>
    <t>12/02/2024</t>
  </si>
  <si>
    <t>B0074</t>
  </si>
  <si>
    <t>D20240212</t>
  </si>
  <si>
    <t>C0758</t>
  </si>
  <si>
    <t>H0018</t>
  </si>
  <si>
    <t>₹ 11201</t>
  </si>
  <si>
    <t>14/02/2024</t>
  </si>
  <si>
    <t>B0075</t>
  </si>
  <si>
    <t>C0373</t>
  </si>
  <si>
    <t>₹ 15804</t>
  </si>
  <si>
    <t>B0076</t>
  </si>
  <si>
    <t>D20241214</t>
  </si>
  <si>
    <t>C0608</t>
  </si>
  <si>
    <t>₹ 8590</t>
  </si>
  <si>
    <t>14/12/2024</t>
  </si>
  <si>
    <t>B0077</t>
  </si>
  <si>
    <t>D20240707</t>
  </si>
  <si>
    <t>C0180</t>
  </si>
  <si>
    <t>₹ 14877</t>
  </si>
  <si>
    <t>07/07/2024</t>
  </si>
  <si>
    <t>B0078</t>
  </si>
  <si>
    <t>C0352</t>
  </si>
  <si>
    <t>H0004</t>
  </si>
  <si>
    <t>₹ 11801</t>
  </si>
  <si>
    <t>B0079</t>
  </si>
  <si>
    <t>₹ 17591</t>
  </si>
  <si>
    <t>01/11/2024</t>
  </si>
  <si>
    <t>B0080</t>
  </si>
  <si>
    <t>D20240725</t>
  </si>
  <si>
    <t>C0137</t>
  </si>
  <si>
    <t>₹ 16288</t>
  </si>
  <si>
    <t>30/07/2024</t>
  </si>
  <si>
    <t>B0081</t>
  </si>
  <si>
    <t>D20241115</t>
  </si>
  <si>
    <t>C0737</t>
  </si>
  <si>
    <t>₹ 4069</t>
  </si>
  <si>
    <t>15/11/2024</t>
  </si>
  <si>
    <t>B0082</t>
  </si>
  <si>
    <t>D20240410</t>
  </si>
  <si>
    <t>C0750</t>
  </si>
  <si>
    <t>₹ 4587</t>
  </si>
  <si>
    <t>10/04/2024</t>
  </si>
  <si>
    <t>11/04/2024</t>
  </si>
  <si>
    <t>B0083</t>
  </si>
  <si>
    <t>D20240504</t>
  </si>
  <si>
    <t>C0517</t>
  </si>
  <si>
    <t>₹ 16745</t>
  </si>
  <si>
    <t>04/05/2024</t>
  </si>
  <si>
    <t>09/05/2024</t>
  </si>
  <si>
    <t>B0084</t>
  </si>
  <si>
    <t>D20240915</t>
  </si>
  <si>
    <t>C0494</t>
  </si>
  <si>
    <t>₹ 9771</t>
  </si>
  <si>
    <t>B0085</t>
  </si>
  <si>
    <t>D20240312</t>
  </si>
  <si>
    <t>C0598</t>
  </si>
  <si>
    <t>₹ 10216</t>
  </si>
  <si>
    <t>12/03/2024</t>
  </si>
  <si>
    <t>16/03/2024</t>
  </si>
  <si>
    <t>B0086</t>
  </si>
  <si>
    <t>D20240331</t>
  </si>
  <si>
    <t>C0213</t>
  </si>
  <si>
    <t>₹ 15657</t>
  </si>
  <si>
    <t>31/03/2024</t>
  </si>
  <si>
    <t>01/04/2024</t>
  </si>
  <si>
    <t>B0087</t>
  </si>
  <si>
    <t>D20240320</t>
  </si>
  <si>
    <t>C0490</t>
  </si>
  <si>
    <t>₹ 3932</t>
  </si>
  <si>
    <t>20/03/2024</t>
  </si>
  <si>
    <t>21/03/2024</t>
  </si>
  <si>
    <t>B0088</t>
  </si>
  <si>
    <t>D20241031</t>
  </si>
  <si>
    <t>C0697</t>
  </si>
  <si>
    <t>₹ 5005</t>
  </si>
  <si>
    <t>B0089</t>
  </si>
  <si>
    <t>D20240316</t>
  </si>
  <si>
    <t>C0096</t>
  </si>
  <si>
    <t>₹ 17937</t>
  </si>
  <si>
    <t>17/03/2024</t>
  </si>
  <si>
    <t>B0090</t>
  </si>
  <si>
    <t>D20240625</t>
  </si>
  <si>
    <t>C0900</t>
  </si>
  <si>
    <t>₹ 16561</t>
  </si>
  <si>
    <t>25/06/2024</t>
  </si>
  <si>
    <t>30/06/2024</t>
  </si>
  <si>
    <t>B0091</t>
  </si>
  <si>
    <t>D20240727</t>
  </si>
  <si>
    <t>C0455</t>
  </si>
  <si>
    <t>₹ 9965</t>
  </si>
  <si>
    <t>B0092</t>
  </si>
  <si>
    <t>C0772</t>
  </si>
  <si>
    <t>H0015</t>
  </si>
  <si>
    <t>₹ 7022</t>
  </si>
  <si>
    <t>24/10/2024</t>
  </si>
  <si>
    <t>B0093</t>
  </si>
  <si>
    <t>D20241128</t>
  </si>
  <si>
    <t>C0335</t>
  </si>
  <si>
    <t>₹ 17320</t>
  </si>
  <si>
    <t>28/11/2024</t>
  </si>
  <si>
    <t>29/11/2024</t>
  </si>
  <si>
    <t>B0094</t>
  </si>
  <si>
    <t>D20240718</t>
  </si>
  <si>
    <t>C0650</t>
  </si>
  <si>
    <t>₹ 14752</t>
  </si>
  <si>
    <t>18/07/2024</t>
  </si>
  <si>
    <t>B0095</t>
  </si>
  <si>
    <t>D20241029</t>
  </si>
  <si>
    <t>₹ 15617</t>
  </si>
  <si>
    <t>29/10/2024</t>
  </si>
  <si>
    <t>B0096</t>
  </si>
  <si>
    <t>D20241125</t>
  </si>
  <si>
    <t>C0568</t>
  </si>
  <si>
    <t>₹ 7846</t>
  </si>
  <si>
    <t>25/11/2024</t>
  </si>
  <si>
    <t>B0097</t>
  </si>
  <si>
    <t>C0673</t>
  </si>
  <si>
    <t>₹ 19321</t>
  </si>
  <si>
    <t>07/11/2024</t>
  </si>
  <si>
    <t>B0098</t>
  </si>
  <si>
    <t>D20241229</t>
  </si>
  <si>
    <t>C0042</t>
  </si>
  <si>
    <t>₹ 7654</t>
  </si>
  <si>
    <t>29/12/2024</t>
  </si>
  <si>
    <t>01/01/2025</t>
  </si>
  <si>
    <t>B0099</t>
  </si>
  <si>
    <t>D20241104</t>
  </si>
  <si>
    <t>C0112</t>
  </si>
  <si>
    <t>₹ 7164</t>
  </si>
  <si>
    <t>04/11/2024</t>
  </si>
  <si>
    <t>B0100</t>
  </si>
  <si>
    <t>D20240422</t>
  </si>
  <si>
    <t>C0318</t>
  </si>
  <si>
    <t>₹ 19407</t>
  </si>
  <si>
    <t>22/04/2024</t>
  </si>
  <si>
    <t>B0101</t>
  </si>
  <si>
    <t>D20240904</t>
  </si>
  <si>
    <t>C0610</t>
  </si>
  <si>
    <t>₹ 6457</t>
  </si>
  <si>
    <t>04/09/2024</t>
  </si>
  <si>
    <t>05/09/2024</t>
  </si>
  <si>
    <t>B0102</t>
  </si>
  <si>
    <t>D20240623</t>
  </si>
  <si>
    <t>C0624</t>
  </si>
  <si>
    <t>₹ 12893</t>
  </si>
  <si>
    <t>23/06/2024</t>
  </si>
  <si>
    <t>24/06/2024</t>
  </si>
  <si>
    <t>B0103</t>
  </si>
  <si>
    <t>C0578</t>
  </si>
  <si>
    <t>₹ 8839</t>
  </si>
  <si>
    <t>28/09/2024</t>
  </si>
  <si>
    <t>B0104</t>
  </si>
  <si>
    <t>D20240928</t>
  </si>
  <si>
    <t>C0133</t>
  </si>
  <si>
    <t>₹ 12600</t>
  </si>
  <si>
    <t>B0105</t>
  </si>
  <si>
    <t>C0535</t>
  </si>
  <si>
    <t>₹ 10161</t>
  </si>
  <si>
    <t>B0106</t>
  </si>
  <si>
    <t>C0957</t>
  </si>
  <si>
    <t>₹ 9289</t>
  </si>
  <si>
    <t>29/06/2024</t>
  </si>
  <si>
    <t>B0107</t>
  </si>
  <si>
    <t>D20240517</t>
  </si>
  <si>
    <t>C0883</t>
  </si>
  <si>
    <t>₹ 5724</t>
  </si>
  <si>
    <t>17/05/2024</t>
  </si>
  <si>
    <t>18/05/2024</t>
  </si>
  <si>
    <t>B0108</t>
  </si>
  <si>
    <t>D20241209</t>
  </si>
  <si>
    <t>₹ 16013</t>
  </si>
  <si>
    <t>09/12/2024</t>
  </si>
  <si>
    <t>10/12/2024</t>
  </si>
  <si>
    <t>B0109</t>
  </si>
  <si>
    <t>C0823</t>
  </si>
  <si>
    <t>₹ 17998</t>
  </si>
  <si>
    <t>B0110</t>
  </si>
  <si>
    <t>D20240315</t>
  </si>
  <si>
    <t>C0355</t>
  </si>
  <si>
    <t>₹ 19848</t>
  </si>
  <si>
    <t>15/03/2024</t>
  </si>
  <si>
    <t>19/03/2024</t>
  </si>
  <si>
    <t>B0111</t>
  </si>
  <si>
    <t>C0717</t>
  </si>
  <si>
    <t>₹ 6386</t>
  </si>
  <si>
    <t>B0112</t>
  </si>
  <si>
    <t>C0711</t>
  </si>
  <si>
    <t>₹ 3033</t>
  </si>
  <si>
    <t>B0113</t>
  </si>
  <si>
    <t>D20240305</t>
  </si>
  <si>
    <t>₹ 19678</t>
  </si>
  <si>
    <t>05/03/2024</t>
  </si>
  <si>
    <t>08/03/2024</t>
  </si>
  <si>
    <t>B0114</t>
  </si>
  <si>
    <t>D20241107</t>
  </si>
  <si>
    <t>C0132</t>
  </si>
  <si>
    <t>₹ 9316</t>
  </si>
  <si>
    <t>B0115</t>
  </si>
  <si>
    <t>D20241217</t>
  </si>
  <si>
    <t>C0723</t>
  </si>
  <si>
    <t>₹ 9137</t>
  </si>
  <si>
    <t>B0116</t>
  </si>
  <si>
    <t>C0845</t>
  </si>
  <si>
    <t>₹ 8637</t>
  </si>
  <si>
    <t>03/11/2024</t>
  </si>
  <si>
    <t>B0117</t>
  </si>
  <si>
    <t>D20240909</t>
  </si>
  <si>
    <t>C0996</t>
  </si>
  <si>
    <t>₹ 9284</t>
  </si>
  <si>
    <t>09/09/2024</t>
  </si>
  <si>
    <t>B0118</t>
  </si>
  <si>
    <t>D20240618</t>
  </si>
  <si>
    <t>C0896</t>
  </si>
  <si>
    <t>₹ 16843</t>
  </si>
  <si>
    <t>18/06/2024</t>
  </si>
  <si>
    <t>B0119</t>
  </si>
  <si>
    <t>C0240</t>
  </si>
  <si>
    <t>₹ 7161</t>
  </si>
  <si>
    <t>01/03/2024</t>
  </si>
  <si>
    <t>B0120</t>
  </si>
  <si>
    <t>D20240206</t>
  </si>
  <si>
    <t>C0856</t>
  </si>
  <si>
    <t>₹ 8560</t>
  </si>
  <si>
    <t>06/02/2024</t>
  </si>
  <si>
    <t>B0121</t>
  </si>
  <si>
    <t>C0691</t>
  </si>
  <si>
    <t>₹ 4721</t>
  </si>
  <si>
    <t>B0122</t>
  </si>
  <si>
    <t>D20240805</t>
  </si>
  <si>
    <t>C0364</t>
  </si>
  <si>
    <t>₹ 15720</t>
  </si>
  <si>
    <t>05/08/2024</t>
  </si>
  <si>
    <t>10/08/2024</t>
  </si>
  <si>
    <t>B0123</t>
  </si>
  <si>
    <t>D20240105</t>
  </si>
  <si>
    <t>C0408</t>
  </si>
  <si>
    <t>₹ 16018</t>
  </si>
  <si>
    <t>06/01/2024</t>
  </si>
  <si>
    <t>B0124</t>
  </si>
  <si>
    <t>C0195</t>
  </si>
  <si>
    <t>₹ 16935</t>
  </si>
  <si>
    <t>26/03/2024</t>
  </si>
  <si>
    <t>B0125</t>
  </si>
  <si>
    <t>D20240830</t>
  </si>
  <si>
    <t>C0050</t>
  </si>
  <si>
    <t>₹ 15589</t>
  </si>
  <si>
    <t>30/08/2024</t>
  </si>
  <si>
    <t>B0126</t>
  </si>
  <si>
    <t>D20240826</t>
  </si>
  <si>
    <t>C0471</t>
  </si>
  <si>
    <t>₹ 12054</t>
  </si>
  <si>
    <t>26/08/2024</t>
  </si>
  <si>
    <t>29/08/2024</t>
  </si>
  <si>
    <t>B0127</t>
  </si>
  <si>
    <t>D20241103</t>
  </si>
  <si>
    <t>C0385</t>
  </si>
  <si>
    <t>₹ 8990</t>
  </si>
  <si>
    <t>B0128</t>
  </si>
  <si>
    <t>D20240413</t>
  </si>
  <si>
    <t>C0828</t>
  </si>
  <si>
    <t>₹ 11756</t>
  </si>
  <si>
    <t>13/04/2024</t>
  </si>
  <si>
    <t>B0129</t>
  </si>
  <si>
    <t>D20240809</t>
  </si>
  <si>
    <t>₹ 15203</t>
  </si>
  <si>
    <t>09/08/2024</t>
  </si>
  <si>
    <t>12/08/2024</t>
  </si>
  <si>
    <t>B0130</t>
  </si>
  <si>
    <t>D20240311</t>
  </si>
  <si>
    <t>C0189</t>
  </si>
  <si>
    <t>₹ 13669</t>
  </si>
  <si>
    <t>11/03/2024</t>
  </si>
  <si>
    <t>13/03/2024</t>
  </si>
  <si>
    <t>B0131</t>
  </si>
  <si>
    <t>D20240918</t>
  </si>
  <si>
    <t>₹ 3711</t>
  </si>
  <si>
    <t>18/09/2024</t>
  </si>
  <si>
    <t>21/09/2024</t>
  </si>
  <si>
    <t>B0132</t>
  </si>
  <si>
    <t>C0166</t>
  </si>
  <si>
    <t>₹ 3769</t>
  </si>
  <si>
    <t>06/06/2024</t>
  </si>
  <si>
    <t>B0133</t>
  </si>
  <si>
    <t>C0292</t>
  </si>
  <si>
    <t>₹ 14729</t>
  </si>
  <si>
    <t>18/03/2024</t>
  </si>
  <si>
    <t>B0134</t>
  </si>
  <si>
    <t>D20240202</t>
  </si>
  <si>
    <t>C0906</t>
  </si>
  <si>
    <t>₹ 7063</t>
  </si>
  <si>
    <t>02/02/2024</t>
  </si>
  <si>
    <t>B0135</t>
  </si>
  <si>
    <t>D20240222</t>
  </si>
  <si>
    <t>C0768</t>
  </si>
  <si>
    <t>₹ 12787</t>
  </si>
  <si>
    <t>22/02/2024</t>
  </si>
  <si>
    <t>B0136</t>
  </si>
  <si>
    <t>C0976</t>
  </si>
  <si>
    <t>₹ 12760</t>
  </si>
  <si>
    <t>29/07/2024</t>
  </si>
  <si>
    <t>B0137</t>
  </si>
  <si>
    <t>D20241222</t>
  </si>
  <si>
    <t>C0156</t>
  </si>
  <si>
    <t>₹ 5887</t>
  </si>
  <si>
    <t>22/12/2024</t>
  </si>
  <si>
    <t>24/12/2024</t>
  </si>
  <si>
    <t>B0138</t>
  </si>
  <si>
    <t>D20240927</t>
  </si>
  <si>
    <t>C0361</t>
  </si>
  <si>
    <t>₹ 13998</t>
  </si>
  <si>
    <t>01/10/2024</t>
  </si>
  <si>
    <t>B0139</t>
  </si>
  <si>
    <t>D20240409</t>
  </si>
  <si>
    <t>C0720</t>
  </si>
  <si>
    <t>₹ 7061</t>
  </si>
  <si>
    <t>09/04/2024</t>
  </si>
  <si>
    <t>14/04/2024</t>
  </si>
  <si>
    <t>B0140</t>
  </si>
  <si>
    <t>D20240506</t>
  </si>
  <si>
    <t>C0858</t>
  </si>
  <si>
    <t>₹ 4063</t>
  </si>
  <si>
    <t>06/05/2024</t>
  </si>
  <si>
    <t>B0141</t>
  </si>
  <si>
    <t>D20240130</t>
  </si>
  <si>
    <t>C0226</t>
  </si>
  <si>
    <t>₹ 11828</t>
  </si>
  <si>
    <t>30/01/2024</t>
  </si>
  <si>
    <t>03/02/2024</t>
  </si>
  <si>
    <t>B0142</t>
  </si>
  <si>
    <t>D20240601</t>
  </si>
  <si>
    <t>C0815</t>
  </si>
  <si>
    <t>₹ 9039</t>
  </si>
  <si>
    <t>01/06/2024</t>
  </si>
  <si>
    <t>B0143</t>
  </si>
  <si>
    <t>D20240328</t>
  </si>
  <si>
    <t>C0378</t>
  </si>
  <si>
    <t>₹ 13591</t>
  </si>
  <si>
    <t>28/03/2024</t>
  </si>
  <si>
    <t>B0144</t>
  </si>
  <si>
    <t>D20241204</t>
  </si>
  <si>
    <t>C0552</t>
  </si>
  <si>
    <t>₹ 5120</t>
  </si>
  <si>
    <t>04/12/2024</t>
  </si>
  <si>
    <t>07/12/2024</t>
  </si>
  <si>
    <t>B0145</t>
  </si>
  <si>
    <t>D20241223</t>
  </si>
  <si>
    <t>C0357</t>
  </si>
  <si>
    <t>₹ 19638</t>
  </si>
  <si>
    <t>23/12/2024</t>
  </si>
  <si>
    <t>27/12/2024</t>
  </si>
  <si>
    <t>B0146</t>
  </si>
  <si>
    <t>D20240509</t>
  </si>
  <si>
    <t>C0662</t>
  </si>
  <si>
    <t>₹ 17610</t>
  </si>
  <si>
    <t>B0147</t>
  </si>
  <si>
    <t>D20241007</t>
  </si>
  <si>
    <t>C0439</t>
  </si>
  <si>
    <t>₹ 15605</t>
  </si>
  <si>
    <t>07/10/2024</t>
  </si>
  <si>
    <t>08/10/2024</t>
  </si>
  <si>
    <t>B0148</t>
  </si>
  <si>
    <t>C0493</t>
  </si>
  <si>
    <t>₹ 11794</t>
  </si>
  <si>
    <t>B0149</t>
  </si>
  <si>
    <t>D20241026</t>
  </si>
  <si>
    <t>C0540</t>
  </si>
  <si>
    <t>₹ 11022</t>
  </si>
  <si>
    <t>26/10/2024</t>
  </si>
  <si>
    <t>B0150</t>
  </si>
  <si>
    <t>D20240521</t>
  </si>
  <si>
    <t>C0179</t>
  </si>
  <si>
    <t>₹ 18331</t>
  </si>
  <si>
    <t>21/05/2024</t>
  </si>
  <si>
    <t>B0151</t>
  </si>
  <si>
    <t>C0651</t>
  </si>
  <si>
    <t>₹ 10874</t>
  </si>
  <si>
    <t>B0152</t>
  </si>
  <si>
    <t>D20240914</t>
  </si>
  <si>
    <t>C0053</t>
  </si>
  <si>
    <t>₹ 5144</t>
  </si>
  <si>
    <t>B0153</t>
  </si>
  <si>
    <t>D20240813</t>
  </si>
  <si>
    <t>C0192</t>
  </si>
  <si>
    <t>₹ 4482</t>
  </si>
  <si>
    <t>13/08/2024</t>
  </si>
  <si>
    <t>16/08/2024</t>
  </si>
  <si>
    <t>B0154</t>
  </si>
  <si>
    <t>D20240926</t>
  </si>
  <si>
    <t>C0273</t>
  </si>
  <si>
    <t>₹ 13545</t>
  </si>
  <si>
    <t>26/09/2024</t>
  </si>
  <si>
    <t>B0155</t>
  </si>
  <si>
    <t>D20240505</t>
  </si>
  <si>
    <t>C0337</t>
  </si>
  <si>
    <t>₹ 19693</t>
  </si>
  <si>
    <t>05/05/2024</t>
  </si>
  <si>
    <t>B0156</t>
  </si>
  <si>
    <t>D20240626</t>
  </si>
  <si>
    <t>C0491</t>
  </si>
  <si>
    <t>₹ 18315</t>
  </si>
  <si>
    <t>B0157</t>
  </si>
  <si>
    <t>₹ 15821</t>
  </si>
  <si>
    <t>02/05/2024</t>
  </si>
  <si>
    <t>B0158</t>
  </si>
  <si>
    <t>D20240929</t>
  </si>
  <si>
    <t>C0023</t>
  </si>
  <si>
    <t>₹ 11563</t>
  </si>
  <si>
    <t>29/09/2024</t>
  </si>
  <si>
    <t>B0159</t>
  </si>
  <si>
    <t>D20241024</t>
  </si>
  <si>
    <t>C0327</t>
  </si>
  <si>
    <t>₹ 15129</t>
  </si>
  <si>
    <t>B0160</t>
  </si>
  <si>
    <t>C0396</t>
  </si>
  <si>
    <t>₹ 8533</t>
  </si>
  <si>
    <t>31/12/2024</t>
  </si>
  <si>
    <t>B0161</t>
  </si>
  <si>
    <t>C0679</t>
  </si>
  <si>
    <t>₹ 19541</t>
  </si>
  <si>
    <t>B0162</t>
  </si>
  <si>
    <t>D20240818</t>
  </si>
  <si>
    <t>C0680</t>
  </si>
  <si>
    <t>₹ 10658</t>
  </si>
  <si>
    <t>19/08/2024</t>
  </si>
  <si>
    <t>B0163</t>
  </si>
  <si>
    <t>D20240118</t>
  </si>
  <si>
    <t>₹ 18001</t>
  </si>
  <si>
    <t>B0164</t>
  </si>
  <si>
    <t>D20241213</t>
  </si>
  <si>
    <t>C0100</t>
  </si>
  <si>
    <t>₹ 12255</t>
  </si>
  <si>
    <t>13/12/2024</t>
  </si>
  <si>
    <t>B0165</t>
  </si>
  <si>
    <t>₹ 18827</t>
  </si>
  <si>
    <t>B0166</t>
  </si>
  <si>
    <t>C0200</t>
  </si>
  <si>
    <t>₹ 15075</t>
  </si>
  <si>
    <t>B0167</t>
  </si>
  <si>
    <t>D20241121</t>
  </si>
  <si>
    <t>C0905</t>
  </si>
  <si>
    <t>₹ 5714</t>
  </si>
  <si>
    <t>21/11/2024</t>
  </si>
  <si>
    <t>B0168</t>
  </si>
  <si>
    <t>C0897</t>
  </si>
  <si>
    <t>₹ 6912</t>
  </si>
  <si>
    <t>B0169</t>
  </si>
  <si>
    <t>D20240302</t>
  </si>
  <si>
    <t>C0030</t>
  </si>
  <si>
    <t>₹ 3093</t>
  </si>
  <si>
    <t>02/03/2024</t>
  </si>
  <si>
    <t>B0170</t>
  </si>
  <si>
    <t>D20240630</t>
  </si>
  <si>
    <t>C0391</t>
  </si>
  <si>
    <t>₹ 5840</t>
  </si>
  <si>
    <t>02/07/2024</t>
  </si>
  <si>
    <t>B0171</t>
  </si>
  <si>
    <t>D20240428</t>
  </si>
  <si>
    <t>C0595</t>
  </si>
  <si>
    <t>₹ 16907</t>
  </si>
  <si>
    <t>28/04/2024</t>
  </si>
  <si>
    <t>B0172</t>
  </si>
  <si>
    <t>₹ 11383</t>
  </si>
  <si>
    <t>B0173</t>
  </si>
  <si>
    <t>C0549</t>
  </si>
  <si>
    <t>₹ 7541</t>
  </si>
  <si>
    <t>12/01/2024</t>
  </si>
  <si>
    <t>B0174</t>
  </si>
  <si>
    <t>D20240905</t>
  </si>
  <si>
    <t>C0814</t>
  </si>
  <si>
    <t>₹ 4916</t>
  </si>
  <si>
    <t>08/09/2024</t>
  </si>
  <si>
    <t>B0175</t>
  </si>
  <si>
    <t>C0630</t>
  </si>
  <si>
    <t>₹ 11309</t>
  </si>
  <si>
    <t>B0176</t>
  </si>
  <si>
    <t>C0142</t>
  </si>
  <si>
    <t>₹ 19722</t>
  </si>
  <si>
    <t>27/05/2024</t>
  </si>
  <si>
    <t>B0177</t>
  </si>
  <si>
    <t>D20240825</t>
  </si>
  <si>
    <t>C0609</t>
  </si>
  <si>
    <t>₹ 14305</t>
  </si>
  <si>
    <t>25/08/2024</t>
  </si>
  <si>
    <t>27/08/2024</t>
  </si>
  <si>
    <t>B0178</t>
  </si>
  <si>
    <t>C0983</t>
  </si>
  <si>
    <t>₹ 13417</t>
  </si>
  <si>
    <t>12/05/2024</t>
  </si>
  <si>
    <t>B0179</t>
  </si>
  <si>
    <t>D20240220</t>
  </si>
  <si>
    <t>C0674</t>
  </si>
  <si>
    <t>₹ 8793</t>
  </si>
  <si>
    <t>24/02/2024</t>
  </si>
  <si>
    <t>B0180</t>
  </si>
  <si>
    <t>₹ 5729</t>
  </si>
  <si>
    <t>B0181</t>
  </si>
  <si>
    <t>₹ 13378</t>
  </si>
  <si>
    <t>08/11/2024</t>
  </si>
  <si>
    <t>B0182</t>
  </si>
  <si>
    <t>C0748</t>
  </si>
  <si>
    <t>₹ 11013</t>
  </si>
  <si>
    <t>B0183</t>
  </si>
  <si>
    <t>C0596</t>
  </si>
  <si>
    <t>₹ 4284</t>
  </si>
  <si>
    <t>19/05/2024</t>
  </si>
  <si>
    <t>B0184</t>
  </si>
  <si>
    <t>D20240204</t>
  </si>
  <si>
    <t>C0450</t>
  </si>
  <si>
    <t>₹ 16929</t>
  </si>
  <si>
    <t>04/02/2024</t>
  </si>
  <si>
    <t>B0185</t>
  </si>
  <si>
    <t>C0114</t>
  </si>
  <si>
    <t>₹ 14901</t>
  </si>
  <si>
    <t>B0186</t>
  </si>
  <si>
    <t>D20240925</t>
  </si>
  <si>
    <t>C0067</t>
  </si>
  <si>
    <t>₹ 12874</t>
  </si>
  <si>
    <t>25/09/2024</t>
  </si>
  <si>
    <t>B0187</t>
  </si>
  <si>
    <t>D20241210</t>
  </si>
  <si>
    <t>₹ 19924</t>
  </si>
  <si>
    <t>B0188</t>
  </si>
  <si>
    <t>D20240411</t>
  </si>
  <si>
    <t>C0837</t>
  </si>
  <si>
    <t>₹ 16092</t>
  </si>
  <si>
    <t>B0189</t>
  </si>
  <si>
    <t>D20240126</t>
  </si>
  <si>
    <t>C0507</t>
  </si>
  <si>
    <t>₹ 16417</t>
  </si>
  <si>
    <t>26/01/2024</t>
  </si>
  <si>
    <t>28/01/2024</t>
  </si>
  <si>
    <t>B0190</t>
  </si>
  <si>
    <t>D20240414</t>
  </si>
  <si>
    <t>C0986</t>
  </si>
  <si>
    <t>₹ 11095</t>
  </si>
  <si>
    <t>17/04/2024</t>
  </si>
  <si>
    <t>B0191</t>
  </si>
  <si>
    <t>D20240219</t>
  </si>
  <si>
    <t>C0071</t>
  </si>
  <si>
    <t>₹ 17596</t>
  </si>
  <si>
    <t>19/02/2024</t>
  </si>
  <si>
    <t>B0192</t>
  </si>
  <si>
    <t>D20241119</t>
  </si>
  <si>
    <t>₹ 5477</t>
  </si>
  <si>
    <t>19/11/2024</t>
  </si>
  <si>
    <t>20/11/2024</t>
  </si>
  <si>
    <t>B0193</t>
  </si>
  <si>
    <t>D20241112</t>
  </si>
  <si>
    <t>₹ 16549</t>
  </si>
  <si>
    <t>B0194</t>
  </si>
  <si>
    <t>D20240402</t>
  </si>
  <si>
    <t>C0729</t>
  </si>
  <si>
    <t>₹ 7163</t>
  </si>
  <si>
    <t>06/04/2024</t>
  </si>
  <si>
    <t>B0195</t>
  </si>
  <si>
    <t>D20240427</t>
  </si>
  <si>
    <t>C0794</t>
  </si>
  <si>
    <t>₹ 3009</t>
  </si>
  <si>
    <t>27/04/2024</t>
  </si>
  <si>
    <t>B0196</t>
  </si>
  <si>
    <t>C0150</t>
  </si>
  <si>
    <t>₹ 16213</t>
  </si>
  <si>
    <t>B0197</t>
  </si>
  <si>
    <t>D20240227</t>
  </si>
  <si>
    <t>C0025</t>
  </si>
  <si>
    <t>₹ 8311</t>
  </si>
  <si>
    <t>27/02/2024</t>
  </si>
  <si>
    <t>B0198</t>
  </si>
  <si>
    <t>D20240115</t>
  </si>
  <si>
    <t>C0921</t>
  </si>
  <si>
    <t>₹ 11739</t>
  </si>
  <si>
    <t>15/01/2024</t>
  </si>
  <si>
    <t>17/01/2024</t>
  </si>
  <si>
    <t>B0199</t>
  </si>
  <si>
    <t>D20241014</t>
  </si>
  <si>
    <t>₹ 15642</t>
  </si>
  <si>
    <t>14/10/2024</t>
  </si>
  <si>
    <t>B0200</t>
  </si>
  <si>
    <t>D20240201</t>
  </si>
  <si>
    <t>C0480</t>
  </si>
  <si>
    <t>₹ 8876</t>
  </si>
  <si>
    <t>01/02/2024</t>
  </si>
  <si>
    <t>B0201</t>
  </si>
  <si>
    <t>C0801</t>
  </si>
  <si>
    <t>₹ 5707</t>
  </si>
  <si>
    <t>B0202</t>
  </si>
  <si>
    <t>D20240815</t>
  </si>
  <si>
    <t>C0928</t>
  </si>
  <si>
    <t>₹ 16496</t>
  </si>
  <si>
    <t>15/08/2024</t>
  </si>
  <si>
    <t>B0203</t>
  </si>
  <si>
    <t>D20241106</t>
  </si>
  <si>
    <t>C0469</t>
  </si>
  <si>
    <t>₹ 13500</t>
  </si>
  <si>
    <t>06/11/2024</t>
  </si>
  <si>
    <t>B0204</t>
  </si>
  <si>
    <t>D20241006</t>
  </si>
  <si>
    <t>C0012</t>
  </si>
  <si>
    <t>₹ 4819</t>
  </si>
  <si>
    <t>06/10/2024</t>
  </si>
  <si>
    <t>B0205</t>
  </si>
  <si>
    <t>D20240609</t>
  </si>
  <si>
    <t>C0942</t>
  </si>
  <si>
    <t>₹ 4834</t>
  </si>
  <si>
    <t>11/06/2024</t>
  </si>
  <si>
    <t>B0206</t>
  </si>
  <si>
    <t>C0377</t>
  </si>
  <si>
    <t>₹ 19567</t>
  </si>
  <si>
    <t>B0207</t>
  </si>
  <si>
    <t>D20241114</t>
  </si>
  <si>
    <t>C0514</t>
  </si>
  <si>
    <t>₹ 13709</t>
  </si>
  <si>
    <t>14/11/2024</t>
  </si>
  <si>
    <t>B0208</t>
  </si>
  <si>
    <t>C0646</t>
  </si>
  <si>
    <t>₹ 17255</t>
  </si>
  <si>
    <t>B0209</t>
  </si>
  <si>
    <t>D20240523</t>
  </si>
  <si>
    <t>₹ 18201</t>
  </si>
  <si>
    <t>23/05/2024</t>
  </si>
  <si>
    <t>B0210</t>
  </si>
  <si>
    <t>D20240703</t>
  </si>
  <si>
    <t>C0929</t>
  </si>
  <si>
    <t>₹ 12887</t>
  </si>
  <si>
    <t>03/07/2024</t>
  </si>
  <si>
    <t>B0211</t>
  </si>
  <si>
    <t>C0790</t>
  </si>
  <si>
    <t>₹ 13915</t>
  </si>
  <si>
    <t>B0212</t>
  </si>
  <si>
    <t>D20241129</t>
  </si>
  <si>
    <t>₹ 16540</t>
  </si>
  <si>
    <t>30/11/2024</t>
  </si>
  <si>
    <t>B0213</t>
  </si>
  <si>
    <t>D20240423</t>
  </si>
  <si>
    <t>C0786</t>
  </si>
  <si>
    <t>₹ 18912</t>
  </si>
  <si>
    <t>23/04/2024</t>
  </si>
  <si>
    <t>24/04/2024</t>
  </si>
  <si>
    <t>B0214</t>
  </si>
  <si>
    <t>D20240804</t>
  </si>
  <si>
    <t>C0810</t>
  </si>
  <si>
    <t>₹ 14953</t>
  </si>
  <si>
    <t>04/08/2024</t>
  </si>
  <si>
    <t>B0215</t>
  </si>
  <si>
    <t>C0879</t>
  </si>
  <si>
    <t>₹ 19335</t>
  </si>
  <si>
    <t>04/03/2024</t>
  </si>
  <si>
    <t>B0216</t>
  </si>
  <si>
    <t>D20240114</t>
  </si>
  <si>
    <t>C0262</t>
  </si>
  <si>
    <t>₹ 19484</t>
  </si>
  <si>
    <t>14/01/2024</t>
  </si>
  <si>
    <t>B0217</t>
  </si>
  <si>
    <t>C0777</t>
  </si>
  <si>
    <t>₹ 5247</t>
  </si>
  <si>
    <t>18/12/2024</t>
  </si>
  <si>
    <t>B0218</t>
  </si>
  <si>
    <t>C0807</t>
  </si>
  <si>
    <t>₹ 4605</t>
  </si>
  <si>
    <t>B0219</t>
  </si>
  <si>
    <t>D20240405</t>
  </si>
  <si>
    <t>C0888</t>
  </si>
  <si>
    <t>₹ 19073</t>
  </si>
  <si>
    <t>05/04/2024</t>
  </si>
  <si>
    <t>B0220</t>
  </si>
  <si>
    <t>C0933</t>
  </si>
  <si>
    <t>₹ 8676</t>
  </si>
  <si>
    <t>20/07/2024</t>
  </si>
  <si>
    <t>B0221</t>
  </si>
  <si>
    <t>C0284</t>
  </si>
  <si>
    <t>₹ 16095</t>
  </si>
  <si>
    <t>22/10/2024</t>
  </si>
  <si>
    <t>B0222</t>
  </si>
  <si>
    <t>C0869</t>
  </si>
  <si>
    <t>₹ 6297</t>
  </si>
  <si>
    <t>B0223</t>
  </si>
  <si>
    <t>C0459</t>
  </si>
  <si>
    <t>₹ 15575</t>
  </si>
  <si>
    <t>B0224</t>
  </si>
  <si>
    <t>D20240803</t>
  </si>
  <si>
    <t>C0955</t>
  </si>
  <si>
    <t>₹ 8834</t>
  </si>
  <si>
    <t>B0225</t>
  </si>
  <si>
    <t>C0881</t>
  </si>
  <si>
    <t>₹ 8799</t>
  </si>
  <si>
    <t>B0226</t>
  </si>
  <si>
    <t>C0146</t>
  </si>
  <si>
    <t>₹ 15673</t>
  </si>
  <si>
    <t>B0227</t>
  </si>
  <si>
    <t>C0054</t>
  </si>
  <si>
    <t>₹ 18570</t>
  </si>
  <si>
    <t>B0228</t>
  </si>
  <si>
    <t>C0139</t>
  </si>
  <si>
    <t>₹ 8230</t>
  </si>
  <si>
    <t>B0229</t>
  </si>
  <si>
    <t>D20240604</t>
  </si>
  <si>
    <t>₹ 3742</t>
  </si>
  <si>
    <t>07/06/2024</t>
  </si>
  <si>
    <t>B0230</t>
  </si>
  <si>
    <t>C0687</t>
  </si>
  <si>
    <t>₹ 9151</t>
  </si>
  <si>
    <t>B0231</t>
  </si>
  <si>
    <t>D20240722</t>
  </si>
  <si>
    <t>C0751</t>
  </si>
  <si>
    <t>₹ 14183</t>
  </si>
  <si>
    <t>22/07/2024</t>
  </si>
  <si>
    <t>26/07/2024</t>
  </si>
  <si>
    <t>B0232</t>
  </si>
  <si>
    <t>D20240721</t>
  </si>
  <si>
    <t>₹ 18845</t>
  </si>
  <si>
    <t>21/07/2024</t>
  </si>
  <si>
    <t>B0233</t>
  </si>
  <si>
    <t>₹ 11445</t>
  </si>
  <si>
    <t>01/08/2024</t>
  </si>
  <si>
    <t>B0234</t>
  </si>
  <si>
    <t>₹ 4466</t>
  </si>
  <si>
    <t>B0235</t>
  </si>
  <si>
    <t>₹ 18956</t>
  </si>
  <si>
    <t>03/04/2024</t>
  </si>
  <si>
    <t>B0236</t>
  </si>
  <si>
    <t>C0432</t>
  </si>
  <si>
    <t>₹ 8960</t>
  </si>
  <si>
    <t>28/07/2024</t>
  </si>
  <si>
    <t>B0237</t>
  </si>
  <si>
    <t>D20240922</t>
  </si>
  <si>
    <t>C0546</t>
  </si>
  <si>
    <t>₹ 15375</t>
  </si>
  <si>
    <t>22/09/2024</t>
  </si>
  <si>
    <t>B0238</t>
  </si>
  <si>
    <t>C0706</t>
  </si>
  <si>
    <t>₹ 15056</t>
  </si>
  <si>
    <t>B0239</t>
  </si>
  <si>
    <t>D20240527</t>
  </si>
  <si>
    <t>C0173</t>
  </si>
  <si>
    <t>₹ 18444</t>
  </si>
  <si>
    <t>B0240</t>
  </si>
  <si>
    <t>₹ 14892</t>
  </si>
  <si>
    <t>B0241</t>
  </si>
  <si>
    <t>D20240215</t>
  </si>
  <si>
    <t>C0374</t>
  </si>
  <si>
    <t>₹ 5973</t>
  </si>
  <si>
    <t>15/02/2024</t>
  </si>
  <si>
    <t>B0242</t>
  </si>
  <si>
    <t>C0201</t>
  </si>
  <si>
    <t>₹ 12834</t>
  </si>
  <si>
    <t>09/01/2024</t>
  </si>
  <si>
    <t>B0243</t>
  </si>
  <si>
    <t>D20240704</t>
  </si>
  <si>
    <t>C0586</t>
  </si>
  <si>
    <t>₹ 18630</t>
  </si>
  <si>
    <t>04/07/2024</t>
  </si>
  <si>
    <t>B0244</t>
  </si>
  <si>
    <t>D20240125</t>
  </si>
  <si>
    <t>₹ 7572</t>
  </si>
  <si>
    <t>25/01/2024</t>
  </si>
  <si>
    <t>B0245</t>
  </si>
  <si>
    <t>₹ 11241</t>
  </si>
  <si>
    <t>B0246</t>
  </si>
  <si>
    <t>D20240406</t>
  </si>
  <si>
    <t>C0394</t>
  </si>
  <si>
    <t>₹ 18662</t>
  </si>
  <si>
    <t>B0247</t>
  </si>
  <si>
    <t>D20240225</t>
  </si>
  <si>
    <t>C0107</t>
  </si>
  <si>
    <t>₹ 17602</t>
  </si>
  <si>
    <t>25/02/2024</t>
  </si>
  <si>
    <t>29/02/2024</t>
  </si>
  <si>
    <t>B0248</t>
  </si>
  <si>
    <t>D20240802</t>
  </si>
  <si>
    <t>C0645</t>
  </si>
  <si>
    <t>₹ 18692</t>
  </si>
  <si>
    <t>02/08/2024</t>
  </si>
  <si>
    <t>07/08/2024</t>
  </si>
  <si>
    <t>B0249</t>
  </si>
  <si>
    <t>C0830</t>
  </si>
  <si>
    <t>₹ 7012</t>
  </si>
  <si>
    <t>B0250</t>
  </si>
  <si>
    <t>D20241012</t>
  </si>
  <si>
    <t>C0229</t>
  </si>
  <si>
    <t>₹ 12067</t>
  </si>
  <si>
    <t>12/10/2024</t>
  </si>
  <si>
    <t>B0251</t>
  </si>
  <si>
    <t>C0973</t>
  </si>
  <si>
    <t>₹ 3377</t>
  </si>
  <si>
    <t>B0252</t>
  </si>
  <si>
    <t>D20240610</t>
  </si>
  <si>
    <t>C0449</t>
  </si>
  <si>
    <t>₹ 15247</t>
  </si>
  <si>
    <t>10/06/2024</t>
  </si>
  <si>
    <t>13/06/2024</t>
  </si>
  <si>
    <t>B0253</t>
  </si>
  <si>
    <t>D20241123</t>
  </si>
  <si>
    <t>C0453</t>
  </si>
  <si>
    <t>₹ 15067</t>
  </si>
  <si>
    <t>23/11/2024</t>
  </si>
  <si>
    <t>B0254</t>
  </si>
  <si>
    <t>C0082</t>
  </si>
  <si>
    <t>₹ 8730</t>
  </si>
  <si>
    <t>B0255</t>
  </si>
  <si>
    <t>D20240808</t>
  </si>
  <si>
    <t>C0254</t>
  </si>
  <si>
    <t>₹ 17504</t>
  </si>
  <si>
    <t>08/08/2024</t>
  </si>
  <si>
    <t>B0256</t>
  </si>
  <si>
    <t>C0127</t>
  </si>
  <si>
    <t>₹ 4665</t>
  </si>
  <si>
    <t>16/01/2024</t>
  </si>
  <si>
    <t>B0257</t>
  </si>
  <si>
    <t>₹ 19788</t>
  </si>
  <si>
    <t>B0258</t>
  </si>
  <si>
    <t>D20240419</t>
  </si>
  <si>
    <t>C0115</t>
  </si>
  <si>
    <t>₹ 11524</t>
  </si>
  <si>
    <t>19/04/2024</t>
  </si>
  <si>
    <t>21/04/2024</t>
  </si>
  <si>
    <t>B0259</t>
  </si>
  <si>
    <t>C0014</t>
  </si>
  <si>
    <t>₹ 18026</t>
  </si>
  <si>
    <t>B0260</t>
  </si>
  <si>
    <t>D20241207</t>
  </si>
  <si>
    <t>C0056</t>
  </si>
  <si>
    <t>₹ 5441</t>
  </si>
  <si>
    <t>B0261</t>
  </si>
  <si>
    <t>D20240529</t>
  </si>
  <si>
    <t>C0742</t>
  </si>
  <si>
    <t>₹ 14910</t>
  </si>
  <si>
    <t>29/05/2024</t>
  </si>
  <si>
    <t>B0262</t>
  </si>
  <si>
    <t>D20240811</t>
  </si>
  <si>
    <t>C0527</t>
  </si>
  <si>
    <t>₹ 16587</t>
  </si>
  <si>
    <t>11/08/2024</t>
  </si>
  <si>
    <t>B0263</t>
  </si>
  <si>
    <t>C0615</t>
  </si>
  <si>
    <t>₹ 16501</t>
  </si>
  <si>
    <t>B0264</t>
  </si>
  <si>
    <t>C0099</t>
  </si>
  <si>
    <t>₹ 11612</t>
  </si>
  <si>
    <t>B0265</t>
  </si>
  <si>
    <t>D20240323</t>
  </si>
  <si>
    <t>C0005</t>
  </si>
  <si>
    <t>₹ 12354</t>
  </si>
  <si>
    <t>23/03/2024</t>
  </si>
  <si>
    <t>B0266</t>
  </si>
  <si>
    <t>C0882</t>
  </si>
  <si>
    <t>₹ 9501</t>
  </si>
  <si>
    <t>21/01/2024</t>
  </si>
  <si>
    <t>B0267</t>
  </si>
  <si>
    <t>D20240111</t>
  </si>
  <si>
    <t>₹ 15672</t>
  </si>
  <si>
    <t>11/01/2024</t>
  </si>
  <si>
    <t>B0268</t>
  </si>
  <si>
    <t>C0684</t>
  </si>
  <si>
    <t>₹ 5906</t>
  </si>
  <si>
    <t>B0269</t>
  </si>
  <si>
    <t>C0288</t>
  </si>
  <si>
    <t>₹ 13213</t>
  </si>
  <si>
    <t>08/06/2024</t>
  </si>
  <si>
    <t>B0270</t>
  </si>
  <si>
    <t>D20241011</t>
  </si>
  <si>
    <t>C0322</t>
  </si>
  <si>
    <t>₹ 8723</t>
  </si>
  <si>
    <t>11/10/2024</t>
  </si>
  <si>
    <t>B0271</t>
  </si>
  <si>
    <t>D20240417</t>
  </si>
  <si>
    <t>₹ 18243</t>
  </si>
  <si>
    <t>B0272</t>
  </si>
  <si>
    <t>₹ 17416</t>
  </si>
  <si>
    <t>B0273</t>
  </si>
  <si>
    <t>D20240911</t>
  </si>
  <si>
    <t>C0049</t>
  </si>
  <si>
    <t>₹ 13755</t>
  </si>
  <si>
    <t>11/09/2024</t>
  </si>
  <si>
    <t>B0274</t>
  </si>
  <si>
    <t>D20240903</t>
  </si>
  <si>
    <t>C0533</t>
  </si>
  <si>
    <t>₹ 8768</t>
  </si>
  <si>
    <t>03/09/2024</t>
  </si>
  <si>
    <t>B0275</t>
  </si>
  <si>
    <t>₹ 5508</t>
  </si>
  <si>
    <t>B0276</t>
  </si>
  <si>
    <t>C0249</t>
  </si>
  <si>
    <t>₹ 8150</t>
  </si>
  <si>
    <t>B0277</t>
  </si>
  <si>
    <t>D20241020</t>
  </si>
  <si>
    <t>C0475</t>
  </si>
  <si>
    <t>₹ 18793</t>
  </si>
  <si>
    <t>B0278</t>
  </si>
  <si>
    <t>C0686</t>
  </si>
  <si>
    <t>₹ 14715</t>
  </si>
  <si>
    <t>B0279</t>
  </si>
  <si>
    <t>C0310</t>
  </si>
  <si>
    <t>₹ 4408</t>
  </si>
  <si>
    <t>11/12/2024</t>
  </si>
  <si>
    <t>B0280</t>
  </si>
  <si>
    <t>D20241221</t>
  </si>
  <si>
    <t>C0821</t>
  </si>
  <si>
    <t>₹ 19947</t>
  </si>
  <si>
    <t>B0281</t>
  </si>
  <si>
    <t>D20240616</t>
  </si>
  <si>
    <t>C0974</t>
  </si>
  <si>
    <t>₹ 19655</t>
  </si>
  <si>
    <t>16/06/2024</t>
  </si>
  <si>
    <t>B0282</t>
  </si>
  <si>
    <t>D20240908</t>
  </si>
  <si>
    <t>C1000</t>
  </si>
  <si>
    <t>₹ 5758</t>
  </si>
  <si>
    <t>B0283</t>
  </si>
  <si>
    <t>₹ 13319</t>
  </si>
  <si>
    <t>22/03/2024</t>
  </si>
  <si>
    <t>B0284</t>
  </si>
  <si>
    <t>C0163</t>
  </si>
  <si>
    <t>₹ 13879</t>
  </si>
  <si>
    <t>B0285</t>
  </si>
  <si>
    <t>D20240512</t>
  </si>
  <si>
    <t>C0174</t>
  </si>
  <si>
    <t>₹ 5778</t>
  </si>
  <si>
    <t>16/05/2024</t>
  </si>
  <si>
    <t>B0286</t>
  </si>
  <si>
    <t>D20240812</t>
  </si>
  <si>
    <t>C0223</t>
  </si>
  <si>
    <t>₹ 16786</t>
  </si>
  <si>
    <t>B0287</t>
  </si>
  <si>
    <t>C0216</t>
  </si>
  <si>
    <t>₹ 3078</t>
  </si>
  <si>
    <t>B0288</t>
  </si>
  <si>
    <t>C0508</t>
  </si>
  <si>
    <t>₹ 16348</t>
  </si>
  <si>
    <t>B0289</t>
  </si>
  <si>
    <t>C0048</t>
  </si>
  <si>
    <t>B0290</t>
  </si>
  <si>
    <t>C0307</t>
  </si>
  <si>
    <t>₹ 6163</t>
  </si>
  <si>
    <t>B0291</t>
  </si>
  <si>
    <t>₹ 17305</t>
  </si>
  <si>
    <t>B0292</t>
  </si>
  <si>
    <t>C0570</t>
  </si>
  <si>
    <t>₹ 3356</t>
  </si>
  <si>
    <t>B0293</t>
  </si>
  <si>
    <t>C0258</t>
  </si>
  <si>
    <t>₹ 19899</t>
  </si>
  <si>
    <t>06/08/2024</t>
  </si>
  <si>
    <t>B0294</t>
  </si>
  <si>
    <t>D20240421</t>
  </si>
  <si>
    <t>C0854</t>
  </si>
  <si>
    <t>₹ 9103</t>
  </si>
  <si>
    <t>B0295</t>
  </si>
  <si>
    <t>D20240418</t>
  </si>
  <si>
    <t>C0935</t>
  </si>
  <si>
    <t>₹ 6473</t>
  </si>
  <si>
    <t>18/04/2024</t>
  </si>
  <si>
    <t>B0296</t>
  </si>
  <si>
    <t>₹ 4061</t>
  </si>
  <si>
    <t>27/01/2024</t>
  </si>
  <si>
    <t>B0297</t>
  </si>
  <si>
    <t>C0728</t>
  </si>
  <si>
    <t>₹ 7638</t>
  </si>
  <si>
    <t>B0298</t>
  </si>
  <si>
    <t>D20240120</t>
  </si>
  <si>
    <t>₹ 11221</t>
  </si>
  <si>
    <t>20/01/2024</t>
  </si>
  <si>
    <t>22/01/2024</t>
  </si>
  <si>
    <t>B0299</t>
  </si>
  <si>
    <t>C0884</t>
  </si>
  <si>
    <t>₹ 8899</t>
  </si>
  <si>
    <t>B0300</t>
  </si>
  <si>
    <t>C0149</t>
  </si>
  <si>
    <t>₹ 12216</t>
  </si>
  <si>
    <t>B0301</t>
  </si>
  <si>
    <t>C0445</t>
  </si>
  <si>
    <t>₹ 17752</t>
  </si>
  <si>
    <t>B0302</t>
  </si>
  <si>
    <t>C0848</t>
  </si>
  <si>
    <t>₹ 3952</t>
  </si>
  <si>
    <t>B0303</t>
  </si>
  <si>
    <t>D20240614</t>
  </si>
  <si>
    <t>C0712</t>
  </si>
  <si>
    <t>₹ 14302</t>
  </si>
  <si>
    <t>17/06/2024</t>
  </si>
  <si>
    <t>B0304</t>
  </si>
  <si>
    <t>D20241018</t>
  </si>
  <si>
    <t>C0656</t>
  </si>
  <si>
    <t>₹ 13919</t>
  </si>
  <si>
    <t>18/10/2024</t>
  </si>
  <si>
    <t>B0305</t>
  </si>
  <si>
    <t>C0346</t>
  </si>
  <si>
    <t>₹ 5606</t>
  </si>
  <si>
    <t>B0306</t>
  </si>
  <si>
    <t>C0252</t>
  </si>
  <si>
    <t>₹ 7120</t>
  </si>
  <si>
    <t>B0307</t>
  </si>
  <si>
    <t>C0287</t>
  </si>
  <si>
    <t>₹ 7594</t>
  </si>
  <si>
    <t>B0308</t>
  </si>
  <si>
    <t>D20240424</t>
  </si>
  <si>
    <t>₹ 7394</t>
  </si>
  <si>
    <t>B0309</t>
  </si>
  <si>
    <t>D20240629</t>
  </si>
  <si>
    <t>₹ 9364</t>
  </si>
  <si>
    <t>B0310</t>
  </si>
  <si>
    <t>D20241206</t>
  </si>
  <si>
    <t>₹ 9890</t>
  </si>
  <si>
    <t>06/12/2024</t>
  </si>
  <si>
    <t>B0311</t>
  </si>
  <si>
    <t>₹ 3994</t>
  </si>
  <si>
    <t>B0312</t>
  </si>
  <si>
    <t>₹ 15357</t>
  </si>
  <si>
    <t>B0313</t>
  </si>
  <si>
    <t>C0638</t>
  </si>
  <si>
    <t>₹ 9221</t>
  </si>
  <si>
    <t>B0314</t>
  </si>
  <si>
    <t>D20240122</t>
  </si>
  <si>
    <t>C0473</t>
  </si>
  <si>
    <t>₹ 6166</t>
  </si>
  <si>
    <t>B0315</t>
  </si>
  <si>
    <t>C0965</t>
  </si>
  <si>
    <t>₹ 11547</t>
  </si>
  <si>
    <t>06/03/2024</t>
  </si>
  <si>
    <t>B0316</t>
  </si>
  <si>
    <t>D20240513</t>
  </si>
  <si>
    <t>₹ 7802</t>
  </si>
  <si>
    <t>B0317</t>
  </si>
  <si>
    <t>C0532</t>
  </si>
  <si>
    <t>₹ 8607</t>
  </si>
  <si>
    <t>B0318</t>
  </si>
  <si>
    <t>C0182</t>
  </si>
  <si>
    <t>₹ 14511</t>
  </si>
  <si>
    <t>B0319</t>
  </si>
  <si>
    <t>D20240627</t>
  </si>
  <si>
    <t>C0576</t>
  </si>
  <si>
    <t>₹ 7506</t>
  </si>
  <si>
    <t>27/06/2024</t>
  </si>
  <si>
    <t>B0320</t>
  </si>
  <si>
    <t>D20241118</t>
  </si>
  <si>
    <t>C0834</t>
  </si>
  <si>
    <t>₹ 14733</t>
  </si>
  <si>
    <t>B0321</t>
  </si>
  <si>
    <t>₹ 7237</t>
  </si>
  <si>
    <t>B0322</t>
  </si>
  <si>
    <t>C0839</t>
  </si>
  <si>
    <t>₹ 11818</t>
  </si>
  <si>
    <t>B0323</t>
  </si>
  <si>
    <t>C0368</t>
  </si>
  <si>
    <t>₹ 4138</t>
  </si>
  <si>
    <t>B0324</t>
  </si>
  <si>
    <t>C0379</t>
  </si>
  <si>
    <t>₹ 18116</t>
  </si>
  <si>
    <t>B0325</t>
  </si>
  <si>
    <t>D20241122</t>
  </si>
  <si>
    <t>C0194</t>
  </si>
  <si>
    <t>₹ 4660</t>
  </si>
  <si>
    <t>22/11/2024</t>
  </si>
  <si>
    <t>B0326</t>
  </si>
  <si>
    <t>C0699</t>
  </si>
  <si>
    <t>₹ 3957</t>
  </si>
  <si>
    <t>B0327</t>
  </si>
  <si>
    <t>D20240514</t>
  </si>
  <si>
    <t>C0405</t>
  </si>
  <si>
    <t>₹ 10094</t>
  </si>
  <si>
    <t>B0328</t>
  </si>
  <si>
    <t>C0016</t>
  </si>
  <si>
    <t>₹ 8417</t>
  </si>
  <si>
    <t>B0329</t>
  </si>
  <si>
    <t>C0542</t>
  </si>
  <si>
    <t>₹ 6902</t>
  </si>
  <si>
    <t>B0330</t>
  </si>
  <si>
    <t>C0451</t>
  </si>
  <si>
    <t>₹ 18141</t>
  </si>
  <si>
    <t>26/12/2024</t>
  </si>
  <si>
    <t>B0331</t>
  </si>
  <si>
    <t>C0852</t>
  </si>
  <si>
    <t>₹ 13866</t>
  </si>
  <si>
    <t>B0332</t>
  </si>
  <si>
    <t>D20240203</t>
  </si>
  <si>
    <t>C0692</t>
  </si>
  <si>
    <t>₹ 11767</t>
  </si>
  <si>
    <t>B0333</t>
  </si>
  <si>
    <t>C0571</t>
  </si>
  <si>
    <t>₹ 15438</t>
  </si>
  <si>
    <t>B0334</t>
  </si>
  <si>
    <t>D20240123</t>
  </si>
  <si>
    <t>C0766</t>
  </si>
  <si>
    <t>₹ 7171</t>
  </si>
  <si>
    <t>B0335</t>
  </si>
  <si>
    <t>C0151</t>
  </si>
  <si>
    <t>₹ 18705</t>
  </si>
  <si>
    <t>B0336</t>
  </si>
  <si>
    <t>D20241015</t>
  </si>
  <si>
    <t>₹ 13459</t>
  </si>
  <si>
    <t>15/10/2024</t>
  </si>
  <si>
    <t>B0337</t>
  </si>
  <si>
    <t>C0590</t>
  </si>
  <si>
    <t>₹ 9255</t>
  </si>
  <si>
    <t>B0338</t>
  </si>
  <si>
    <t>C0895</t>
  </si>
  <si>
    <t>B0339</t>
  </si>
  <si>
    <t>C0947</t>
  </si>
  <si>
    <t>₹ 16107</t>
  </si>
  <si>
    <t>B0340</t>
  </si>
  <si>
    <t>D20240717</t>
  </si>
  <si>
    <t>₹ 12700</t>
  </si>
  <si>
    <t>17/07/2024</t>
  </si>
  <si>
    <t>B0341</t>
  </si>
  <si>
    <t>D20240519</t>
  </si>
  <si>
    <t>₹ 10939</t>
  </si>
  <si>
    <t>20/05/2024</t>
  </si>
  <si>
    <t>B0342</t>
  </si>
  <si>
    <t>₹ 7396</t>
  </si>
  <si>
    <t>B0343</t>
  </si>
  <si>
    <t>C0832</t>
  </si>
  <si>
    <t>₹ 14528</t>
  </si>
  <si>
    <t>B0344</t>
  </si>
  <si>
    <t>C0626</t>
  </si>
  <si>
    <t>₹ 15290</t>
  </si>
  <si>
    <t>B0345</t>
  </si>
  <si>
    <t>C0537</t>
  </si>
  <si>
    <t>₹ 3738</t>
  </si>
  <si>
    <t>B0346</t>
  </si>
  <si>
    <t>D20240210</t>
  </si>
  <si>
    <t>C0664</t>
  </si>
  <si>
    <t>₹ 4236</t>
  </si>
  <si>
    <t>10/02/2024</t>
  </si>
  <si>
    <t>B0347</t>
  </si>
  <si>
    <t>₹ 15943</t>
  </si>
  <si>
    <t>B0348</t>
  </si>
  <si>
    <t>C0979</t>
  </si>
  <si>
    <t>₹ 18324</t>
  </si>
  <si>
    <t>B0349</t>
  </si>
  <si>
    <t>C0418</t>
  </si>
  <si>
    <t>₹ 9339</t>
  </si>
  <si>
    <t>B0350</t>
  </si>
  <si>
    <t>D20241202</t>
  </si>
  <si>
    <t>C0362</t>
  </si>
  <si>
    <t>₹ 18930</t>
  </si>
  <si>
    <t>02/12/2024</t>
  </si>
  <si>
    <t>05/12/2024</t>
  </si>
  <si>
    <t>B0351</t>
  </si>
  <si>
    <t>D20240603</t>
  </si>
  <si>
    <t>C0304</t>
  </si>
  <si>
    <t>₹ 17882</t>
  </si>
  <si>
    <t>B0352</t>
  </si>
  <si>
    <t>₹ 8215</t>
  </si>
  <si>
    <t>B0353</t>
  </si>
  <si>
    <t>D20240303</t>
  </si>
  <si>
    <t>C0922</t>
  </si>
  <si>
    <t>₹ 18487</t>
  </si>
  <si>
    <t>B0354</t>
  </si>
  <si>
    <t>D20241013</t>
  </si>
  <si>
    <t>C0812</t>
  </si>
  <si>
    <t>₹ 15055</t>
  </si>
  <si>
    <t>13/10/2024</t>
  </si>
  <si>
    <t>B0355</t>
  </si>
  <si>
    <t>D20240321</t>
  </si>
  <si>
    <t>₹ 15330</t>
  </si>
  <si>
    <t>B0356</t>
  </si>
  <si>
    <t>C0648</t>
  </si>
  <si>
    <t>₹ 7446</t>
  </si>
  <si>
    <t>23/10/2024</t>
  </si>
  <si>
    <t>B0357</t>
  </si>
  <si>
    <t>C0738</t>
  </si>
  <si>
    <t>₹ 10452</t>
  </si>
  <si>
    <t>B0358</t>
  </si>
  <si>
    <t>C0359</t>
  </si>
  <si>
    <t>B0359</t>
  </si>
  <si>
    <t>C0567</t>
  </si>
  <si>
    <t>₹ 7152</t>
  </si>
  <si>
    <t>B0360</t>
  </si>
  <si>
    <t>C0324</t>
  </si>
  <si>
    <t>₹ 15922</t>
  </si>
  <si>
    <t>B0361</t>
  </si>
  <si>
    <t>C0506</t>
  </si>
  <si>
    <t>₹ 4833</t>
  </si>
  <si>
    <t>B0362</t>
  </si>
  <si>
    <t>D20240213</t>
  </si>
  <si>
    <t>C0803</t>
  </si>
  <si>
    <t>₹ 19995</t>
  </si>
  <si>
    <t>B0363</t>
  </si>
  <si>
    <t>C0730</t>
  </si>
  <si>
    <t>₹ 10101</t>
  </si>
  <si>
    <t>B0364</t>
  </si>
  <si>
    <t>D20240608</t>
  </si>
  <si>
    <t>₹ 15998</t>
  </si>
  <si>
    <t>B0365</t>
  </si>
  <si>
    <t>C0963</t>
  </si>
  <si>
    <t>₹ 3841</t>
  </si>
  <si>
    <t>B0366</t>
  </si>
  <si>
    <t>C0659</t>
  </si>
  <si>
    <t>₹ 11460</t>
  </si>
  <si>
    <t>B0367</t>
  </si>
  <si>
    <t>D20240907</t>
  </si>
  <si>
    <t>C0466</t>
  </si>
  <si>
    <t>₹ 7437</t>
  </si>
  <si>
    <t>07/09/2024</t>
  </si>
  <si>
    <t>B0368</t>
  </si>
  <si>
    <t>₹ 5540</t>
  </si>
  <si>
    <t>B0369</t>
  </si>
  <si>
    <t>D20240726</t>
  </si>
  <si>
    <t>C0918</t>
  </si>
  <si>
    <t>₹ 7273</t>
  </si>
  <si>
    <t>B0370</t>
  </si>
  <si>
    <t>₹ 15106</t>
  </si>
  <si>
    <t>B0371</t>
  </si>
  <si>
    <t>D20240930</t>
  </si>
  <si>
    <t>C0560</t>
  </si>
  <si>
    <t>₹ 17598</t>
  </si>
  <si>
    <t>30/09/2024</t>
  </si>
  <si>
    <t>B0372</t>
  </si>
  <si>
    <t>D20240224</t>
  </si>
  <si>
    <t>₹ 13606</t>
  </si>
  <si>
    <t>B0373</t>
  </si>
  <si>
    <t>C0057</t>
  </si>
  <si>
    <t>₹ 5971</t>
  </si>
  <si>
    <t>B0374</t>
  </si>
  <si>
    <t>D20240822</t>
  </si>
  <si>
    <t>C0138</t>
  </si>
  <si>
    <t>₹ 9254</t>
  </si>
  <si>
    <t>22/08/2024</t>
  </si>
  <si>
    <t>B0375</t>
  </si>
  <si>
    <t>C0175</t>
  </si>
  <si>
    <t>₹ 15678</t>
  </si>
  <si>
    <t>B0376</t>
  </si>
  <si>
    <t>D20240112</t>
  </si>
  <si>
    <t>₹ 13568</t>
  </si>
  <si>
    <t>B0377</t>
  </si>
  <si>
    <t>D20240426</t>
  </si>
  <si>
    <t>C0661</t>
  </si>
  <si>
    <t>₹ 16458</t>
  </si>
  <si>
    <t>26/04/2024</t>
  </si>
  <si>
    <t>B0378</t>
  </si>
  <si>
    <t>C0971</t>
  </si>
  <si>
    <t>₹ 18385</t>
  </si>
  <si>
    <t>B0379</t>
  </si>
  <si>
    <t>₹ 9157</t>
  </si>
  <si>
    <t>B0380</t>
  </si>
  <si>
    <t>₹ 8329</t>
  </si>
  <si>
    <t>28/06/2024</t>
  </si>
  <si>
    <t>B0381</t>
  </si>
  <si>
    <t>C0911</t>
  </si>
  <si>
    <t>₹ 19925</t>
  </si>
  <si>
    <t>B0382</t>
  </si>
  <si>
    <t>C0131</t>
  </si>
  <si>
    <t>₹ 3837</t>
  </si>
  <si>
    <t>08/04/2024</t>
  </si>
  <si>
    <t>B0383</t>
  </si>
  <si>
    <t>D20241224</t>
  </si>
  <si>
    <t>₹ 17927</t>
  </si>
  <si>
    <t>B0384</t>
  </si>
  <si>
    <t>D20240806</t>
  </si>
  <si>
    <t>C0419</t>
  </si>
  <si>
    <t>₹ 19539</t>
  </si>
  <si>
    <t>B0385</t>
  </si>
  <si>
    <t>D20240516</t>
  </si>
  <si>
    <t>C0243</t>
  </si>
  <si>
    <t>₹ 16806</t>
  </si>
  <si>
    <t>B0386</t>
  </si>
  <si>
    <t>D20240901</t>
  </si>
  <si>
    <t>C0541</t>
  </si>
  <si>
    <t>₹ 13761</t>
  </si>
  <si>
    <t>06/09/2024</t>
  </si>
  <si>
    <t>B0387</t>
  </si>
  <si>
    <t>D20240622</t>
  </si>
  <si>
    <t>C0062</t>
  </si>
  <si>
    <t>₹ 19896</t>
  </si>
  <si>
    <t>B0388</t>
  </si>
  <si>
    <t>D20240819</t>
  </si>
  <si>
    <t>C0413</t>
  </si>
  <si>
    <t>₹ 13273</t>
  </si>
  <si>
    <t>B0389</t>
  </si>
  <si>
    <t>D20240319</t>
  </si>
  <si>
    <t>₹ 4620</t>
  </si>
  <si>
    <t>B0390</t>
  </si>
  <si>
    <t>D20241127</t>
  </si>
  <si>
    <t>C0951</t>
  </si>
  <si>
    <t>₹ 3714</t>
  </si>
  <si>
    <t>27/11/2024</t>
  </si>
  <si>
    <t>B0391</t>
  </si>
  <si>
    <t>C0282</t>
  </si>
  <si>
    <t>₹ 18592</t>
  </si>
  <si>
    <t>B0392</t>
  </si>
  <si>
    <t>C0064</t>
  </si>
  <si>
    <t>₹ 10948</t>
  </si>
  <si>
    <t>B0393</t>
  </si>
  <si>
    <t>C0968</t>
  </si>
  <si>
    <t>₹ 18401</t>
  </si>
  <si>
    <t>B0394</t>
  </si>
  <si>
    <t>D20240524</t>
  </si>
  <si>
    <t>₹ 13826</t>
  </si>
  <si>
    <t>B0395</t>
  </si>
  <si>
    <t>C0222</t>
  </si>
  <si>
    <t>₹ 3365</t>
  </si>
  <si>
    <t>B0396</t>
  </si>
  <si>
    <t>D20240823</t>
  </si>
  <si>
    <t>C0244</t>
  </si>
  <si>
    <t>₹ 5697</t>
  </si>
  <si>
    <t>B0397</t>
  </si>
  <si>
    <t>C0966</t>
  </si>
  <si>
    <t>₹ 19645</t>
  </si>
  <si>
    <t>B0398</t>
  </si>
  <si>
    <t>C0722</t>
  </si>
  <si>
    <t>₹ 12280</t>
  </si>
  <si>
    <t>B0399</t>
  </si>
  <si>
    <t>₹ 4537</t>
  </si>
  <si>
    <t>B0400</t>
  </si>
  <si>
    <t>D20241208</t>
  </si>
  <si>
    <t>₹ 17301</t>
  </si>
  <si>
    <t>08/12/2024</t>
  </si>
  <si>
    <t>B0401</t>
  </si>
  <si>
    <t>D20241124</t>
  </si>
  <si>
    <t>₹ 13112</t>
  </si>
  <si>
    <t>24/11/2024</t>
  </si>
  <si>
    <t>B0402</t>
  </si>
  <si>
    <t>D20240715</t>
  </si>
  <si>
    <t>C0534</t>
  </si>
  <si>
    <t>₹ 12362</t>
  </si>
  <si>
    <t>15/07/2024</t>
  </si>
  <si>
    <t>B0403</t>
  </si>
  <si>
    <t>C0263</t>
  </si>
  <si>
    <t>₹ 9598</t>
  </si>
  <si>
    <t>B0404</t>
  </si>
  <si>
    <t>C0683</t>
  </si>
  <si>
    <t>₹ 8415</t>
  </si>
  <si>
    <t>B0405</t>
  </si>
  <si>
    <t>₹ 3156</t>
  </si>
  <si>
    <t>B0406</t>
  </si>
  <si>
    <t>₹ 15172</t>
  </si>
  <si>
    <t>B0407</t>
  </si>
  <si>
    <t>C0618</t>
  </si>
  <si>
    <t>₹ 5642</t>
  </si>
  <si>
    <t>B0408</t>
  </si>
  <si>
    <t>C0331</t>
  </si>
  <si>
    <t>₹ 17817</t>
  </si>
  <si>
    <t>B0409</t>
  </si>
  <si>
    <t>C0891</t>
  </si>
  <si>
    <t>₹ 12614</t>
  </si>
  <si>
    <t>07/04/2024</t>
  </si>
  <si>
    <t>B0410</t>
  </si>
  <si>
    <t>D20240211</t>
  </si>
  <si>
    <t>C0611</t>
  </si>
  <si>
    <t>₹ 9865</t>
  </si>
  <si>
    <t>11/02/2024</t>
  </si>
  <si>
    <t>B0411</t>
  </si>
  <si>
    <t>D20240309</t>
  </si>
  <si>
    <t>₹ 18367</t>
  </si>
  <si>
    <t>09/03/2024</t>
  </si>
  <si>
    <t>B0412</t>
  </si>
  <si>
    <t>D20241022</t>
  </si>
  <si>
    <t>₹ 10753</t>
  </si>
  <si>
    <t>B0413</t>
  </si>
  <si>
    <t>C0010</t>
  </si>
  <si>
    <t>₹ 7595</t>
  </si>
  <si>
    <t>B0414</t>
  </si>
  <si>
    <t>C0769</t>
  </si>
  <si>
    <t>₹ 4564</t>
  </si>
  <si>
    <t>B0415</t>
  </si>
  <si>
    <t>C0204</t>
  </si>
  <si>
    <t>₹ 14123</t>
  </si>
  <si>
    <t>B0416</t>
  </si>
  <si>
    <t>C0972</t>
  </si>
  <si>
    <t>₹ 8392</t>
  </si>
  <si>
    <t>B0417</t>
  </si>
  <si>
    <t>C0006</t>
  </si>
  <si>
    <t>₹ 14072</t>
  </si>
  <si>
    <t>B0418</t>
  </si>
  <si>
    <t>D20240128</t>
  </si>
  <si>
    <t>C0710</t>
  </si>
  <si>
    <t>₹ 11291</t>
  </si>
  <si>
    <t>B0419</t>
  </si>
  <si>
    <t>C0472</t>
  </si>
  <si>
    <t>₹ 17758</t>
  </si>
  <si>
    <t>B0420</t>
  </si>
  <si>
    <t>C0086</t>
  </si>
  <si>
    <t>₹ 11492</t>
  </si>
  <si>
    <t>13/07/2024</t>
  </si>
  <si>
    <t>B0421</t>
  </si>
  <si>
    <t>D20240607</t>
  </si>
  <si>
    <t>₹ 5407</t>
  </si>
  <si>
    <t>B0422</t>
  </si>
  <si>
    <t>C0926</t>
  </si>
  <si>
    <t>₹ 17868</t>
  </si>
  <si>
    <t>20/04/2024</t>
  </si>
  <si>
    <t>B0423</t>
  </si>
  <si>
    <t>D20241227</t>
  </si>
  <si>
    <t>C0214</t>
  </si>
  <si>
    <t>₹ 9691</t>
  </si>
  <si>
    <t>B0424</t>
  </si>
  <si>
    <t>C0503</t>
  </si>
  <si>
    <t>₹ 12468</t>
  </si>
  <si>
    <t>B0425</t>
  </si>
  <si>
    <t>₹ 17814</t>
  </si>
  <si>
    <t>B0426</t>
  </si>
  <si>
    <t>D20241002</t>
  </si>
  <si>
    <t>C0034</t>
  </si>
  <si>
    <t>₹ 11866</t>
  </si>
  <si>
    <t>02/10/2024</t>
  </si>
  <si>
    <t>B0427</t>
  </si>
  <si>
    <t>D20241023</t>
  </si>
  <si>
    <t>₹ 19397</t>
  </si>
  <si>
    <t>B0428</t>
  </si>
  <si>
    <t>C0260</t>
  </si>
  <si>
    <t>₹ 13137</t>
  </si>
  <si>
    <t>B0429</t>
  </si>
  <si>
    <t>D20240403</t>
  </si>
  <si>
    <t>₹ 6753</t>
  </si>
  <si>
    <t>04/04/2024</t>
  </si>
  <si>
    <t>B0430</t>
  </si>
  <si>
    <t>D20241201</t>
  </si>
  <si>
    <t>₹ 15872</t>
  </si>
  <si>
    <t>01/12/2024</t>
  </si>
  <si>
    <t>03/12/2024</t>
  </si>
  <si>
    <t>B0431</t>
  </si>
  <si>
    <t>₹ 11078</t>
  </si>
  <si>
    <t>B0432</t>
  </si>
  <si>
    <t>C0102</t>
  </si>
  <si>
    <t>₹ 5792</t>
  </si>
  <si>
    <t>B0433</t>
  </si>
  <si>
    <t>D20240223</t>
  </si>
  <si>
    <t>₹ 19940</t>
  </si>
  <si>
    <t>B0434</t>
  </si>
  <si>
    <t>D20241219</t>
  </si>
  <si>
    <t>C0548</t>
  </si>
  <si>
    <t>₹ 13886</t>
  </si>
  <si>
    <t>B0435</t>
  </si>
  <si>
    <t>C0725</t>
  </si>
  <si>
    <t>₹ 3668</t>
  </si>
  <si>
    <t>B0436</t>
  </si>
  <si>
    <t>C0591</t>
  </si>
  <si>
    <t>₹ 19070</t>
  </si>
  <si>
    <t>B0437</t>
  </si>
  <si>
    <t>₹ 8681</t>
  </si>
  <si>
    <t>B0438</t>
  </si>
  <si>
    <t>₹ 8986</t>
  </si>
  <si>
    <t>B0439</t>
  </si>
  <si>
    <t>C0579</t>
  </si>
  <si>
    <t>₹ 7157</t>
  </si>
  <si>
    <t>B0440</t>
  </si>
  <si>
    <t>C0816</t>
  </si>
  <si>
    <t>₹ 17664</t>
  </si>
  <si>
    <t>B0441</t>
  </si>
  <si>
    <t>C0619</t>
  </si>
  <si>
    <t>₹ 18974</t>
  </si>
  <si>
    <t>25/10/2024</t>
  </si>
  <si>
    <t>B0442</t>
  </si>
  <si>
    <t>C0946</t>
  </si>
  <si>
    <t>₹ 9869</t>
  </si>
  <si>
    <t>B0443</t>
  </si>
  <si>
    <t>C0599</t>
  </si>
  <si>
    <t>₹ 18909</t>
  </si>
  <si>
    <t>B0444</t>
  </si>
  <si>
    <t>D20240515</t>
  </si>
  <si>
    <t>C0154</t>
  </si>
  <si>
    <t>₹ 17288</t>
  </si>
  <si>
    <t>15/05/2024</t>
  </si>
  <si>
    <t>B0445</t>
  </si>
  <si>
    <t>C0950</t>
  </si>
  <si>
    <t>B0446</t>
  </si>
  <si>
    <t>C0321</t>
  </si>
  <si>
    <t>₹ 4727</t>
  </si>
  <si>
    <t>B0447</t>
  </si>
  <si>
    <t>D20240416</t>
  </si>
  <si>
    <t>C0804</t>
  </si>
  <si>
    <t>₹ 6435</t>
  </si>
  <si>
    <t>B0448</t>
  </si>
  <si>
    <t>D20240106</t>
  </si>
  <si>
    <t>₹ 9353</t>
  </si>
  <si>
    <t>B0449</t>
  </si>
  <si>
    <t>C0176</t>
  </si>
  <si>
    <t>₹ 17833</t>
  </si>
  <si>
    <t>B0450</t>
  </si>
  <si>
    <t>₹ 18704</t>
  </si>
  <si>
    <t>B0451</t>
  </si>
  <si>
    <t>C0389</t>
  </si>
  <si>
    <t>₹ 6711</t>
  </si>
  <si>
    <t>B0452</t>
  </si>
  <si>
    <t>C0384</t>
  </si>
  <si>
    <t>₹ 15936</t>
  </si>
  <si>
    <t>B0453</t>
  </si>
  <si>
    <t>C0760</t>
  </si>
  <si>
    <t>₹ 10793</t>
  </si>
  <si>
    <t>B0454</t>
  </si>
  <si>
    <t>D20240313</t>
  </si>
  <si>
    <t>C0015</t>
  </si>
  <si>
    <t>₹ 10394</t>
  </si>
  <si>
    <t>B0455</t>
  </si>
  <si>
    <t>₹ 17724</t>
  </si>
  <si>
    <t>B0456</t>
  </si>
  <si>
    <t>C0257</t>
  </si>
  <si>
    <t>₹ 13102</t>
  </si>
  <si>
    <t>B0457</t>
  </si>
  <si>
    <t>D20240408</t>
  </si>
  <si>
    <t>₹ 11835</t>
  </si>
  <si>
    <t>B0458</t>
  </si>
  <si>
    <t>C0998</t>
  </si>
  <si>
    <t>₹ 9743</t>
  </si>
  <si>
    <t>B0459</t>
  </si>
  <si>
    <t>C0347</t>
  </si>
  <si>
    <t>B0460</t>
  </si>
  <si>
    <t>C0348</t>
  </si>
  <si>
    <t>₹ 3218</t>
  </si>
  <si>
    <t>B0461</t>
  </si>
  <si>
    <t>D20241211</t>
  </si>
  <si>
    <t>C0388</t>
  </si>
  <si>
    <t>₹ 5575</t>
  </si>
  <si>
    <t>15/12/2024</t>
  </si>
  <si>
    <t>B0462</t>
  </si>
  <si>
    <t>₹ 15547</t>
  </si>
  <si>
    <t>B0463</t>
  </si>
  <si>
    <t>C0502</t>
  </si>
  <si>
    <t>₹ 10804</t>
  </si>
  <si>
    <t>B0464</t>
  </si>
  <si>
    <t>C0072</t>
  </si>
  <si>
    <t>₹ 5413</t>
  </si>
  <si>
    <t>B0465</t>
  </si>
  <si>
    <t>D20240728</t>
  </si>
  <si>
    <t>₹ 9297</t>
  </si>
  <si>
    <t>B0466</t>
  </si>
  <si>
    <t>₹ 17635</t>
  </si>
  <si>
    <t>B0467</t>
  </si>
  <si>
    <t>C0930</t>
  </si>
  <si>
    <t>₹ 10729</t>
  </si>
  <si>
    <t>B0468</t>
  </si>
  <si>
    <t>₹ 12093</t>
  </si>
  <si>
    <t>B0469</t>
  </si>
  <si>
    <t>₹ 8316</t>
  </si>
  <si>
    <t>B0470</t>
  </si>
  <si>
    <t>C0726</t>
  </si>
  <si>
    <t>₹ 11670</t>
  </si>
  <si>
    <t>B0471</t>
  </si>
  <si>
    <t>C0297</t>
  </si>
  <si>
    <t>₹ 9183</t>
  </si>
  <si>
    <t>B0472</t>
  </si>
  <si>
    <t>D20240920</t>
  </si>
  <si>
    <t>₹ 16608</t>
  </si>
  <si>
    <t>24/09/2024</t>
  </si>
  <si>
    <t>B0473</t>
  </si>
  <si>
    <t>C0776</t>
  </si>
  <si>
    <t>₹ 5734</t>
  </si>
  <si>
    <t>B0474</t>
  </si>
  <si>
    <t>C0655</t>
  </si>
  <si>
    <t>₹ 15197</t>
  </si>
  <si>
    <t>B0475</t>
  </si>
  <si>
    <t>D20241001</t>
  </si>
  <si>
    <t>₹ 9640</t>
  </si>
  <si>
    <t>B0476</t>
  </si>
  <si>
    <t>D20240109</t>
  </si>
  <si>
    <t>C0945</t>
  </si>
  <si>
    <t>₹ 19282</t>
  </si>
  <si>
    <t>B0477</t>
  </si>
  <si>
    <t>D20240628</t>
  </si>
  <si>
    <t>C0993</t>
  </si>
  <si>
    <t>₹ 16265</t>
  </si>
  <si>
    <t>B0478</t>
  </si>
  <si>
    <t>C0629</t>
  </si>
  <si>
    <t>₹ 8434</t>
  </si>
  <si>
    <t>B0479</t>
  </si>
  <si>
    <t>C0550</t>
  </si>
  <si>
    <t>₹ 17424</t>
  </si>
  <si>
    <t>B0480</t>
  </si>
  <si>
    <t>C0715</t>
  </si>
  <si>
    <t>₹ 6271</t>
  </si>
  <si>
    <t>B0481</t>
  </si>
  <si>
    <t>C0026</t>
  </si>
  <si>
    <t>₹ 14679</t>
  </si>
  <si>
    <t>B0482</t>
  </si>
  <si>
    <t>D20240117</t>
  </si>
  <si>
    <t>₹ 15816</t>
  </si>
  <si>
    <t>B0483</t>
  </si>
  <si>
    <t>C0443</t>
  </si>
  <si>
    <t>₹ 14806</t>
  </si>
  <si>
    <t>B0484</t>
  </si>
  <si>
    <t>₹ 3660</t>
  </si>
  <si>
    <t>B0485</t>
  </si>
  <si>
    <t>D20241226</t>
  </si>
  <si>
    <t>C0985</t>
  </si>
  <si>
    <t>₹ 4266</t>
  </si>
  <si>
    <t>B0486</t>
  </si>
  <si>
    <t>₹ 10108</t>
  </si>
  <si>
    <t>B0487</t>
  </si>
  <si>
    <t>C0902</t>
  </si>
  <si>
    <t>₹ 15325</t>
  </si>
  <si>
    <t>B0488</t>
  </si>
  <si>
    <t>C0739</t>
  </si>
  <si>
    <t>₹ 4993</t>
  </si>
  <si>
    <t>B0489</t>
  </si>
  <si>
    <t>C0497</t>
  </si>
  <si>
    <t>₹ 15167</t>
  </si>
  <si>
    <t>B0490</t>
  </si>
  <si>
    <t>C0901</t>
  </si>
  <si>
    <t>₹ 16372</t>
  </si>
  <si>
    <t>B0491</t>
  </si>
  <si>
    <t>D20240807</t>
  </si>
  <si>
    <t>₹ 3996</t>
  </si>
  <si>
    <t>B0492</t>
  </si>
  <si>
    <t>C0044</t>
  </si>
  <si>
    <t>₹ 6828</t>
  </si>
  <si>
    <t>B0493</t>
  </si>
  <si>
    <t>₹ 16374</t>
  </si>
  <si>
    <t>B0494</t>
  </si>
  <si>
    <t>D20240520</t>
  </si>
  <si>
    <t>C0562</t>
  </si>
  <si>
    <t>₹ 19215</t>
  </si>
  <si>
    <t>B0495</t>
  </si>
  <si>
    <t>C0639</t>
  </si>
  <si>
    <t>₹ 5240</t>
  </si>
  <si>
    <t>B0496</t>
  </si>
  <si>
    <t>C0496</t>
  </si>
  <si>
    <t>₹ 7932</t>
  </si>
  <si>
    <t>B0497</t>
  </si>
  <si>
    <t>₹ 19124</t>
  </si>
  <si>
    <t>B0498</t>
  </si>
  <si>
    <t>D20240613</t>
  </si>
  <si>
    <t>C0583</t>
  </si>
  <si>
    <t>₹ 18949</t>
  </si>
  <si>
    <t>B0499</t>
  </si>
  <si>
    <t>C0152</t>
  </si>
  <si>
    <t>₹ 3650</t>
  </si>
  <si>
    <t>B0500</t>
  </si>
  <si>
    <t>C0939</t>
  </si>
  <si>
    <t>₹ 15334</t>
  </si>
  <si>
    <t>B0501</t>
  </si>
  <si>
    <t>D20240121</t>
  </si>
  <si>
    <t>C0581</t>
  </si>
  <si>
    <t>₹ 6317</t>
  </si>
  <si>
    <t>B0502</t>
  </si>
  <si>
    <t>₹ 11666</t>
  </si>
  <si>
    <t>11/07/2024</t>
  </si>
  <si>
    <t>B0503</t>
  </si>
  <si>
    <t>C0397</t>
  </si>
  <si>
    <t>₹ 3375</t>
  </si>
  <si>
    <t>B0504</t>
  </si>
  <si>
    <t>D20240829</t>
  </si>
  <si>
    <t>C0483</t>
  </si>
  <si>
    <t>₹ 3437</t>
  </si>
  <si>
    <t>B0505</t>
  </si>
  <si>
    <t>C0671</t>
  </si>
  <si>
    <t>₹ 14686</t>
  </si>
  <si>
    <t>B0506</t>
  </si>
  <si>
    <t>C0454</t>
  </si>
  <si>
    <t>₹ 11665</t>
  </si>
  <si>
    <t>B0507</t>
  </si>
  <si>
    <t>₹ 3069</t>
  </si>
  <si>
    <t>12/09/2024</t>
  </si>
  <si>
    <t>B0508</t>
  </si>
  <si>
    <t>D20240711</t>
  </si>
  <si>
    <t>C0465</t>
  </si>
  <si>
    <t>₹ 7892</t>
  </si>
  <si>
    <t>B0509</t>
  </si>
  <si>
    <t>₹ 12495</t>
  </si>
  <si>
    <t>B0510</t>
  </si>
  <si>
    <t>₹ 14409</t>
  </si>
  <si>
    <t>B0511</t>
  </si>
  <si>
    <t>D20240412</t>
  </si>
  <si>
    <t>C0836</t>
  </si>
  <si>
    <t>₹ 11902</t>
  </si>
  <si>
    <t>12/04/2024</t>
  </si>
  <si>
    <t>B0512</t>
  </si>
  <si>
    <t>D20241109</t>
  </si>
  <si>
    <t>C0251</t>
  </si>
  <si>
    <t>₹ 6932</t>
  </si>
  <si>
    <t>B0513</t>
  </si>
  <si>
    <t>₹ 9459</t>
  </si>
  <si>
    <t>B0514</t>
  </si>
  <si>
    <t>D20240716</t>
  </si>
  <si>
    <t>₹ 16761</t>
  </si>
  <si>
    <t>B0515</t>
  </si>
  <si>
    <t>₹ 6621</t>
  </si>
  <si>
    <t>B0516</t>
  </si>
  <si>
    <t>C0344</t>
  </si>
  <si>
    <t>₹ 13951</t>
  </si>
  <si>
    <t>B0517</t>
  </si>
  <si>
    <t>C0255</t>
  </si>
  <si>
    <t>₹ 17782</t>
  </si>
  <si>
    <t>B0518</t>
  </si>
  <si>
    <t>C0614</t>
  </si>
  <si>
    <t>₹ 3042</t>
  </si>
  <si>
    <t>B0519</t>
  </si>
  <si>
    <t>₹ 18416</t>
  </si>
  <si>
    <t>B0520</t>
  </si>
  <si>
    <t>C0382</t>
  </si>
  <si>
    <t>₹ 6322</t>
  </si>
  <si>
    <t>B0521</t>
  </si>
  <si>
    <t>C0169</t>
  </si>
  <si>
    <t>₹ 14055</t>
  </si>
  <si>
    <t>B0522</t>
  </si>
  <si>
    <t>₹ 9784</t>
  </si>
  <si>
    <t>B0523</t>
  </si>
  <si>
    <t>C0904</t>
  </si>
  <si>
    <t>₹ 8371</t>
  </si>
  <si>
    <t>B0524</t>
  </si>
  <si>
    <t>D20241120</t>
  </si>
  <si>
    <t>C0660</t>
  </si>
  <si>
    <t>₹ 6577</t>
  </si>
  <si>
    <t>B0525</t>
  </si>
  <si>
    <t>D20240205</t>
  </si>
  <si>
    <t>C0190</t>
  </si>
  <si>
    <t>₹ 3859</t>
  </si>
  <si>
    <t>B0526</t>
  </si>
  <si>
    <t>C0440</t>
  </si>
  <si>
    <t>₹ 5129</t>
  </si>
  <si>
    <t>B0527</t>
  </si>
  <si>
    <t>D20240525</t>
  </si>
  <si>
    <t>C0602</t>
  </si>
  <si>
    <t>₹ 11487</t>
  </si>
  <si>
    <t>B0528</t>
  </si>
  <si>
    <t>D20240103</t>
  </si>
  <si>
    <t>C0148</t>
  </si>
  <si>
    <t>₹ 14270</t>
  </si>
  <si>
    <t>03/01/2024</t>
  </si>
  <si>
    <t>B0529</t>
  </si>
  <si>
    <t>C0069</t>
  </si>
  <si>
    <t>₹ 13670</t>
  </si>
  <si>
    <t>B0530</t>
  </si>
  <si>
    <t>₹ 18635</t>
  </si>
  <si>
    <t>B0531</t>
  </si>
  <si>
    <t>C0259</t>
  </si>
  <si>
    <t>₹ 18426</t>
  </si>
  <si>
    <t>B0532</t>
  </si>
  <si>
    <t>₹ 19527</t>
  </si>
  <si>
    <t>B0533</t>
  </si>
  <si>
    <t>C0145</t>
  </si>
  <si>
    <t>₹ 18452</t>
  </si>
  <si>
    <t>B0534</t>
  </si>
  <si>
    <t>C0400</t>
  </si>
  <si>
    <t>₹ 14776</t>
  </si>
  <si>
    <t>B0535</t>
  </si>
  <si>
    <t>D20240606</t>
  </si>
  <si>
    <t>C0308</t>
  </si>
  <si>
    <t>₹ 16127</t>
  </si>
  <si>
    <t>B0536</t>
  </si>
  <si>
    <t>₹ 16399</t>
  </si>
  <si>
    <t>B0537</t>
  </si>
  <si>
    <t>C0238</t>
  </si>
  <si>
    <t>₹ 11763</t>
  </si>
  <si>
    <t>B0538</t>
  </si>
  <si>
    <t>D20240407</t>
  </si>
  <si>
    <t>₹ 12695</t>
  </si>
  <si>
    <t>B0539</t>
  </si>
  <si>
    <t>D20240306</t>
  </si>
  <si>
    <t>C0311</t>
  </si>
  <si>
    <t>₹ 4928</t>
  </si>
  <si>
    <t>B0540</t>
  </si>
  <si>
    <t>C0870</t>
  </si>
  <si>
    <t>₹ 16149</t>
  </si>
  <si>
    <t>B0541</t>
  </si>
  <si>
    <t>C0892</t>
  </si>
  <si>
    <t>₹ 5519</t>
  </si>
  <si>
    <t>B0542</t>
  </si>
  <si>
    <t>D20241230</t>
  </si>
  <si>
    <t>C0518</t>
  </si>
  <si>
    <t>₹ 9553</t>
  </si>
  <si>
    <t>B0543</t>
  </si>
  <si>
    <t>C0980</t>
  </si>
  <si>
    <t>₹ 15731</t>
  </si>
  <si>
    <t>B0544</t>
  </si>
  <si>
    <t>D20241215</t>
  </si>
  <si>
    <t>C0642</t>
  </si>
  <si>
    <t>₹ 15352</t>
  </si>
  <si>
    <t>B0545</t>
  </si>
  <si>
    <t>C0967</t>
  </si>
  <si>
    <t>₹ 3157</t>
  </si>
  <si>
    <t>B0546</t>
  </si>
  <si>
    <t>C0168</t>
  </si>
  <si>
    <t>₹ 19534</t>
  </si>
  <si>
    <t>B0547</t>
  </si>
  <si>
    <t>₹ 5663</t>
  </si>
  <si>
    <t>B0548</t>
  </si>
  <si>
    <t>D20241130</t>
  </si>
  <si>
    <t>C0037</t>
  </si>
  <si>
    <t>B0549</t>
  </si>
  <si>
    <t>D20240827</t>
  </si>
  <si>
    <t>₹ 3152</t>
  </si>
  <si>
    <t>B0550</t>
  </si>
  <si>
    <t>₹ 17283</t>
  </si>
  <si>
    <t>B0551</t>
  </si>
  <si>
    <t>C0020</t>
  </si>
  <si>
    <t>₹ 17428</t>
  </si>
  <si>
    <t>B0552</t>
  </si>
  <si>
    <t>C0083</t>
  </si>
  <si>
    <t>₹ 19734</t>
  </si>
  <si>
    <t>B0553</t>
  </si>
  <si>
    <t>C0797</t>
  </si>
  <si>
    <t>₹ 9129</t>
  </si>
  <si>
    <t>B0554</t>
  </si>
  <si>
    <t>C0128</t>
  </si>
  <si>
    <t>₹ 14529</t>
  </si>
  <si>
    <t>B0555</t>
  </si>
  <si>
    <t>C0589</t>
  </si>
  <si>
    <t>₹ 11045</t>
  </si>
  <si>
    <t>B0556</t>
  </si>
  <si>
    <t>C0036</t>
  </si>
  <si>
    <t>₹ 13239</t>
  </si>
  <si>
    <t>B0557</t>
  </si>
  <si>
    <t>C0084</t>
  </si>
  <si>
    <t>₹ 19625</t>
  </si>
  <si>
    <t>B0558</t>
  </si>
  <si>
    <t>C0585</t>
  </si>
  <si>
    <t>₹ 13140</t>
  </si>
  <si>
    <t>B0559</t>
  </si>
  <si>
    <t>C0104</t>
  </si>
  <si>
    <t>₹ 18726</t>
  </si>
  <si>
    <t>B0560</t>
  </si>
  <si>
    <t>C0771</t>
  </si>
  <si>
    <t>₹ 7430</t>
  </si>
  <si>
    <t>B0561</t>
  </si>
  <si>
    <t>D20240729</t>
  </si>
  <si>
    <t>₹ 6071</t>
  </si>
  <si>
    <t>B0562</t>
  </si>
  <si>
    <t>D20240330</t>
  </si>
  <si>
    <t>C0426</t>
  </si>
  <si>
    <t>₹ 13806</t>
  </si>
  <si>
    <t>B0563</t>
  </si>
  <si>
    <t>D20240404</t>
  </si>
  <si>
    <t>₹ 14497</t>
  </si>
  <si>
    <t>B0564</t>
  </si>
  <si>
    <t>₹ 17430</t>
  </si>
  <si>
    <t>B0565</t>
  </si>
  <si>
    <t>₹ 8526</t>
  </si>
  <si>
    <t>B0566</t>
  </si>
  <si>
    <t>C0628</t>
  </si>
  <si>
    <t>₹ 7216</t>
  </si>
  <si>
    <t>B0567</t>
  </si>
  <si>
    <t>₹ 12708</t>
  </si>
  <si>
    <t>B0568</t>
  </si>
  <si>
    <t>C0936</t>
  </si>
  <si>
    <t>₹ 5202</t>
  </si>
  <si>
    <t>B0569</t>
  </si>
  <si>
    <t>₹ 8851</t>
  </si>
  <si>
    <t>B0570</t>
  </si>
  <si>
    <t>C0636</t>
  </si>
  <si>
    <t>₹ 4191</t>
  </si>
  <si>
    <t>B0571</t>
  </si>
  <si>
    <t>₹ 15033</t>
  </si>
  <si>
    <t>B0572</t>
  </si>
  <si>
    <t>B0573</t>
  </si>
  <si>
    <t>D20240919</t>
  </si>
  <si>
    <t>C0825</t>
  </si>
  <si>
    <t>₹ 13433</t>
  </si>
  <si>
    <t>19/09/2024</t>
  </si>
  <si>
    <t>B0574</t>
  </si>
  <si>
    <t>C0714</t>
  </si>
  <si>
    <t>₹ 3916</t>
  </si>
  <si>
    <t>B0575</t>
  </si>
  <si>
    <t>C0789</t>
  </si>
  <si>
    <t>₹ 7970</t>
  </si>
  <si>
    <t>B0576</t>
  </si>
  <si>
    <t>C0513</t>
  </si>
  <si>
    <t>₹ 13440</t>
  </si>
  <si>
    <t>B0577</t>
  </si>
  <si>
    <t>C0415</t>
  </si>
  <si>
    <t>₹ 4902</t>
  </si>
  <si>
    <t>B0578</t>
  </si>
  <si>
    <t>C0461</t>
  </si>
  <si>
    <t>₹ 12156</t>
  </si>
  <si>
    <t>B0579</t>
  </si>
  <si>
    <t>C0125</t>
  </si>
  <si>
    <t>₹ 7935</t>
  </si>
  <si>
    <t>B0580</t>
  </si>
  <si>
    <t>C0234</t>
  </si>
  <si>
    <t>₹ 13251</t>
  </si>
  <si>
    <t>B0581</t>
  </si>
  <si>
    <t>₹ 3315</t>
  </si>
  <si>
    <t>B0582</t>
  </si>
  <si>
    <t>₹ 6515</t>
  </si>
  <si>
    <t>B0583</t>
  </si>
  <si>
    <t>C0575</t>
  </si>
  <si>
    <t>₹ 19039</t>
  </si>
  <si>
    <t>B0584</t>
  </si>
  <si>
    <t>₹ 6000</t>
  </si>
  <si>
    <t>B0585</t>
  </si>
  <si>
    <t>D20240730</t>
  </si>
  <si>
    <t>C0236</t>
  </si>
  <si>
    <t>₹ 6047</t>
  </si>
  <si>
    <t>B0586</t>
  </si>
  <si>
    <t>₹ 10528</t>
  </si>
  <si>
    <t>B0587</t>
  </si>
  <si>
    <t>D20240317</t>
  </si>
  <si>
    <t>C0330</t>
  </si>
  <si>
    <t>₹ 5286</t>
  </si>
  <si>
    <t>B0588</t>
  </si>
  <si>
    <t>C0564</t>
  </si>
  <si>
    <t>₹ 16600</t>
  </si>
  <si>
    <t>B0589</t>
  </si>
  <si>
    <t>D20240713</t>
  </si>
  <si>
    <t>₹ 9989</t>
  </si>
  <si>
    <t>B0590</t>
  </si>
  <si>
    <t>D20240207</t>
  </si>
  <si>
    <t>₹ 9897</t>
  </si>
  <si>
    <t>07/02/2024</t>
  </si>
  <si>
    <t>B0591</t>
  </si>
  <si>
    <t>₹ 6394</t>
  </si>
  <si>
    <t>B0592</t>
  </si>
  <si>
    <t>C0270</t>
  </si>
  <si>
    <t>₹ 9614</t>
  </si>
  <si>
    <t>B0593</t>
  </si>
  <si>
    <t>C0917</t>
  </si>
  <si>
    <t>₹ 13938</t>
  </si>
  <si>
    <t>B0594</t>
  </si>
  <si>
    <t>C0409</t>
  </si>
  <si>
    <t>₹ 9494</t>
  </si>
  <si>
    <t>B0595</t>
  </si>
  <si>
    <t>C0811</t>
  </si>
  <si>
    <t>₹ 10418</t>
  </si>
  <si>
    <t>B0596</t>
  </si>
  <si>
    <t>D20240502</t>
  </si>
  <si>
    <t>C0623</t>
  </si>
  <si>
    <t>₹ 4314</t>
  </si>
  <si>
    <t>B0597</t>
  </si>
  <si>
    <t>C0423</t>
  </si>
  <si>
    <t>₹ 6717</t>
  </si>
  <si>
    <t>B0598</t>
  </si>
  <si>
    <t>D20240824</t>
  </si>
  <si>
    <t>₹ 7878</t>
  </si>
  <si>
    <t>B0599</t>
  </si>
  <si>
    <t>C0652</t>
  </si>
  <si>
    <t>₹ 14403</t>
  </si>
  <si>
    <t>B0600</t>
  </si>
  <si>
    <t>₹ 9217</t>
  </si>
  <si>
    <t>B0601</t>
  </si>
  <si>
    <t>C0354</t>
  </si>
  <si>
    <t>₹ 13368</t>
  </si>
  <si>
    <t>B0602</t>
  </si>
  <si>
    <t>D20240602</t>
  </si>
  <si>
    <t>C0862</t>
  </si>
  <si>
    <t>₹ 11253</t>
  </si>
  <si>
    <t>B0603</t>
  </si>
  <si>
    <t>₹ 9545</t>
  </si>
  <si>
    <t>B0604</t>
  </si>
  <si>
    <t>C0143</t>
  </si>
  <si>
    <t>₹ 8236</t>
  </si>
  <si>
    <t>B0605</t>
  </si>
  <si>
    <t>C0890</t>
  </si>
  <si>
    <t>₹ 8176</t>
  </si>
  <si>
    <t>B0606</t>
  </si>
  <si>
    <t>C0371</t>
  </si>
  <si>
    <t>₹ 3292</t>
  </si>
  <si>
    <t>B0607</t>
  </si>
  <si>
    <t>C0733</t>
  </si>
  <si>
    <t>₹ 19536</t>
  </si>
  <si>
    <t>B0608</t>
  </si>
  <si>
    <t>D20240420</t>
  </si>
  <si>
    <t>₹ 8943</t>
  </si>
  <si>
    <t>B0609</t>
  </si>
  <si>
    <t>D20240129</t>
  </si>
  <si>
    <t>C0731</t>
  </si>
  <si>
    <t>₹ 17531</t>
  </si>
  <si>
    <t>29/01/2024</t>
  </si>
  <si>
    <t>B0610</t>
  </si>
  <si>
    <t>C0411</t>
  </si>
  <si>
    <t>₹ 19025</t>
  </si>
  <si>
    <t>B0611</t>
  </si>
  <si>
    <t>C0283</t>
  </si>
  <si>
    <t>₹ 16826</t>
  </si>
  <si>
    <t>B0612</t>
  </si>
  <si>
    <t>₹ 12596</t>
  </si>
  <si>
    <t>B0613</t>
  </si>
  <si>
    <t>C0988</t>
  </si>
  <si>
    <t>₹ 12453</t>
  </si>
  <si>
    <t>B0614</t>
  </si>
  <si>
    <t>₹ 3266</t>
  </si>
  <si>
    <t>B0615</t>
  </si>
  <si>
    <t>D20240318</t>
  </si>
  <si>
    <t>₹ 7644</t>
  </si>
  <si>
    <t>B0616</t>
  </si>
  <si>
    <t>C0181</t>
  </si>
  <si>
    <t>₹ 4886</t>
  </si>
  <si>
    <t>B0617</t>
  </si>
  <si>
    <t>₹ 7662</t>
  </si>
  <si>
    <t>B0618</t>
  </si>
  <si>
    <t>₹ 17061</t>
  </si>
  <si>
    <t>B0619</t>
  </si>
  <si>
    <t>D20240518</t>
  </si>
  <si>
    <t>₹ 8351</t>
  </si>
  <si>
    <t>B0620</t>
  </si>
  <si>
    <t>C0709</t>
  </si>
  <si>
    <t>₹ 4694</t>
  </si>
  <si>
    <t>B0621</t>
  </si>
  <si>
    <t>C0666</t>
  </si>
  <si>
    <t>₹ 5255</t>
  </si>
  <si>
    <t>B0622</t>
  </si>
  <si>
    <t>₹ 18397</t>
  </si>
  <si>
    <t>B0623</t>
  </si>
  <si>
    <t>C0430</t>
  </si>
  <si>
    <t>₹ 11917</t>
  </si>
  <si>
    <t>B0624</t>
  </si>
  <si>
    <t>D20240912</t>
  </si>
  <si>
    <t>₹ 15491</t>
  </si>
  <si>
    <t>B0625</t>
  </si>
  <si>
    <t>₹ 4252</t>
  </si>
  <si>
    <t>B0626</t>
  </si>
  <si>
    <t>₹ 16832</t>
  </si>
  <si>
    <t>B0627</t>
  </si>
  <si>
    <t>₹ 14356</t>
  </si>
  <si>
    <t>B0628</t>
  </si>
  <si>
    <t>C0043</t>
  </si>
  <si>
    <t>₹ 6898</t>
  </si>
  <si>
    <t>B0629</t>
  </si>
  <si>
    <t>C0745</t>
  </si>
  <si>
    <t>₹ 14522</t>
  </si>
  <si>
    <t>B0630</t>
  </si>
  <si>
    <t>₹ 19163</t>
  </si>
  <si>
    <t>B0631</t>
  </si>
  <si>
    <t>C0165</t>
  </si>
  <si>
    <t>₹ 14809</t>
  </si>
  <si>
    <t>B0632</t>
  </si>
  <si>
    <t>D20240214</t>
  </si>
  <si>
    <t>₹ 10100</t>
  </si>
  <si>
    <t>B0633</t>
  </si>
  <si>
    <t>₹ 10595</t>
  </si>
  <si>
    <t>B0634</t>
  </si>
  <si>
    <t>₹ 11130</t>
  </si>
  <si>
    <t>B0635</t>
  </si>
  <si>
    <t>₹ 12741</t>
  </si>
  <si>
    <t>B0636</t>
  </si>
  <si>
    <t>C0531</t>
  </si>
  <si>
    <t>₹ 10358</t>
  </si>
  <si>
    <t>B0637</t>
  </si>
  <si>
    <t>C0332</t>
  </si>
  <si>
    <t>₹ 15944</t>
  </si>
  <si>
    <t>B0638</t>
  </si>
  <si>
    <t>C0554</t>
  </si>
  <si>
    <t>₹ 5216</t>
  </si>
  <si>
    <t>B0639</t>
  </si>
  <si>
    <t>C0119</t>
  </si>
  <si>
    <t>₹ 17735</t>
  </si>
  <si>
    <t>B0640</t>
  </si>
  <si>
    <t>C0092</t>
  </si>
  <si>
    <t>₹ 16410</t>
  </si>
  <si>
    <t>B0641</t>
  </si>
  <si>
    <t>C0740</t>
  </si>
  <si>
    <t>₹ 17339</t>
  </si>
  <si>
    <t>B0642</t>
  </si>
  <si>
    <t>₹ 9876</t>
  </si>
  <si>
    <t>B0643</t>
  </si>
  <si>
    <t>C0117</t>
  </si>
  <si>
    <t>₹ 18105</t>
  </si>
  <si>
    <t>B0644</t>
  </si>
  <si>
    <t>₹ 18287</t>
  </si>
  <si>
    <t>B0645</t>
  </si>
  <si>
    <t>₹ 8565</t>
  </si>
  <si>
    <t>B0646</t>
  </si>
  <si>
    <t>C0808</t>
  </si>
  <si>
    <t>₹ 8066</t>
  </si>
  <si>
    <t>B0647</t>
  </si>
  <si>
    <t>C0089</t>
  </si>
  <si>
    <t>₹ 18634</t>
  </si>
  <si>
    <t>B0648</t>
  </si>
  <si>
    <t>D20240308</t>
  </si>
  <si>
    <t>C0095</t>
  </si>
  <si>
    <t>₹ 9416</t>
  </si>
  <si>
    <t>B0649</t>
  </si>
  <si>
    <t>D20240101</t>
  </si>
  <si>
    <t>₹ 16775</t>
  </si>
  <si>
    <t>01/01/2024</t>
  </si>
  <si>
    <t>B0650</t>
  </si>
  <si>
    <t>₹ 12010</t>
  </si>
  <si>
    <t>B0651</t>
  </si>
  <si>
    <t>D20241203</t>
  </si>
  <si>
    <t>C0155</t>
  </si>
  <si>
    <t>₹ 11345</t>
  </si>
  <si>
    <t>B0652</t>
  </si>
  <si>
    <t>D20240831</t>
  </si>
  <si>
    <t>C0210</t>
  </si>
  <si>
    <t>₹ 5764</t>
  </si>
  <si>
    <t>31/08/2024</t>
  </si>
  <si>
    <t>02/09/2024</t>
  </si>
  <si>
    <t>B0653</t>
  </si>
  <si>
    <t>₹ 5311</t>
  </si>
  <si>
    <t>B0654</t>
  </si>
  <si>
    <t>₹ 19870</t>
  </si>
  <si>
    <t>B0655</t>
  </si>
  <si>
    <t>C0406</t>
  </si>
  <si>
    <t>₹ 15103</t>
  </si>
  <si>
    <t>B0656</t>
  </si>
  <si>
    <t>C0878</t>
  </si>
  <si>
    <t>₹ 8187</t>
  </si>
  <si>
    <t>B0657</t>
  </si>
  <si>
    <t>₹ 13148</t>
  </si>
  <si>
    <t>B0658</t>
  </si>
  <si>
    <t>D20240924</t>
  </si>
  <si>
    <t>C0230</t>
  </si>
  <si>
    <t>₹ 9963</t>
  </si>
  <si>
    <t>B0659</t>
  </si>
  <si>
    <t>₹ 5365</t>
  </si>
  <si>
    <t>B0660</t>
  </si>
  <si>
    <t>C0958</t>
  </si>
  <si>
    <t>₹ 15573</t>
  </si>
  <si>
    <t>B0661</t>
  </si>
  <si>
    <t>C0085</t>
  </si>
  <si>
    <t>₹ 15367</t>
  </si>
  <si>
    <t>B0662</t>
  </si>
  <si>
    <t>C0209</t>
  </si>
  <si>
    <t>₹ 12180</t>
  </si>
  <si>
    <t>B0663</t>
  </si>
  <si>
    <t>C0323</t>
  </si>
  <si>
    <t>₹ 14648</t>
  </si>
  <si>
    <t>B0664</t>
  </si>
  <si>
    <t>₹ 19194</t>
  </si>
  <si>
    <t>14/03/2024</t>
  </si>
  <si>
    <t>B0665</t>
  </si>
  <si>
    <t>C0488</t>
  </si>
  <si>
    <t>₹ 12464</t>
  </si>
  <si>
    <t>B0666</t>
  </si>
  <si>
    <t>D20240624</t>
  </si>
  <si>
    <t>C0395</t>
  </si>
  <si>
    <t>₹ 12769</t>
  </si>
  <si>
    <t>B0667</t>
  </si>
  <si>
    <t>₹ 3238</t>
  </si>
  <si>
    <t>B0668</t>
  </si>
  <si>
    <t>C0943</t>
  </si>
  <si>
    <t>₹ 13416</t>
  </si>
  <si>
    <t>B0669</t>
  </si>
  <si>
    <t>₹ 10914</t>
  </si>
  <si>
    <t>B0670</t>
  </si>
  <si>
    <t>C0129</t>
  </si>
  <si>
    <t>₹ 15580</t>
  </si>
  <si>
    <t>B0671</t>
  </si>
  <si>
    <t>D20240810</t>
  </si>
  <si>
    <t>₹ 10099</t>
  </si>
  <si>
    <t>B0672</t>
  </si>
  <si>
    <t>D20240720</t>
  </si>
  <si>
    <t>C0184</t>
  </si>
  <si>
    <t>B0673</t>
  </si>
  <si>
    <t>C0681</t>
  </si>
  <si>
    <t>₹ 17188</t>
  </si>
  <si>
    <t>B0674</t>
  </si>
  <si>
    <t>C0863</t>
  </si>
  <si>
    <t>₹ 9901</t>
  </si>
  <si>
    <t>B0675</t>
  </si>
  <si>
    <t>₹ 9925</t>
  </si>
  <si>
    <t>B0676</t>
  </si>
  <si>
    <t>C0130</t>
  </si>
  <si>
    <t>₹ 15508</t>
  </si>
  <si>
    <t>B0677</t>
  </si>
  <si>
    <t>C0478</t>
  </si>
  <si>
    <t>₹ 9273</t>
  </si>
  <si>
    <t>B0678</t>
  </si>
  <si>
    <t>₹ 11778</t>
  </si>
  <si>
    <t>B0679</t>
  </si>
  <si>
    <t>C0499</t>
  </si>
  <si>
    <t>B0680</t>
  </si>
  <si>
    <t>₹ 12553</t>
  </si>
  <si>
    <t>B0681</t>
  </si>
  <si>
    <t>C0458</t>
  </si>
  <si>
    <t>₹ 6330</t>
  </si>
  <si>
    <t>B0682</t>
  </si>
  <si>
    <t>C0954</t>
  </si>
  <si>
    <t>₹ 5250</t>
  </si>
  <si>
    <t>B0683</t>
  </si>
  <si>
    <t>₹ 8871</t>
  </si>
  <si>
    <t>B0684</t>
  </si>
  <si>
    <t>D20241108</t>
  </si>
  <si>
    <t>₹ 19501</t>
  </si>
  <si>
    <t>B0685</t>
  </si>
  <si>
    <t>₹ 19465</t>
  </si>
  <si>
    <t>B0686</t>
  </si>
  <si>
    <t>₹ 12488</t>
  </si>
  <si>
    <t>B0687</t>
  </si>
  <si>
    <t>₹ 8024</t>
  </si>
  <si>
    <t>B0688</t>
  </si>
  <si>
    <t>₹ 6186</t>
  </si>
  <si>
    <t>B0689</t>
  </si>
  <si>
    <t>₹ 14710</t>
  </si>
  <si>
    <t>B0690</t>
  </si>
  <si>
    <t>₹ 12668</t>
  </si>
  <si>
    <t>B0691</t>
  </si>
  <si>
    <t>₹ 11838</t>
  </si>
  <si>
    <t>B0692</t>
  </si>
  <si>
    <t>C0809</t>
  </si>
  <si>
    <t>₹ 18069</t>
  </si>
  <si>
    <t>B0693</t>
  </si>
  <si>
    <t>C0159</t>
  </si>
  <si>
    <t>₹ 9295</t>
  </si>
  <si>
    <t>B0694</t>
  </si>
  <si>
    <t>C0654</t>
  </si>
  <si>
    <t>₹ 19040</t>
  </si>
  <si>
    <t>25/12/2024</t>
  </si>
  <si>
    <t>B0695</t>
  </si>
  <si>
    <t>₹ 19929</t>
  </si>
  <si>
    <t>B0696</t>
  </si>
  <si>
    <t>C0675</t>
  </si>
  <si>
    <t>₹ 6441</t>
  </si>
  <si>
    <t>B0697</t>
  </si>
  <si>
    <t>D20241225</t>
  </si>
  <si>
    <t>₹ 17597</t>
  </si>
  <si>
    <t>B0698</t>
  </si>
  <si>
    <t>₹ 4278</t>
  </si>
  <si>
    <t>B0699</t>
  </si>
  <si>
    <t>₹ 16586</t>
  </si>
  <si>
    <t>B0700</t>
  </si>
  <si>
    <t>D20240322</t>
  </si>
  <si>
    <t>C0791</t>
  </si>
  <si>
    <t>₹ 4892</t>
  </si>
  <si>
    <t>B0701</t>
  </si>
  <si>
    <t>D20240617</t>
  </si>
  <si>
    <t>₹ 6736</t>
  </si>
  <si>
    <t>B0702</t>
  </si>
  <si>
    <t>₹ 9525</t>
  </si>
  <si>
    <t>B0703</t>
  </si>
  <si>
    <t>C0522</t>
  </si>
  <si>
    <t>₹ 5678</t>
  </si>
  <si>
    <t>B0704</t>
  </si>
  <si>
    <t>C0885</t>
  </si>
  <si>
    <t>₹ 13190</t>
  </si>
  <si>
    <t>B0705</t>
  </si>
  <si>
    <t>C0937</t>
  </si>
  <si>
    <t>₹ 5458</t>
  </si>
  <si>
    <t>B0706</t>
  </si>
  <si>
    <t>₹ 5422</t>
  </si>
  <si>
    <t>B0707</t>
  </si>
  <si>
    <t>₹ 8080</t>
  </si>
  <si>
    <t>B0708</t>
  </si>
  <si>
    <t>D20241116</t>
  </si>
  <si>
    <t>C0867</t>
  </si>
  <si>
    <t>₹ 7998</t>
  </si>
  <si>
    <t>B0709</t>
  </si>
  <si>
    <t>C0188</t>
  </si>
  <si>
    <t>₹ 17529</t>
  </si>
  <si>
    <t>B0710</t>
  </si>
  <si>
    <t>₹ 17415</t>
  </si>
  <si>
    <t>B0711</t>
  </si>
  <si>
    <t>C0707</t>
  </si>
  <si>
    <t>₹ 12894</t>
  </si>
  <si>
    <t>B0712</t>
  </si>
  <si>
    <t>₹ 8955</t>
  </si>
  <si>
    <t>17/08/2024</t>
  </si>
  <si>
    <t>B0713</t>
  </si>
  <si>
    <t>₹ 13691</t>
  </si>
  <si>
    <t>B0714</t>
  </si>
  <si>
    <t>C0126</t>
  </si>
  <si>
    <t>₹ 13740</t>
  </si>
  <si>
    <t>B0715</t>
  </si>
  <si>
    <t>₹ 6746</t>
  </si>
  <si>
    <t>B0716</t>
  </si>
  <si>
    <t>C0386</t>
  </si>
  <si>
    <t>₹ 10841</t>
  </si>
  <si>
    <t>B0717</t>
  </si>
  <si>
    <t>C0110</t>
  </si>
  <si>
    <t>₹ 17514</t>
  </si>
  <si>
    <t>B0718</t>
  </si>
  <si>
    <t>D20240801</t>
  </si>
  <si>
    <t>₹ 7496</t>
  </si>
  <si>
    <t>B0719</t>
  </si>
  <si>
    <t>C0781</t>
  </si>
  <si>
    <t>₹ 15659</t>
  </si>
  <si>
    <t>B0720</t>
  </si>
  <si>
    <t>₹ 8694</t>
  </si>
  <si>
    <t>B0721</t>
  </si>
  <si>
    <t>₹ 14822</t>
  </si>
  <si>
    <t>B0722</t>
  </si>
  <si>
    <t>₹ 19365</t>
  </si>
  <si>
    <t>B0723</t>
  </si>
  <si>
    <t>C0221</t>
  </si>
  <si>
    <t>₹ 9085</t>
  </si>
  <si>
    <t>B0724</t>
  </si>
  <si>
    <t>D20240430</t>
  </si>
  <si>
    <t>C0387</t>
  </si>
  <si>
    <t>₹ 5705</t>
  </si>
  <si>
    <t>B0725</t>
  </si>
  <si>
    <t>D20240110</t>
  </si>
  <si>
    <t>C0670</t>
  </si>
  <si>
    <t>₹ 8727</t>
  </si>
  <si>
    <t>B0726</t>
  </si>
  <si>
    <t>₹ 7106</t>
  </si>
  <si>
    <t>B0727</t>
  </si>
  <si>
    <t>D20240226</t>
  </si>
  <si>
    <t>C0448</t>
  </si>
  <si>
    <t>₹ 9546</t>
  </si>
  <si>
    <t>B0728</t>
  </si>
  <si>
    <t>₹ 15179</t>
  </si>
  <si>
    <t>B0729</t>
  </si>
  <si>
    <t>C0177</t>
  </si>
  <si>
    <t>₹ 15551</t>
  </si>
  <si>
    <t>B0730</t>
  </si>
  <si>
    <t>C0383</t>
  </si>
  <si>
    <t>₹ 19533</t>
  </si>
  <si>
    <t>B0731</t>
  </si>
  <si>
    <t>₹ 4013</t>
  </si>
  <si>
    <t>B0732</t>
  </si>
  <si>
    <t>₹ 17912</t>
  </si>
  <si>
    <t>B0733</t>
  </si>
  <si>
    <t>C0727</t>
  </si>
  <si>
    <t>₹ 9236</t>
  </si>
  <si>
    <t>B0734</t>
  </si>
  <si>
    <t>₹ 3092</t>
  </si>
  <si>
    <t>B0735</t>
  </si>
  <si>
    <t>₹ 8122</t>
  </si>
  <si>
    <t>B0736</t>
  </si>
  <si>
    <t>₹ 9139</t>
  </si>
  <si>
    <t>B0737</t>
  </si>
  <si>
    <t>C0561</t>
  </si>
  <si>
    <t>₹ 19715</t>
  </si>
  <si>
    <t>B0738</t>
  </si>
  <si>
    <t>₹ 6203</t>
  </si>
  <si>
    <t>B0739</t>
  </si>
  <si>
    <t>C0525</t>
  </si>
  <si>
    <t>₹ 11566</t>
  </si>
  <si>
    <t>B0740</t>
  </si>
  <si>
    <t>C0267</t>
  </si>
  <si>
    <t>₹ 11571</t>
  </si>
  <si>
    <t>B0741</t>
  </si>
  <si>
    <t>C0999</t>
  </si>
  <si>
    <t>₹ 3563</t>
  </si>
  <si>
    <t>B0742</t>
  </si>
  <si>
    <t>₹ 15517</t>
  </si>
  <si>
    <t>B0743</t>
  </si>
  <si>
    <t>C0055</t>
  </si>
  <si>
    <t>₹ 15308</t>
  </si>
  <si>
    <t>B0744</t>
  </si>
  <si>
    <t>D20240314</t>
  </si>
  <si>
    <t>₹ 7715</t>
  </si>
  <si>
    <t>B0745</t>
  </si>
  <si>
    <t>D20240611</t>
  </si>
  <si>
    <t>C0231</t>
  </si>
  <si>
    <t>₹ 8461</t>
  </si>
  <si>
    <t>15/06/2024</t>
  </si>
  <si>
    <t>B0746</t>
  </si>
  <si>
    <t>₹ 16982</t>
  </si>
  <si>
    <t>B0747</t>
  </si>
  <si>
    <t>B0748</t>
  </si>
  <si>
    <t>₹ 11262</t>
  </si>
  <si>
    <t>B0749</t>
  </si>
  <si>
    <t>D20241126</t>
  </si>
  <si>
    <t>C0851</t>
  </si>
  <si>
    <t>₹ 11955</t>
  </si>
  <si>
    <t>26/11/2024</t>
  </si>
  <si>
    <t>B0750</t>
  </si>
  <si>
    <t>C0376</t>
  </si>
  <si>
    <t>₹ 18708</t>
  </si>
  <si>
    <t>B0751</t>
  </si>
  <si>
    <t>₹ 19403</t>
  </si>
  <si>
    <t>B0752</t>
  </si>
  <si>
    <t>C0272</t>
  </si>
  <si>
    <t>₹ 3367</t>
  </si>
  <si>
    <t>B0753</t>
  </si>
  <si>
    <t>₹ 3208</t>
  </si>
  <si>
    <t>B0754</t>
  </si>
  <si>
    <t>₹ 5435</t>
  </si>
  <si>
    <t>B0755</t>
  </si>
  <si>
    <t>₹ 7618</t>
  </si>
  <si>
    <t>B0756</t>
  </si>
  <si>
    <t>₹ 19192</t>
  </si>
  <si>
    <t>B0757</t>
  </si>
  <si>
    <t>C0070</t>
  </si>
  <si>
    <t>₹ 12598</t>
  </si>
  <si>
    <t>B0758</t>
  </si>
  <si>
    <t>C0563</t>
  </si>
  <si>
    <t>₹ 10516</t>
  </si>
  <si>
    <t>B0759</t>
  </si>
  <si>
    <t>₹ 10571</t>
  </si>
  <si>
    <t>B0760</t>
  </si>
  <si>
    <t>₹ 4672</t>
  </si>
  <si>
    <t>B0761</t>
  </si>
  <si>
    <t>C0547</t>
  </si>
  <si>
    <t>₹ 10237</t>
  </si>
  <si>
    <t>B0762</t>
  </si>
  <si>
    <t>C0643</t>
  </si>
  <si>
    <t>₹ 16905</t>
  </si>
  <si>
    <t>B0763</t>
  </si>
  <si>
    <t>C0232</t>
  </si>
  <si>
    <t>₹ 13491</t>
  </si>
  <si>
    <t>B0764</t>
  </si>
  <si>
    <t>C0835</t>
  </si>
  <si>
    <t>₹ 8759</t>
  </si>
  <si>
    <t>B0765</t>
  </si>
  <si>
    <t>C0989</t>
  </si>
  <si>
    <t>₹ 19276</t>
  </si>
  <si>
    <t>B0766</t>
  </si>
  <si>
    <t>₹ 19766</t>
  </si>
  <si>
    <t>B0767</t>
  </si>
  <si>
    <t>₹ 18517</t>
  </si>
  <si>
    <t>B0768</t>
  </si>
  <si>
    <t>₹ 4180</t>
  </si>
  <si>
    <t>B0769</t>
  </si>
  <si>
    <t>C0767</t>
  </si>
  <si>
    <t>B0770</t>
  </si>
  <si>
    <t>C0009</t>
  </si>
  <si>
    <t>₹ 14524</t>
  </si>
  <si>
    <t>B0771</t>
  </si>
  <si>
    <t>₹ 9155</t>
  </si>
  <si>
    <t>B0772</t>
  </si>
  <si>
    <t>₹ 19611</t>
  </si>
  <si>
    <t>B0773</t>
  </si>
  <si>
    <t>C0795</t>
  </si>
  <si>
    <t>₹ 6481</t>
  </si>
  <si>
    <t>B0774</t>
  </si>
  <si>
    <t>C0027</t>
  </si>
  <si>
    <t>₹ 12612</t>
  </si>
  <si>
    <t>24/01/2024</t>
  </si>
  <si>
    <t>B0775</t>
  </si>
  <si>
    <t>C0079</t>
  </si>
  <si>
    <t>₹ 15333</t>
  </si>
  <si>
    <t>B0776</t>
  </si>
  <si>
    <t>C0962</t>
  </si>
  <si>
    <t>₹ 16858</t>
  </si>
  <si>
    <t>B0777</t>
  </si>
  <si>
    <t>C0861</t>
  </si>
  <si>
    <t>₹ 19045</t>
  </si>
  <si>
    <t>B0778</t>
  </si>
  <si>
    <t>₹ 4135</t>
  </si>
  <si>
    <t>B0779</t>
  </si>
  <si>
    <t>C0612</t>
  </si>
  <si>
    <t>₹ 4418</t>
  </si>
  <si>
    <t>B0780</t>
  </si>
  <si>
    <t>₹ 8948</t>
  </si>
  <si>
    <t>B0781</t>
  </si>
  <si>
    <t>₹ 14153</t>
  </si>
  <si>
    <t>B0782</t>
  </si>
  <si>
    <t>D20240503</t>
  </si>
  <si>
    <t>C0799</t>
  </si>
  <si>
    <t>₹ 19084</t>
  </si>
  <si>
    <t>B0783</t>
  </si>
  <si>
    <t>₹ 6636</t>
  </si>
  <si>
    <t>B0784</t>
  </si>
  <si>
    <t>C0536</t>
  </si>
  <si>
    <t>₹ 13638</t>
  </si>
  <si>
    <t>B0785</t>
  </si>
  <si>
    <t>₹ 8231</t>
  </si>
  <si>
    <t>19/06/2024</t>
  </si>
  <si>
    <t>B0786</t>
  </si>
  <si>
    <t>C0553</t>
  </si>
  <si>
    <t>₹ 7917</t>
  </si>
  <si>
    <t>B0787</t>
  </si>
  <si>
    <t>D20240921</t>
  </si>
  <si>
    <t>₹ 7945</t>
  </si>
  <si>
    <t>B0788</t>
  </si>
  <si>
    <t>B0789</t>
  </si>
  <si>
    <t>₹ 7667</t>
  </si>
  <si>
    <t>B0790</t>
  </si>
  <si>
    <t>₹ 6307</t>
  </si>
  <si>
    <t>B0791</t>
  </si>
  <si>
    <t>C0908</t>
  </si>
  <si>
    <t>₹ 19677</t>
  </si>
  <si>
    <t>B0792</t>
  </si>
  <si>
    <t>C0161</t>
  </si>
  <si>
    <t>₹ 8324</t>
  </si>
  <si>
    <t>B0793</t>
  </si>
  <si>
    <t>C0369</t>
  </si>
  <si>
    <t>₹ 5060</t>
  </si>
  <si>
    <t>B0794</t>
  </si>
  <si>
    <t>₹ 16919</t>
  </si>
  <si>
    <t>B0795</t>
  </si>
  <si>
    <t>C0779</t>
  </si>
  <si>
    <t>₹ 13340</t>
  </si>
  <si>
    <t>B0796</t>
  </si>
  <si>
    <t>₹ 7744</t>
  </si>
  <si>
    <t>B0797</t>
  </si>
  <si>
    <t>₹ 4093</t>
  </si>
  <si>
    <t>B0798</t>
  </si>
  <si>
    <t>C0806</t>
  </si>
  <si>
    <t>₹ 7551</t>
  </si>
  <si>
    <t>B0799</t>
  </si>
  <si>
    <t>D20241008</t>
  </si>
  <si>
    <t>C0719</t>
  </si>
  <si>
    <t>B0800</t>
  </si>
  <si>
    <t>₹ 17659</t>
  </si>
  <si>
    <t>B0801</t>
  </si>
  <si>
    <t>C0873</t>
  </si>
  <si>
    <t>₹ 15564</t>
  </si>
  <si>
    <t>B0802</t>
  </si>
  <si>
    <t>₹ 11618</t>
  </si>
  <si>
    <t>B0803</t>
  </si>
  <si>
    <t>₹ 15121</t>
  </si>
  <si>
    <t>B0804</t>
  </si>
  <si>
    <t>B0805</t>
  </si>
  <si>
    <t>₹ 4300</t>
  </si>
  <si>
    <t>B0806</t>
  </si>
  <si>
    <t>C0077</t>
  </si>
  <si>
    <t>₹ 14477</t>
  </si>
  <si>
    <t>B0807</t>
  </si>
  <si>
    <t>C0919</t>
  </si>
  <si>
    <t>₹ 15763</t>
  </si>
  <si>
    <t>B0808</t>
  </si>
  <si>
    <t>₹ 3285</t>
  </si>
  <si>
    <t>B0809</t>
  </si>
  <si>
    <t>₹ 19423</t>
  </si>
  <si>
    <t>B0810</t>
  </si>
  <si>
    <t>D20241004</t>
  </si>
  <si>
    <t>₹ 4385</t>
  </si>
  <si>
    <t>B0811</t>
  </si>
  <si>
    <t>C0261</t>
  </si>
  <si>
    <t>₹ 9585</t>
  </si>
  <si>
    <t>B0812</t>
  </si>
  <si>
    <t>D20240124</t>
  </si>
  <si>
    <t>C0600</t>
  </si>
  <si>
    <t>₹ 7911</t>
  </si>
  <si>
    <t>B0813</t>
  </si>
  <si>
    <t>₹ 9063</t>
  </si>
  <si>
    <t>B0814</t>
  </si>
  <si>
    <t>₹ 10501</t>
  </si>
  <si>
    <t>B0815</t>
  </si>
  <si>
    <t>₹ 7058</t>
  </si>
  <si>
    <t>B0816</t>
  </si>
  <si>
    <t>C0197</t>
  </si>
  <si>
    <t>₹ 18085</t>
  </si>
  <si>
    <t>B0817</t>
  </si>
  <si>
    <t>₹ 7041</t>
  </si>
  <si>
    <t>B0818</t>
  </si>
  <si>
    <t>C0225</t>
  </si>
  <si>
    <t>₹ 17989</t>
  </si>
  <si>
    <t>B0819</t>
  </si>
  <si>
    <t>C0353</t>
  </si>
  <si>
    <t>₹ 17753</t>
  </si>
  <si>
    <t>B0820</t>
  </si>
  <si>
    <t>₹ 14644</t>
  </si>
  <si>
    <t>B0821</t>
  </si>
  <si>
    <t>₹ 14170</t>
  </si>
  <si>
    <t>B0822</t>
  </si>
  <si>
    <t>C0001</t>
  </si>
  <si>
    <t>₹ 17422</t>
  </si>
  <si>
    <t>B0823</t>
  </si>
  <si>
    <t>C0051</t>
  </si>
  <si>
    <t>₹ 3721</t>
  </si>
  <si>
    <t>B0824</t>
  </si>
  <si>
    <t>C0235</t>
  </si>
  <si>
    <t>₹ 18055</t>
  </si>
  <si>
    <t>B0825</t>
  </si>
  <si>
    <t>₹ 7977</t>
  </si>
  <si>
    <t>B0826</t>
  </si>
  <si>
    <t>C0994</t>
  </si>
  <si>
    <t>B0827</t>
  </si>
  <si>
    <t>C0460</t>
  </si>
  <si>
    <t>₹ 7416</t>
  </si>
  <si>
    <t>B0828</t>
  </si>
  <si>
    <t>₹ 10687</t>
  </si>
  <si>
    <t>B0829</t>
  </si>
  <si>
    <t>₹ 13309</t>
  </si>
  <si>
    <t>B0830</t>
  </si>
  <si>
    <t>₹ 10265</t>
  </si>
  <si>
    <t>B0831</t>
  </si>
  <si>
    <t>C0524</t>
  </si>
  <si>
    <t>₹ 14075</t>
  </si>
  <si>
    <t>B0832</t>
  </si>
  <si>
    <t>C0363</t>
  </si>
  <si>
    <t>₹ 6677</t>
  </si>
  <si>
    <t>B0833</t>
  </si>
  <si>
    <t>C0910</t>
  </si>
  <si>
    <t>₹ 11880</t>
  </si>
  <si>
    <t>B0834</t>
  </si>
  <si>
    <t>C0028</t>
  </si>
  <si>
    <t>₹ 18336</t>
  </si>
  <si>
    <t>B0835</t>
  </si>
  <si>
    <t>₹ 12727</t>
  </si>
  <si>
    <t>B0836</t>
  </si>
  <si>
    <t>₹ 15730</t>
  </si>
  <si>
    <t>B0837</t>
  </si>
  <si>
    <t>C0052</t>
  </si>
  <si>
    <t>₹ 7154</t>
  </si>
  <si>
    <t>B0838</t>
  </si>
  <si>
    <t>D20240401</t>
  </si>
  <si>
    <t>₹ 13899</t>
  </si>
  <si>
    <t>B0839</t>
  </si>
  <si>
    <t>₹ 14816</t>
  </si>
  <si>
    <t>B0840</t>
  </si>
  <si>
    <t>C0520</t>
  </si>
  <si>
    <t>₹ 14411</t>
  </si>
  <si>
    <t>B0841</t>
  </si>
  <si>
    <t>D20240816</t>
  </si>
  <si>
    <t>₹ 6135</t>
  </si>
  <si>
    <t>B0842</t>
  </si>
  <si>
    <t>C0031</t>
  </si>
  <si>
    <t>₹ 5056</t>
  </si>
  <si>
    <t>B0843</t>
  </si>
  <si>
    <t>₹ 12244</t>
  </si>
  <si>
    <t>B0844</t>
  </si>
  <si>
    <t>₹ 7535</t>
  </si>
  <si>
    <t>B0845</t>
  </si>
  <si>
    <t>C0915</t>
  </si>
  <si>
    <t>₹ 19632</t>
  </si>
  <si>
    <t>B0846</t>
  </si>
  <si>
    <t>₹ 17509</t>
  </si>
  <si>
    <t>B0847</t>
  </si>
  <si>
    <t>₹ 13957</t>
  </si>
  <si>
    <t>B0848</t>
  </si>
  <si>
    <t>₹ 19247</t>
  </si>
  <si>
    <t>B0849</t>
  </si>
  <si>
    <t>C0992</t>
  </si>
  <si>
    <t>₹ 4963</t>
  </si>
  <si>
    <t>B0850</t>
  </si>
  <si>
    <t>₹ 3542</t>
  </si>
  <si>
    <t>B0851</t>
  </si>
  <si>
    <t>₹ 9939</t>
  </si>
  <si>
    <t>B0852</t>
  </si>
  <si>
    <t>₹ 6030</t>
  </si>
  <si>
    <t>B0853</t>
  </si>
  <si>
    <t>₹ 15310</t>
  </si>
  <si>
    <t>B0854</t>
  </si>
  <si>
    <t>₹ 14919</t>
  </si>
  <si>
    <t>B0855</t>
  </si>
  <si>
    <t>C0977</t>
  </si>
  <si>
    <t>₹ 14210</t>
  </si>
  <si>
    <t>B0856</t>
  </si>
  <si>
    <t>₹ 14026</t>
  </si>
  <si>
    <t>B0857</t>
  </si>
  <si>
    <t>D20241205</t>
  </si>
  <si>
    <t>₹ 14147</t>
  </si>
  <si>
    <t>B0858</t>
  </si>
  <si>
    <t>₹ 15569</t>
  </si>
  <si>
    <t>B0859</t>
  </si>
  <si>
    <t>C0819</t>
  </si>
  <si>
    <t>₹ 19868</t>
  </si>
  <si>
    <t>B0860</t>
  </si>
  <si>
    <t>₹ 3220</t>
  </si>
  <si>
    <t>B0861</t>
  </si>
  <si>
    <t>C0393</t>
  </si>
  <si>
    <t>₹ 6329</t>
  </si>
  <si>
    <t>B0862</t>
  </si>
  <si>
    <t>C0274</t>
  </si>
  <si>
    <t>₹ 15053</t>
  </si>
  <si>
    <t>B0863</t>
  </si>
  <si>
    <t>₹ 14389</t>
  </si>
  <si>
    <t>B0864</t>
  </si>
  <si>
    <t>₹ 7981</t>
  </si>
  <si>
    <t>B0865</t>
  </si>
  <si>
    <t>₹ 6102</t>
  </si>
  <si>
    <t>B0866</t>
  </si>
  <si>
    <t>₹ 17975</t>
  </si>
  <si>
    <t>B0867</t>
  </si>
  <si>
    <t>₹ 5298</t>
  </si>
  <si>
    <t>B0868</t>
  </si>
  <si>
    <t>C0183</t>
  </si>
  <si>
    <t>₹ 5799</t>
  </si>
  <si>
    <t>B0869</t>
  </si>
  <si>
    <t>C0481</t>
  </si>
  <si>
    <t>₹ 11236</t>
  </si>
  <si>
    <t>B0870</t>
  </si>
  <si>
    <t>₹ 3644</t>
  </si>
  <si>
    <t>B0871</t>
  </si>
  <si>
    <t>C0417</t>
  </si>
  <si>
    <t>₹ 9971</t>
  </si>
  <si>
    <t>B0872</t>
  </si>
  <si>
    <t>C0741</t>
  </si>
  <si>
    <t>₹ 10567</t>
  </si>
  <si>
    <t>B0873</t>
  </si>
  <si>
    <t>₹ 8539</t>
  </si>
  <si>
    <t>B0874</t>
  </si>
  <si>
    <t>₹ 15227</t>
  </si>
  <si>
    <t>B0875</t>
  </si>
  <si>
    <t>₹ 9330</t>
  </si>
  <si>
    <t>B0876</t>
  </si>
  <si>
    <t>₹ 6730</t>
  </si>
  <si>
    <t>B0877</t>
  </si>
  <si>
    <t>₹ 13000</t>
  </si>
  <si>
    <t>B0878</t>
  </si>
  <si>
    <t>₹ 6885</t>
  </si>
  <si>
    <t>B0879</t>
  </si>
  <si>
    <t>D20240615</t>
  </si>
  <si>
    <t>₹ 4306</t>
  </si>
  <si>
    <t>B0880</t>
  </si>
  <si>
    <t>₹ 3781</t>
  </si>
  <si>
    <t>B0881</t>
  </si>
  <si>
    <t>B0882</t>
  </si>
  <si>
    <t>D20240706</t>
  </si>
  <si>
    <t>₹ 9006</t>
  </si>
  <si>
    <t>B0883</t>
  </si>
  <si>
    <t>C0296</t>
  </si>
  <si>
    <t>₹ 13270</t>
  </si>
  <si>
    <t>B0884</t>
  </si>
  <si>
    <t>₹ 8628</t>
  </si>
  <si>
    <t>B0885</t>
  </si>
  <si>
    <t>C0516</t>
  </si>
  <si>
    <t>₹ 16295</t>
  </si>
  <si>
    <t>B0886</t>
  </si>
  <si>
    <t>C0463</t>
  </si>
  <si>
    <t>₹ 8444</t>
  </si>
  <si>
    <t>B0887</t>
  </si>
  <si>
    <t>₹ 9969</t>
  </si>
  <si>
    <t>B0888</t>
  </si>
  <si>
    <t>C0603</t>
  </si>
  <si>
    <t>₹ 12675</t>
  </si>
  <si>
    <t>B0889</t>
  </si>
  <si>
    <t>₹ 3343</t>
  </si>
  <si>
    <t>B0890</t>
  </si>
  <si>
    <t>₹ 8289</t>
  </si>
  <si>
    <t>B0891</t>
  </si>
  <si>
    <t>C0688</t>
  </si>
  <si>
    <t>₹ 10823</t>
  </si>
  <si>
    <t>B0892</t>
  </si>
  <si>
    <t>C0754</t>
  </si>
  <si>
    <t>₹ 9265</t>
  </si>
  <si>
    <t>B0893</t>
  </si>
  <si>
    <t>₹ 6743</t>
  </si>
  <si>
    <t>B0894</t>
  </si>
  <si>
    <t>₹ 9715</t>
  </si>
  <si>
    <t>B0895</t>
  </si>
  <si>
    <t>₹ 12977</t>
  </si>
  <si>
    <t>B0896</t>
  </si>
  <si>
    <t>₹ 6933</t>
  </si>
  <si>
    <t>04/01/2025</t>
  </si>
  <si>
    <t>B0897</t>
  </si>
  <si>
    <t>₹ 12569</t>
  </si>
  <si>
    <t>B0898</t>
  </si>
  <si>
    <t>C0248</t>
  </si>
  <si>
    <t>₹ 8913</t>
  </si>
  <si>
    <t>B0899</t>
  </si>
  <si>
    <t>C0211</t>
  </si>
  <si>
    <t>₹ 3875</t>
  </si>
  <si>
    <t>B0900</t>
  </si>
  <si>
    <t>₹ 18603</t>
  </si>
  <si>
    <t>B0901</t>
  </si>
  <si>
    <t>C0685</t>
  </si>
  <si>
    <t>₹ 5943</t>
  </si>
  <si>
    <t>B0902</t>
  </si>
  <si>
    <t>₹ 4261</t>
  </si>
  <si>
    <t>B0903</t>
  </si>
  <si>
    <t>₹ 11099</t>
  </si>
  <si>
    <t>B0904</t>
  </si>
  <si>
    <t>C0410</t>
  </si>
  <si>
    <t>₹ 4741</t>
  </si>
  <si>
    <t>B0905</t>
  </si>
  <si>
    <t>C0647</t>
  </si>
  <si>
    <t>₹ 5074</t>
  </si>
  <si>
    <t>B0906</t>
  </si>
  <si>
    <t>C0641</t>
  </si>
  <si>
    <t>₹ 7462</t>
  </si>
  <si>
    <t>B0907</t>
  </si>
  <si>
    <t>₹ 5081</t>
  </si>
  <si>
    <t>B0908</t>
  </si>
  <si>
    <t>₹ 16331</t>
  </si>
  <si>
    <t>B0909</t>
  </si>
  <si>
    <t>₹ 16384</t>
  </si>
  <si>
    <t>B0910</t>
  </si>
  <si>
    <t>D20240127</t>
  </si>
  <si>
    <t>₹ 16750</t>
  </si>
  <si>
    <t>B0911</t>
  </si>
  <si>
    <t>C0141</t>
  </si>
  <si>
    <t>₹ 18362</t>
  </si>
  <si>
    <t>B0912</t>
  </si>
  <si>
    <t>₹ 17503</t>
  </si>
  <si>
    <t>B0913</t>
  </si>
  <si>
    <t>D20241009</t>
  </si>
  <si>
    <t>₹ 15956</t>
  </si>
  <si>
    <t>B0914</t>
  </si>
  <si>
    <t>C0500</t>
  </si>
  <si>
    <t>₹ 5693</t>
  </si>
  <si>
    <t>B0915</t>
  </si>
  <si>
    <t>₹ 10733</t>
  </si>
  <si>
    <t>B0916</t>
  </si>
  <si>
    <t>C0831</t>
  </si>
  <si>
    <t>₹ 16816</t>
  </si>
  <si>
    <t>B0917</t>
  </si>
  <si>
    <t>₹ 15693</t>
  </si>
  <si>
    <t>B0918</t>
  </si>
  <si>
    <t>₹ 3780</t>
  </si>
  <si>
    <t>B0919</t>
  </si>
  <si>
    <t>₹ 15443</t>
  </si>
  <si>
    <t>10/10/2024</t>
  </si>
  <si>
    <t>B0920</t>
  </si>
  <si>
    <t>₹ 18884</t>
  </si>
  <si>
    <t>B0921</t>
  </si>
  <si>
    <t>₹ 7924</t>
  </si>
  <si>
    <t>B0922</t>
  </si>
  <si>
    <t>₹ 7953</t>
  </si>
  <si>
    <t>B0923</t>
  </si>
  <si>
    <t>D20241021</t>
  </si>
  <si>
    <t>C0953</t>
  </si>
  <si>
    <t>₹ 9533</t>
  </si>
  <si>
    <t>B0924</t>
  </si>
  <si>
    <t>D20240116</t>
  </si>
  <si>
    <t>₹ 15811</t>
  </si>
  <si>
    <t>B0925</t>
  </si>
  <si>
    <t>₹ 19767</t>
  </si>
  <si>
    <t>B0926</t>
  </si>
  <si>
    <t>C0960</t>
  </si>
  <si>
    <t>₹ 9161</t>
  </si>
  <si>
    <t>B0927</t>
  </si>
  <si>
    <t>D20240507</t>
  </si>
  <si>
    <t>₹ 11140</t>
  </si>
  <si>
    <t>07/05/2024</t>
  </si>
  <si>
    <t>B0928</t>
  </si>
  <si>
    <t>₹ 19339</t>
  </si>
  <si>
    <t>B0929</t>
  </si>
  <si>
    <t>₹ 18752</t>
  </si>
  <si>
    <t>B0930</t>
  </si>
  <si>
    <t>₹ 16730</t>
  </si>
  <si>
    <t>B0931</t>
  </si>
  <si>
    <t>C0765</t>
  </si>
  <si>
    <t>₹ 12248</t>
  </si>
  <si>
    <t>B0932</t>
  </si>
  <si>
    <t>₹ 11605</t>
  </si>
  <si>
    <t>B0933</t>
  </si>
  <si>
    <t>₹ 18057</t>
  </si>
  <si>
    <t>B0934</t>
  </si>
  <si>
    <t>C0913</t>
  </si>
  <si>
    <t>₹ 8656</t>
  </si>
  <si>
    <t>B0935</t>
  </si>
  <si>
    <t>₹ 19079</t>
  </si>
  <si>
    <t>B0936</t>
  </si>
  <si>
    <t>₹ 15133</t>
  </si>
  <si>
    <t>B0937</t>
  </si>
  <si>
    <t>₹ 8375</t>
  </si>
  <si>
    <t>B0938</t>
  </si>
  <si>
    <t>D20241101</t>
  </si>
  <si>
    <t>₹ 16899</t>
  </si>
  <si>
    <t>B0939</t>
  </si>
  <si>
    <t>C0498</t>
  </si>
  <si>
    <t>₹ 17549</t>
  </si>
  <si>
    <t>B0940</t>
  </si>
  <si>
    <t>₹ 4867</t>
  </si>
  <si>
    <t>B0941</t>
  </si>
  <si>
    <t>D20240619</t>
  </si>
  <si>
    <t>C0587</t>
  </si>
  <si>
    <t>₹ 18735</t>
  </si>
  <si>
    <t>B0942</t>
  </si>
  <si>
    <t>C0871</t>
  </si>
  <si>
    <t>₹ 19487</t>
  </si>
  <si>
    <t>B0943</t>
  </si>
  <si>
    <t>C0390</t>
  </si>
  <si>
    <t>₹ 15120</t>
  </si>
  <si>
    <t>B0944</t>
  </si>
  <si>
    <t>₹ 16705</t>
  </si>
  <si>
    <t>B0945</t>
  </si>
  <si>
    <t>₹ 10388</t>
  </si>
  <si>
    <t>B0946</t>
  </si>
  <si>
    <t>C0668</t>
  </si>
  <si>
    <t>₹ 17154</t>
  </si>
  <si>
    <t>B0947</t>
  </si>
  <si>
    <t>₹ 17916</t>
  </si>
  <si>
    <t>B0948</t>
  </si>
  <si>
    <t>₹ 9967</t>
  </si>
  <si>
    <t>B0949</t>
  </si>
  <si>
    <t>₹ 3486</t>
  </si>
  <si>
    <t>B0950</t>
  </si>
  <si>
    <t>D20240817</t>
  </si>
  <si>
    <t>₹ 17190</t>
  </si>
  <si>
    <t>B0951</t>
  </si>
  <si>
    <t>C0592</t>
  </si>
  <si>
    <t>₹ 9355</t>
  </si>
  <si>
    <t>B0952</t>
  </si>
  <si>
    <t>C0757</t>
  </si>
  <si>
    <t>₹ 14422</t>
  </si>
  <si>
    <t>B0953</t>
  </si>
  <si>
    <t>B0954</t>
  </si>
  <si>
    <t>₹ 13281</t>
  </si>
  <si>
    <t>B0955</t>
  </si>
  <si>
    <t>C0202</t>
  </si>
  <si>
    <t>₹ 7311</t>
  </si>
  <si>
    <t>B0956</t>
  </si>
  <si>
    <t>C0017</t>
  </si>
  <si>
    <t>₹ 8517</t>
  </si>
  <si>
    <t>B0957</t>
  </si>
  <si>
    <t>C0375</t>
  </si>
  <si>
    <t>₹ 16262</t>
  </si>
  <si>
    <t>B0958</t>
  </si>
  <si>
    <t>₹ 10956</t>
  </si>
  <si>
    <t>B0959</t>
  </si>
  <si>
    <t>C0495</t>
  </si>
  <si>
    <t>₹ 14361</t>
  </si>
  <si>
    <t>B0960</t>
  </si>
  <si>
    <t>₹ 6018</t>
  </si>
  <si>
    <t>B0961</t>
  </si>
  <si>
    <t>C0763</t>
  </si>
  <si>
    <t>₹ 14861</t>
  </si>
  <si>
    <t>B0962</t>
  </si>
  <si>
    <t>C0657</t>
  </si>
  <si>
    <t>₹ 13187</t>
  </si>
  <si>
    <t>B0963</t>
  </si>
  <si>
    <t>C0617</t>
  </si>
  <si>
    <t>B0964</t>
  </si>
  <si>
    <t>₹ 18294</t>
  </si>
  <si>
    <t>B0965</t>
  </si>
  <si>
    <t>C0032</t>
  </si>
  <si>
    <t>₹ 15108</t>
  </si>
  <si>
    <t>B0966</t>
  </si>
  <si>
    <t>₹ 8107</t>
  </si>
  <si>
    <t>B0967</t>
  </si>
  <si>
    <t>₹ 9070</t>
  </si>
  <si>
    <t>B0968</t>
  </si>
  <si>
    <t>₹ 9045</t>
  </si>
  <si>
    <t>B0969</t>
  </si>
  <si>
    <t>C0523</t>
  </si>
  <si>
    <t>₹ 10324</t>
  </si>
  <si>
    <t>B0970</t>
  </si>
  <si>
    <t>₹ 10812</t>
  </si>
  <si>
    <t>B0971</t>
  </si>
  <si>
    <t>₹ 9968</t>
  </si>
  <si>
    <t>B0972</t>
  </si>
  <si>
    <t>₹ 15094</t>
  </si>
  <si>
    <t>B0973</t>
  </si>
  <si>
    <t>C0144</t>
  </si>
  <si>
    <t>₹ 8925</t>
  </si>
  <si>
    <t>B0974</t>
  </si>
  <si>
    <t>C0242</t>
  </si>
  <si>
    <t>₹ 19902</t>
  </si>
  <si>
    <t>B0975</t>
  </si>
  <si>
    <t>B0976</t>
  </si>
  <si>
    <t>₹ 6041</t>
  </si>
  <si>
    <t>B0977</t>
  </si>
  <si>
    <t>₹ 6627</t>
  </si>
  <si>
    <t>B0978</t>
  </si>
  <si>
    <t>₹ 7130</t>
  </si>
  <si>
    <t>B0979</t>
  </si>
  <si>
    <t>₹ 11752</t>
  </si>
  <si>
    <t>B0980</t>
  </si>
  <si>
    <t>C0365</t>
  </si>
  <si>
    <t>₹ 8930</t>
  </si>
  <si>
    <t>B0981</t>
  </si>
  <si>
    <t>₹ 9855</t>
  </si>
  <si>
    <t>B0982</t>
  </si>
  <si>
    <t>₹ 4737</t>
  </si>
  <si>
    <t>B0983</t>
  </si>
  <si>
    <t>₹ 5531</t>
  </si>
  <si>
    <t>B0984</t>
  </si>
  <si>
    <t>D20240528</t>
  </si>
  <si>
    <t>C0970</t>
  </si>
  <si>
    <t>₹ 12524</t>
  </si>
  <si>
    <t>B0985</t>
  </si>
  <si>
    <t>₹ 8373</t>
  </si>
  <si>
    <t>B0986</t>
  </si>
  <si>
    <t>₹ 13154</t>
  </si>
  <si>
    <t>B0987</t>
  </si>
  <si>
    <t>₹ 8582</t>
  </si>
  <si>
    <t>B0988</t>
  </si>
  <si>
    <t>₹ 15101</t>
  </si>
  <si>
    <t>B0989</t>
  </si>
  <si>
    <t>C0486</t>
  </si>
  <si>
    <t>₹ 11370</t>
  </si>
  <si>
    <t>B0990</t>
  </si>
  <si>
    <t>₹ 12068</t>
  </si>
  <si>
    <t>B0991</t>
  </si>
  <si>
    <t>C0058</t>
  </si>
  <si>
    <t>₹ 5515</t>
  </si>
  <si>
    <t>B0992</t>
  </si>
  <si>
    <t>₹ 4560</t>
  </si>
  <si>
    <t>B0993</t>
  </si>
  <si>
    <t>₹ 12944</t>
  </si>
  <si>
    <t>B0994</t>
  </si>
  <si>
    <t>C0990</t>
  </si>
  <si>
    <t>₹ 4317</t>
  </si>
  <si>
    <t>B0995</t>
  </si>
  <si>
    <t>B0996</t>
  </si>
  <si>
    <t>₹ 13312</t>
  </si>
  <si>
    <t>B0997</t>
  </si>
  <si>
    <t>C0857</t>
  </si>
  <si>
    <t>₹ 15060</t>
  </si>
  <si>
    <t>B0998</t>
  </si>
  <si>
    <t>₹ 4476</t>
  </si>
  <si>
    <t>B0999</t>
  </si>
  <si>
    <t>C0672</t>
  </si>
  <si>
    <t>₹ 8689</t>
  </si>
  <si>
    <t>B1000</t>
  </si>
  <si>
    <t>C0690</t>
  </si>
  <si>
    <t>₹ 16776</t>
  </si>
  <si>
    <t>B1001</t>
  </si>
  <si>
    <t>D20240326</t>
  </si>
  <si>
    <t>₹ 3927</t>
  </si>
  <si>
    <t>B1002</t>
  </si>
  <si>
    <t>₹ 12908</t>
  </si>
  <si>
    <t>B1003</t>
  </si>
  <si>
    <t>₹ 14999</t>
  </si>
  <si>
    <t>B1004</t>
  </si>
  <si>
    <t>C0492</t>
  </si>
  <si>
    <t>₹ 6429</t>
  </si>
  <si>
    <t>B1005</t>
  </si>
  <si>
    <t>C0519</t>
  </si>
  <si>
    <t>₹ 13152</t>
  </si>
  <si>
    <t>B1006</t>
  </si>
  <si>
    <t>C0281</t>
  </si>
  <si>
    <t>₹ 6977</t>
  </si>
  <si>
    <t>B1007</t>
  </si>
  <si>
    <t>₹ 4139</t>
  </si>
  <si>
    <t>B1008</t>
  </si>
  <si>
    <t>C0269</t>
  </si>
  <si>
    <t>₹ 12258</t>
  </si>
  <si>
    <t>B1009</t>
  </si>
  <si>
    <t>₹ 3692</t>
  </si>
  <si>
    <t>B1010</t>
  </si>
  <si>
    <t>C0853</t>
  </si>
  <si>
    <t>₹ 6366</t>
  </si>
  <si>
    <t>B1011</t>
  </si>
  <si>
    <t>C0732</t>
  </si>
  <si>
    <t>B1012</t>
  </si>
  <si>
    <t>₹ 10679</t>
  </si>
  <si>
    <t>B1013</t>
  </si>
  <si>
    <t>₹ 11952</t>
  </si>
  <si>
    <t>B1014</t>
  </si>
  <si>
    <t>C0245</t>
  </si>
  <si>
    <t>₹ 18986</t>
  </si>
  <si>
    <t>B1015</t>
  </si>
  <si>
    <t>C0264</t>
  </si>
  <si>
    <t>₹ 6442</t>
  </si>
  <si>
    <t>B1016</t>
  </si>
  <si>
    <t>₹ 11556</t>
  </si>
  <si>
    <t>B1017</t>
  </si>
  <si>
    <t>₹ 17400</t>
  </si>
  <si>
    <t>B1018</t>
  </si>
  <si>
    <t>C0981</t>
  </si>
  <si>
    <t>₹ 8490</t>
  </si>
  <si>
    <t>B1019</t>
  </si>
  <si>
    <t>₹ 7573</t>
  </si>
  <si>
    <t>B1020</t>
  </si>
  <si>
    <t>₹ 4182</t>
  </si>
  <si>
    <t>B1021</t>
  </si>
  <si>
    <t>₹ 5995</t>
  </si>
  <si>
    <t>B1022</t>
  </si>
  <si>
    <t>₹ 6845</t>
  </si>
  <si>
    <t>B1023</t>
  </si>
  <si>
    <t>₹ 4066</t>
  </si>
  <si>
    <t>B1024</t>
  </si>
  <si>
    <t>₹ 16192</t>
  </si>
  <si>
    <t>B1025</t>
  </si>
  <si>
    <t>₹ 12571</t>
  </si>
  <si>
    <t>B1026</t>
  </si>
  <si>
    <t>C0403</t>
  </si>
  <si>
    <t>₹ 14734</t>
  </si>
  <si>
    <t>B1027</t>
  </si>
  <si>
    <t>₹ 4472</t>
  </si>
  <si>
    <t>B1028</t>
  </si>
  <si>
    <t>C0170</t>
  </si>
  <si>
    <t>₹ 13486</t>
  </si>
  <si>
    <t>B1029</t>
  </si>
  <si>
    <t>₹ 13942</t>
  </si>
  <si>
    <t>B1030</t>
  </si>
  <si>
    <t>₹ 17669</t>
  </si>
  <si>
    <t>B1031</t>
  </si>
  <si>
    <t>₹ 5951</t>
  </si>
  <si>
    <t>B1032</t>
  </si>
  <si>
    <t>₹ 12466</t>
  </si>
  <si>
    <t>B1033</t>
  </si>
  <si>
    <t>C0964</t>
  </si>
  <si>
    <t>₹ 18212</t>
  </si>
  <si>
    <t>B1034</t>
  </si>
  <si>
    <t>₹ 18532</t>
  </si>
  <si>
    <t>B1035</t>
  </si>
  <si>
    <t>₹ 15557</t>
  </si>
  <si>
    <t>B1036</t>
  </si>
  <si>
    <t>C0442</t>
  </si>
  <si>
    <t>₹ 17259</t>
  </si>
  <si>
    <t>B1037</t>
  </si>
  <si>
    <t>C0022</t>
  </si>
  <si>
    <t>₹ 8639</t>
  </si>
  <si>
    <t>B1038</t>
  </si>
  <si>
    <t>₹ 3447</t>
  </si>
  <si>
    <t>B1039</t>
  </si>
  <si>
    <t>₹ 14275</t>
  </si>
  <si>
    <t>B1040</t>
  </si>
  <si>
    <t>₹ 6278</t>
  </si>
  <si>
    <t>B1041</t>
  </si>
  <si>
    <t>₹ 10353</t>
  </si>
  <si>
    <t>B1042</t>
  </si>
  <si>
    <t>C0909</t>
  </si>
  <si>
    <t>₹ 14838</t>
  </si>
  <si>
    <t>B1043</t>
  </si>
  <si>
    <t>₹ 11943</t>
  </si>
  <si>
    <t>B1044</t>
  </si>
  <si>
    <t>C0840</t>
  </si>
  <si>
    <t>₹ 4426</t>
  </si>
  <si>
    <t>B1045</t>
  </si>
  <si>
    <t>C0544</t>
  </si>
  <si>
    <t>B1046</t>
  </si>
  <si>
    <t>₹ 19133</t>
  </si>
  <si>
    <t>B1047</t>
  </si>
  <si>
    <t>₹ 13659</t>
  </si>
  <si>
    <t>B1048</t>
  </si>
  <si>
    <t>C0526</t>
  </si>
  <si>
    <t>₹ 11382</t>
  </si>
  <si>
    <t>B1049</t>
  </si>
  <si>
    <t>₹ 4728</t>
  </si>
  <si>
    <t>B1050</t>
  </si>
  <si>
    <t>C0860</t>
  </si>
  <si>
    <t>₹ 6314</t>
  </si>
  <si>
    <t>B1051</t>
  </si>
  <si>
    <t>C0300</t>
  </si>
  <si>
    <t>B1052</t>
  </si>
  <si>
    <t>C0108</t>
  </si>
  <si>
    <t>₹ 12208</t>
  </si>
  <si>
    <t>B1053</t>
  </si>
  <si>
    <t>B1054</t>
  </si>
  <si>
    <t>C0088</t>
  </si>
  <si>
    <t>₹ 17676</t>
  </si>
  <si>
    <t>B1055</t>
  </si>
  <si>
    <t>C0635</t>
  </si>
  <si>
    <t>₹ 7065</t>
  </si>
  <si>
    <t>B1056</t>
  </si>
  <si>
    <t>C0372</t>
  </si>
  <si>
    <t>₹ 3433</t>
  </si>
  <si>
    <t>B1057</t>
  </si>
  <si>
    <t>C0528</t>
  </si>
  <si>
    <t>₹ 3192</t>
  </si>
  <si>
    <t>B1058</t>
  </si>
  <si>
    <t>C0959</t>
  </si>
  <si>
    <t>₹ 7701</t>
  </si>
  <si>
    <t>B1059</t>
  </si>
  <si>
    <t>D20240710</t>
  </si>
  <si>
    <t>C0701</t>
  </si>
  <si>
    <t>₹ 19643</t>
  </si>
  <si>
    <t>B1060</t>
  </si>
  <si>
    <t>₹ 6725</t>
  </si>
  <si>
    <t>B1061</t>
  </si>
  <si>
    <t>₹ 9301</t>
  </si>
  <si>
    <t>B1062</t>
  </si>
  <si>
    <t>₹ 19866</t>
  </si>
  <si>
    <t>B1063</t>
  </si>
  <si>
    <t>C0704</t>
  </si>
  <si>
    <t>₹ 18414</t>
  </si>
  <si>
    <t>03/01/2025</t>
  </si>
  <si>
    <t>B1064</t>
  </si>
  <si>
    <t>₹ 6715</t>
  </si>
  <si>
    <t>B1065</t>
  </si>
  <si>
    <t>B1066</t>
  </si>
  <si>
    <t>C0734</t>
  </si>
  <si>
    <t>₹ 12070</t>
  </si>
  <si>
    <t>B1067</t>
  </si>
  <si>
    <t>C0018</t>
  </si>
  <si>
    <t>₹ 7097</t>
  </si>
  <si>
    <t>B1068</t>
  </si>
  <si>
    <t>₹ 13933</t>
  </si>
  <si>
    <t>B1069</t>
  </si>
  <si>
    <t>C0111</t>
  </si>
  <si>
    <t>₹ 17346</t>
  </si>
  <si>
    <t>B1070</t>
  </si>
  <si>
    <t>₹ 17282</t>
  </si>
  <si>
    <t>B1071</t>
  </si>
  <si>
    <t>₹ 17863</t>
  </si>
  <si>
    <t>B1072</t>
  </si>
  <si>
    <t>C0356</t>
  </si>
  <si>
    <t>₹ 16307</t>
  </si>
  <si>
    <t>B1073</t>
  </si>
  <si>
    <t>C0436</t>
  </si>
  <si>
    <t>₹ 12447</t>
  </si>
  <si>
    <t>B1074</t>
  </si>
  <si>
    <t>C0101</t>
  </si>
  <si>
    <t>₹ 11268</t>
  </si>
  <si>
    <t>B1075</t>
  </si>
  <si>
    <t>C0329</t>
  </si>
  <si>
    <t>₹ 7747</t>
  </si>
  <si>
    <t>B1076</t>
  </si>
  <si>
    <t>₹ 6406</t>
  </si>
  <si>
    <t>B1077</t>
  </si>
  <si>
    <t>₹ 13392</t>
  </si>
  <si>
    <t>B1078</t>
  </si>
  <si>
    <t>₹ 5831</t>
  </si>
  <si>
    <t>02/01/2025</t>
  </si>
  <si>
    <t>B1079</t>
  </si>
  <si>
    <t>₹ 7357</t>
  </si>
  <si>
    <t>B1080</t>
  </si>
  <si>
    <t>₹ 10667</t>
  </si>
  <si>
    <t>B1081</t>
  </si>
  <si>
    <t>₹ 18571</t>
  </si>
  <si>
    <t>B1082</t>
  </si>
  <si>
    <t>C0193</t>
  </si>
  <si>
    <t>₹ 7647</t>
  </si>
  <si>
    <t>B1083</t>
  </si>
  <si>
    <t>₹ 9311</t>
  </si>
  <si>
    <t>B1084</t>
  </si>
  <si>
    <t>₹ 19909</t>
  </si>
  <si>
    <t>B1085</t>
  </si>
  <si>
    <t>B1086</t>
  </si>
  <si>
    <t>B1087</t>
  </si>
  <si>
    <t>₹ 7858</t>
  </si>
  <si>
    <t>B1088</t>
  </si>
  <si>
    <t>C0136</t>
  </si>
  <si>
    <t>₹ 12033</t>
  </si>
  <si>
    <t>B1089</t>
  </si>
  <si>
    <t>C0420</t>
  </si>
  <si>
    <t>₹ 13434</t>
  </si>
  <si>
    <t>B1090</t>
  </si>
  <si>
    <t>C0381</t>
  </si>
  <si>
    <t>₹ 14800</t>
  </si>
  <si>
    <t>B1091</t>
  </si>
  <si>
    <t>B1092</t>
  </si>
  <si>
    <t>₹ 12019</t>
  </si>
  <si>
    <t>B1093</t>
  </si>
  <si>
    <t>C0468</t>
  </si>
  <si>
    <t>₹ 9755</t>
  </si>
  <si>
    <t>B1094</t>
  </si>
  <si>
    <t>₹ 9779</t>
  </si>
  <si>
    <t>B1095</t>
  </si>
  <si>
    <t>₹ 5994</t>
  </si>
  <si>
    <t>B1096</t>
  </si>
  <si>
    <t>₹ 3336</t>
  </si>
  <si>
    <t>B1097</t>
  </si>
  <si>
    <t>₹ 6595</t>
  </si>
  <si>
    <t>B1098</t>
  </si>
  <si>
    <t>₹ 12234</t>
  </si>
  <si>
    <t>B1099</t>
  </si>
  <si>
    <t>₹ 10377</t>
  </si>
  <si>
    <t>B1100</t>
  </si>
  <si>
    <t>C0220</t>
  </si>
  <si>
    <t>₹ 10853</t>
  </si>
  <si>
    <t>B1101</t>
  </si>
  <si>
    <t>C0158</t>
  </si>
  <si>
    <t>B1102</t>
  </si>
  <si>
    <t>₹ 13816</t>
  </si>
  <si>
    <t>B1103</t>
  </si>
  <si>
    <t>₹ 17056</t>
  </si>
  <si>
    <t>B1104</t>
  </si>
  <si>
    <t>C0800</t>
  </si>
  <si>
    <t>₹ 17974</t>
  </si>
  <si>
    <t>B1105</t>
  </si>
  <si>
    <t>₹ 9378</t>
  </si>
  <si>
    <t>B1106</t>
  </si>
  <si>
    <t>C0736</t>
  </si>
  <si>
    <t>₹ 15964</t>
  </si>
  <si>
    <t>B1107</t>
  </si>
  <si>
    <t>₹ 3664</t>
  </si>
  <si>
    <t>B1108</t>
  </si>
  <si>
    <t>C0339</t>
  </si>
  <si>
    <t>₹ 17754</t>
  </si>
  <si>
    <t>B1109</t>
  </si>
  <si>
    <t>₹ 15612</t>
  </si>
  <si>
    <t>B1110</t>
  </si>
  <si>
    <t>D20240304</t>
  </si>
  <si>
    <t>₹ 6378</t>
  </si>
  <si>
    <t>B1111</t>
  </si>
  <si>
    <t>₹ 17147</t>
  </si>
  <si>
    <t>B1112</t>
  </si>
  <si>
    <t>₹ 19811</t>
  </si>
  <si>
    <t>B1113</t>
  </si>
  <si>
    <t>₹ 15789</t>
  </si>
  <si>
    <t>B1114</t>
  </si>
  <si>
    <t>₹ 15634</t>
  </si>
  <si>
    <t>B1115</t>
  </si>
  <si>
    <t>C0280</t>
  </si>
  <si>
    <t>₹ 11775</t>
  </si>
  <si>
    <t>B1116</t>
  </si>
  <si>
    <t>C0987</t>
  </si>
  <si>
    <t>₹ 16647</t>
  </si>
  <si>
    <t>B1117</t>
  </si>
  <si>
    <t>₹ 3752</t>
  </si>
  <si>
    <t>B1118</t>
  </si>
  <si>
    <t>C0021</t>
  </si>
  <si>
    <t>₹ 15990</t>
  </si>
  <si>
    <t>B1119</t>
  </si>
  <si>
    <t>C0286</t>
  </si>
  <si>
    <t>₹ 7809</t>
  </si>
  <si>
    <t>B1120</t>
  </si>
  <si>
    <t>₹ 9172</t>
  </si>
  <si>
    <t>B1121</t>
  </si>
  <si>
    <t>₹ 11068</t>
  </si>
  <si>
    <t>B1122</t>
  </si>
  <si>
    <t>₹ 5788</t>
  </si>
  <si>
    <t>B1123</t>
  </si>
  <si>
    <t>₹ 5548</t>
  </si>
  <si>
    <t>B1124</t>
  </si>
  <si>
    <t>₹ 15328</t>
  </si>
  <si>
    <t>B1125</t>
  </si>
  <si>
    <t>C0997</t>
  </si>
  <si>
    <t>₹ 18144</t>
  </si>
  <si>
    <t>B1126</t>
  </si>
  <si>
    <t>₹ 19553</t>
  </si>
  <si>
    <t>B1127</t>
  </si>
  <si>
    <t>₹ 5152</t>
  </si>
  <si>
    <t>B1128</t>
  </si>
  <si>
    <t>₹ 18924</t>
  </si>
  <si>
    <t>B1129</t>
  </si>
  <si>
    <t>₹ 11230</t>
  </si>
  <si>
    <t>B1130</t>
  </si>
  <si>
    <t>C0162</t>
  </si>
  <si>
    <t>₹ 11325</t>
  </si>
  <si>
    <t>B1131</t>
  </si>
  <si>
    <t>₹ 14539</t>
  </si>
  <si>
    <t>B1132</t>
  </si>
  <si>
    <t>₹ 9769</t>
  </si>
  <si>
    <t>B1133</t>
  </si>
  <si>
    <t>₹ 9741</t>
  </si>
  <si>
    <t>B1134</t>
  </si>
  <si>
    <t>C0574</t>
  </si>
  <si>
    <t>₹ 7767</t>
  </si>
  <si>
    <t>B1135</t>
  </si>
  <si>
    <t>C0969</t>
  </si>
  <si>
    <t>₹ 6559</t>
  </si>
  <si>
    <t>B1136</t>
  </si>
  <si>
    <t>C0299</t>
  </si>
  <si>
    <t>₹ 19505</t>
  </si>
  <si>
    <t>B1137</t>
  </si>
  <si>
    <t>D20240301</t>
  </si>
  <si>
    <t>C0774</t>
  </si>
  <si>
    <t>₹ 14600</t>
  </si>
  <si>
    <t>B1138</t>
  </si>
  <si>
    <t>C0695</t>
  </si>
  <si>
    <t>₹ 11060</t>
  </si>
  <si>
    <t>B1139</t>
  </si>
  <si>
    <t>₹ 7127</t>
  </si>
  <si>
    <t>B1140</t>
  </si>
  <si>
    <t>₹ 19528</t>
  </si>
  <si>
    <t>B1141</t>
  </si>
  <si>
    <t>₹ 11677</t>
  </si>
  <si>
    <t>B1142</t>
  </si>
  <si>
    <t>C0956</t>
  </si>
  <si>
    <t>₹ 13096</t>
  </si>
  <si>
    <t>B1143</t>
  </si>
  <si>
    <t>₹ 6749</t>
  </si>
  <si>
    <t>B1144</t>
  </si>
  <si>
    <t>₹ 13637</t>
  </si>
  <si>
    <t>B1145</t>
  </si>
  <si>
    <t>₹ 12370</t>
  </si>
  <si>
    <t>B1146</t>
  </si>
  <si>
    <t>₹ 4026</t>
  </si>
  <si>
    <t>B1147</t>
  </si>
  <si>
    <t>B1148</t>
  </si>
  <si>
    <t>₹ 10246</t>
  </si>
  <si>
    <t>B1149</t>
  </si>
  <si>
    <t>₹ 5494</t>
  </si>
  <si>
    <t>B1150</t>
  </si>
  <si>
    <t>C0313</t>
  </si>
  <si>
    <t>₹ 13809</t>
  </si>
  <si>
    <t>B1151</t>
  </si>
  <si>
    <t>₹ 17674</t>
  </si>
  <si>
    <t>B1152</t>
  </si>
  <si>
    <t>₹ 14716</t>
  </si>
  <si>
    <t>B1153</t>
  </si>
  <si>
    <t>₹ 7944</t>
  </si>
  <si>
    <t>B1154</t>
  </si>
  <si>
    <t>₹ 18563</t>
  </si>
  <si>
    <t>B1155</t>
  </si>
  <si>
    <t>B1156</t>
  </si>
  <si>
    <t>C0333</t>
  </si>
  <si>
    <t>₹ 12876</t>
  </si>
  <si>
    <t>B1157</t>
  </si>
  <si>
    <t>₹ 8715</t>
  </si>
  <si>
    <t>B1158</t>
  </si>
  <si>
    <t>C0743</t>
  </si>
  <si>
    <t>₹ 6787</t>
  </si>
  <si>
    <t>B1159</t>
  </si>
  <si>
    <t>₹ 4480</t>
  </si>
  <si>
    <t>B1160</t>
  </si>
  <si>
    <t>₹ 4415</t>
  </si>
  <si>
    <t>B1161</t>
  </si>
  <si>
    <t>C0278</t>
  </si>
  <si>
    <t>₹ 17124</t>
  </si>
  <si>
    <t>B1162</t>
  </si>
  <si>
    <t>C0457</t>
  </si>
  <si>
    <t>₹ 13976</t>
  </si>
  <si>
    <t>B1163</t>
  </si>
  <si>
    <t>C0529</t>
  </si>
  <si>
    <t>₹ 15948</t>
  </si>
  <si>
    <t>B1164</t>
  </si>
  <si>
    <t>₹ 15175</t>
  </si>
  <si>
    <t>B1165</t>
  </si>
  <si>
    <t>C0285</t>
  </si>
  <si>
    <t>₹ 4772</t>
  </si>
  <si>
    <t>B1166</t>
  </si>
  <si>
    <t>₹ 7354</t>
  </si>
  <si>
    <t>B1167</t>
  </si>
  <si>
    <t>₹ 9173</t>
  </si>
  <si>
    <t>B1168</t>
  </si>
  <si>
    <t>₹ 8632</t>
  </si>
  <si>
    <t>B1169</t>
  </si>
  <si>
    <t>₹ 13474</t>
  </si>
  <si>
    <t>B1170</t>
  </si>
  <si>
    <t>₹ 11193</t>
  </si>
  <si>
    <t>B1171</t>
  </si>
  <si>
    <t>₹ 10944</t>
  </si>
  <si>
    <t>B1172</t>
  </si>
  <si>
    <t>₹ 13765</t>
  </si>
  <si>
    <t>B1173</t>
  </si>
  <si>
    <t>C0627</t>
  </si>
  <si>
    <t>₹ 5704</t>
  </si>
  <si>
    <t>B1174</t>
  </si>
  <si>
    <t>₹ 16852</t>
  </si>
  <si>
    <t>B1175</t>
  </si>
  <si>
    <t>C0059</t>
  </si>
  <si>
    <t>₹ 14113</t>
  </si>
  <si>
    <t>B1176</t>
  </si>
  <si>
    <t>₹ 15960</t>
  </si>
  <si>
    <t>B1177</t>
  </si>
  <si>
    <t>C0462</t>
  </si>
  <si>
    <t>₹ 16803</t>
  </si>
  <si>
    <t>B1178</t>
  </si>
  <si>
    <t>₹ 8941</t>
  </si>
  <si>
    <t>B1179</t>
  </si>
  <si>
    <t>B1180</t>
  </si>
  <si>
    <t>₹ 16838</t>
  </si>
  <si>
    <t>B1181</t>
  </si>
  <si>
    <t>₹ 4745</t>
  </si>
  <si>
    <t>B1182</t>
  </si>
  <si>
    <t>C0621</t>
  </si>
  <si>
    <t>₹ 6747</t>
  </si>
  <si>
    <t>B1183</t>
  </si>
  <si>
    <t>₹ 3888</t>
  </si>
  <si>
    <t>B1184</t>
  </si>
  <si>
    <t>₹ 17139</t>
  </si>
  <si>
    <t>B1185</t>
  </si>
  <si>
    <t>₹ 6824</t>
  </si>
  <si>
    <t>B1186</t>
  </si>
  <si>
    <t>C0949</t>
  </si>
  <si>
    <t>₹ 12422</t>
  </si>
  <si>
    <t>B1187</t>
  </si>
  <si>
    <t>C0046</t>
  </si>
  <si>
    <t>₹ 17324</t>
  </si>
  <si>
    <t>B1188</t>
  </si>
  <si>
    <t>₹ 8507</t>
  </si>
  <si>
    <t>B1189</t>
  </si>
  <si>
    <t>₹ 14194</t>
  </si>
  <si>
    <t>B1190</t>
  </si>
  <si>
    <t>C0952</t>
  </si>
  <si>
    <t>₹ 14998</t>
  </si>
  <si>
    <t>B1191</t>
  </si>
  <si>
    <t>C0559</t>
  </si>
  <si>
    <t>₹ 17853</t>
  </si>
  <si>
    <t>B1192</t>
  </si>
  <si>
    <t>₹ 17397</t>
  </si>
  <si>
    <t>B1193</t>
  </si>
  <si>
    <t>C0402</t>
  </si>
  <si>
    <t>₹ 6432</t>
  </si>
  <si>
    <t>B1194</t>
  </si>
  <si>
    <t>C0290</t>
  </si>
  <si>
    <t>₹ 16819</t>
  </si>
  <si>
    <t>B1195</t>
  </si>
  <si>
    <t>C0256</t>
  </si>
  <si>
    <t>₹ 14738</t>
  </si>
  <si>
    <t>B1196</t>
  </si>
  <si>
    <t>C0279</t>
  </si>
  <si>
    <t>₹ 12561</t>
  </si>
  <si>
    <t>B1197</t>
  </si>
  <si>
    <t>₹ 7112</t>
  </si>
  <si>
    <t>B1198</t>
  </si>
  <si>
    <t>₹ 14338</t>
  </si>
  <si>
    <t>B1199</t>
  </si>
  <si>
    <t>C0435</t>
  </si>
  <si>
    <t>₹ 7432</t>
  </si>
  <si>
    <t>B1200</t>
  </si>
  <si>
    <t>B1201</t>
  </si>
  <si>
    <t>₹ 11907</t>
  </si>
  <si>
    <t>B1202</t>
  </si>
  <si>
    <t>₹ 16285</t>
  </si>
  <si>
    <t>B1203</t>
  </si>
  <si>
    <t>₹ 8977</t>
  </si>
  <si>
    <t>B1204</t>
  </si>
  <si>
    <t>₹ 13646</t>
  </si>
  <si>
    <t>B1205</t>
  </si>
  <si>
    <t>C0063</t>
  </si>
  <si>
    <t>₹ 5928</t>
  </si>
  <si>
    <t>B1206</t>
  </si>
  <si>
    <t>₹ 11743</t>
  </si>
  <si>
    <t>B1207</t>
  </si>
  <si>
    <t>₹ 5066</t>
  </si>
  <si>
    <t>B1208</t>
  </si>
  <si>
    <t>C0452</t>
  </si>
  <si>
    <t>₹ 9898</t>
  </si>
  <si>
    <t>B1209</t>
  </si>
  <si>
    <t>₹ 5702</t>
  </si>
  <si>
    <t>B1210</t>
  </si>
  <si>
    <t>C0802</t>
  </si>
  <si>
    <t>₹ 19037</t>
  </si>
  <si>
    <t>B1211</t>
  </si>
  <si>
    <t>₹ 13157</t>
  </si>
  <si>
    <t>B1212</t>
  </si>
  <si>
    <t>₹ 15499</t>
  </si>
  <si>
    <t>B1213</t>
  </si>
  <si>
    <t>₹ 3783</t>
  </si>
  <si>
    <t>B1214</t>
  </si>
  <si>
    <t>C0060</t>
  </si>
  <si>
    <t>₹ 17875</t>
  </si>
  <si>
    <t>B1215</t>
  </si>
  <si>
    <t>C0164</t>
  </si>
  <si>
    <t>₹ 13583</t>
  </si>
  <si>
    <t>B1216</t>
  </si>
  <si>
    <t>C0314</t>
  </si>
  <si>
    <t>₹ 9062</t>
  </si>
  <si>
    <t>B1217</t>
  </si>
  <si>
    <t>₹ 3150</t>
  </si>
  <si>
    <t>B1218</t>
  </si>
  <si>
    <t>₹ 10083</t>
  </si>
  <si>
    <t>B1219</t>
  </si>
  <si>
    <t>₹ 3057</t>
  </si>
  <si>
    <t>B1220</t>
  </si>
  <si>
    <t>₹ 10387</t>
  </si>
  <si>
    <t>B1221</t>
  </si>
  <si>
    <t>₹ 11472</t>
  </si>
  <si>
    <t>B1222</t>
  </si>
  <si>
    <t>C0865</t>
  </si>
  <si>
    <t>₹ 6157</t>
  </si>
  <si>
    <t>B1223</t>
  </si>
  <si>
    <t>C0208</t>
  </si>
  <si>
    <t>₹ 14983</t>
  </si>
  <si>
    <t>B1224</t>
  </si>
  <si>
    <t>₹ 5882</t>
  </si>
  <si>
    <t>B1225</t>
  </si>
  <si>
    <t>₹ 7951</t>
  </si>
  <si>
    <t>B1226</t>
  </si>
  <si>
    <t>₹ 17592</t>
  </si>
  <si>
    <t>B1227</t>
  </si>
  <si>
    <t>₹ 3655</t>
  </si>
  <si>
    <t>B1228</t>
  </si>
  <si>
    <t>B1229</t>
  </si>
  <si>
    <t>₹ 12425</t>
  </si>
  <si>
    <t>B1230</t>
  </si>
  <si>
    <t>₹ 18653</t>
  </si>
  <si>
    <t>B1231</t>
  </si>
  <si>
    <t>₹ 11696</t>
  </si>
  <si>
    <t>B1232</t>
  </si>
  <si>
    <t>₹ 14552</t>
  </si>
  <si>
    <t>B1233</t>
  </si>
  <si>
    <t>₹ 13618</t>
  </si>
  <si>
    <t>B1234</t>
  </si>
  <si>
    <t>₹ 6469</t>
  </si>
  <si>
    <t>B1235</t>
  </si>
  <si>
    <t>₹ 16533</t>
  </si>
  <si>
    <t>B1236</t>
  </si>
  <si>
    <t>₹ 9781</t>
  </si>
  <si>
    <t>B1237</t>
  </si>
  <si>
    <t>₹ 12328</t>
  </si>
  <si>
    <t>B1238</t>
  </si>
  <si>
    <t>₹ 18276</t>
  </si>
  <si>
    <t>B1239</t>
  </si>
  <si>
    <t>C0167</t>
  </si>
  <si>
    <t>₹ 16042</t>
  </si>
  <si>
    <t>B1240</t>
  </si>
  <si>
    <t>₹ 16575</t>
  </si>
  <si>
    <t>B1241</t>
  </si>
  <si>
    <t>₹ 15253</t>
  </si>
  <si>
    <t>B1242</t>
  </si>
  <si>
    <t>C0817</t>
  </si>
  <si>
    <t>₹ 15860</t>
  </si>
  <si>
    <t>B1243</t>
  </si>
  <si>
    <t>₹ 13113</t>
  </si>
  <si>
    <t>B1244</t>
  </si>
  <si>
    <t>₹ 6401</t>
  </si>
  <si>
    <t>B1245</t>
  </si>
  <si>
    <t>C0247</t>
  </si>
  <si>
    <t>₹ 13603</t>
  </si>
  <si>
    <t>B1246</t>
  </si>
  <si>
    <t>D20240310</t>
  </si>
  <si>
    <t>₹ 9408</t>
  </si>
  <si>
    <t>B1247</t>
  </si>
  <si>
    <t>₹ 19136</t>
  </si>
  <si>
    <t>B1248</t>
  </si>
  <si>
    <t>₹ 13892</t>
  </si>
  <si>
    <t>B1249</t>
  </si>
  <si>
    <t>D20241218</t>
  </si>
  <si>
    <t>C0632</t>
  </si>
  <si>
    <t>₹ 12357</t>
  </si>
  <si>
    <t>B1250</t>
  </si>
  <si>
    <t>₹ 18407</t>
  </si>
  <si>
    <t>B1251</t>
  </si>
  <si>
    <t>C0227</t>
  </si>
  <si>
    <t>₹ 8520</t>
  </si>
  <si>
    <t>B1252</t>
  </si>
  <si>
    <t>₹ 15797</t>
  </si>
  <si>
    <t>B1253</t>
  </si>
  <si>
    <t>C0761</t>
  </si>
  <si>
    <t>₹ 5883</t>
  </si>
  <si>
    <t>B1254</t>
  </si>
  <si>
    <t>₹ 9811</t>
  </si>
  <si>
    <t>B1255</t>
  </si>
  <si>
    <t>₹ 9920</t>
  </si>
  <si>
    <t>B1256</t>
  </si>
  <si>
    <t>₹ 12750</t>
  </si>
  <si>
    <t>B1257</t>
  </si>
  <si>
    <t>₹ 12149</t>
  </si>
  <si>
    <t>B1258</t>
  </si>
  <si>
    <t>C0113</t>
  </si>
  <si>
    <t>₹ 13927</t>
  </si>
  <si>
    <t>B1259</t>
  </si>
  <si>
    <t>₹ 15281</t>
  </si>
  <si>
    <t>B1260</t>
  </si>
  <si>
    <t>C0649</t>
  </si>
  <si>
    <t>₹ 9435</t>
  </si>
  <si>
    <t>B1261</t>
  </si>
  <si>
    <t>C0702</t>
  </si>
  <si>
    <t>₹ 15341</t>
  </si>
  <si>
    <t>B1262</t>
  </si>
  <si>
    <t>C0916</t>
  </si>
  <si>
    <t>₹ 15087</t>
  </si>
  <si>
    <t>B1263</t>
  </si>
  <si>
    <t>C0013</t>
  </si>
  <si>
    <t>₹ 15191</t>
  </si>
  <si>
    <t>B1264</t>
  </si>
  <si>
    <t>₹ 11349</t>
  </si>
  <si>
    <t>B1265</t>
  </si>
  <si>
    <t>₹ 11158</t>
  </si>
  <si>
    <t>B1266</t>
  </si>
  <si>
    <t>₹ 17443</t>
  </si>
  <si>
    <t>B1267</t>
  </si>
  <si>
    <t>₹ 7116</t>
  </si>
  <si>
    <t>B1268</t>
  </si>
  <si>
    <t>₹ 8553</t>
  </si>
  <si>
    <t>B1269</t>
  </si>
  <si>
    <t>₹ 4276</t>
  </si>
  <si>
    <t>B1270</t>
  </si>
  <si>
    <t>₹ 4913</t>
  </si>
  <si>
    <t>B1271</t>
  </si>
  <si>
    <t>C0140</t>
  </si>
  <si>
    <t>₹ 7375</t>
  </si>
  <si>
    <t>B1272</t>
  </si>
  <si>
    <t>₹ 7115</t>
  </si>
  <si>
    <t>B1273</t>
  </si>
  <si>
    <t>B1274</t>
  </si>
  <si>
    <t>₹ 10420</t>
  </si>
  <si>
    <t>B1275</t>
  </si>
  <si>
    <t>C0431</t>
  </si>
  <si>
    <t>₹ 4141</t>
  </si>
  <si>
    <t>B1276</t>
  </si>
  <si>
    <t>B1277</t>
  </si>
  <si>
    <t>C0414</t>
  </si>
  <si>
    <t>₹ 19663</t>
  </si>
  <si>
    <t>B1278</t>
  </si>
  <si>
    <t>₹ 18351</t>
  </si>
  <si>
    <t>B1279</t>
  </si>
  <si>
    <t>D20240701</t>
  </si>
  <si>
    <t>₹ 11455</t>
  </si>
  <si>
    <t>01/07/2024</t>
  </si>
  <si>
    <t>B1280</t>
  </si>
  <si>
    <t>₹ 5184</t>
  </si>
  <si>
    <t>B1281</t>
  </si>
  <si>
    <t>₹ 9029</t>
  </si>
  <si>
    <t>B1282</t>
  </si>
  <si>
    <t>₹ 18258</t>
  </si>
  <si>
    <t>B1283</t>
  </si>
  <si>
    <t>₹ 19391</t>
  </si>
  <si>
    <t>B1284</t>
  </si>
  <si>
    <t>₹ 14367</t>
  </si>
  <si>
    <t>B1285</t>
  </si>
  <si>
    <t>₹ 6068</t>
  </si>
  <si>
    <t>B1286</t>
  </si>
  <si>
    <t>C0171</t>
  </si>
  <si>
    <t>₹ 11998</t>
  </si>
  <si>
    <t>B1287</t>
  </si>
  <si>
    <t>₹ 5079</t>
  </si>
  <si>
    <t>B1288</t>
  </si>
  <si>
    <t>₹ 7034</t>
  </si>
  <si>
    <t>B1289</t>
  </si>
  <si>
    <t>₹ 8396</t>
  </si>
  <si>
    <t>B1290</t>
  </si>
  <si>
    <t>C0898</t>
  </si>
  <si>
    <t>₹ 8287</t>
  </si>
  <si>
    <t>B1291</t>
  </si>
  <si>
    <t>C0239</t>
  </si>
  <si>
    <t>₹ 3868</t>
  </si>
  <si>
    <t>B1292</t>
  </si>
  <si>
    <t>C0538</t>
  </si>
  <si>
    <t>₹ 16074</t>
  </si>
  <si>
    <t>B1293</t>
  </si>
  <si>
    <t>₹ 6537</t>
  </si>
  <si>
    <t>B1294</t>
  </si>
  <si>
    <t>B1295</t>
  </si>
  <si>
    <t>₹ 8028</t>
  </si>
  <si>
    <t>B1296</t>
  </si>
  <si>
    <t>B1297</t>
  </si>
  <si>
    <t>₹ 15844</t>
  </si>
  <si>
    <t>B1298</t>
  </si>
  <si>
    <t>C0224</t>
  </si>
  <si>
    <t>₹ 16398</t>
  </si>
  <si>
    <t>B1299</t>
  </si>
  <si>
    <t>₹ 18131</t>
  </si>
  <si>
    <t>B1300</t>
  </si>
  <si>
    <t>₹ 18207</t>
  </si>
  <si>
    <t>B1301</t>
  </si>
  <si>
    <t>₹ 7139</t>
  </si>
  <si>
    <t>B1302</t>
  </si>
  <si>
    <t>₹ 3403</t>
  </si>
  <si>
    <t>B1303</t>
  </si>
  <si>
    <t>₹ 10754</t>
  </si>
  <si>
    <t>B1304</t>
  </si>
  <si>
    <t>₹ 11843</t>
  </si>
  <si>
    <t>B1305</t>
  </si>
  <si>
    <t>B1306</t>
  </si>
  <si>
    <t>₹ 16442</t>
  </si>
  <si>
    <t>B1307</t>
  </si>
  <si>
    <t>₹ 13047</t>
  </si>
  <si>
    <t>B1308</t>
  </si>
  <si>
    <t>₹ 16248</t>
  </si>
  <si>
    <t>B1309</t>
  </si>
  <si>
    <t>₹ 8125</t>
  </si>
  <si>
    <t>B1310</t>
  </si>
  <si>
    <t>C0392</t>
  </si>
  <si>
    <t>₹ 9983</t>
  </si>
  <si>
    <t>B1311</t>
  </si>
  <si>
    <t>B1312</t>
  </si>
  <si>
    <t>₹ 10364</t>
  </si>
  <si>
    <t>B1313</t>
  </si>
  <si>
    <t>C0762</t>
  </si>
  <si>
    <t>B1314</t>
  </si>
  <si>
    <t>C0233</t>
  </si>
  <si>
    <t>₹ 15715</t>
  </si>
  <si>
    <t>B1315</t>
  </si>
  <si>
    <t>B1316</t>
  </si>
  <si>
    <t>₹ 8109</t>
  </si>
  <si>
    <t>B1317</t>
  </si>
  <si>
    <t>₹ 7495</t>
  </si>
  <si>
    <t>B1318</t>
  </si>
  <si>
    <t>₹ 6891</t>
  </si>
  <si>
    <t>B1319</t>
  </si>
  <si>
    <t>B1320</t>
  </si>
  <si>
    <t>₹ 18436</t>
  </si>
  <si>
    <t>B1321</t>
  </si>
  <si>
    <t>₹ 13531</t>
  </si>
  <si>
    <t>B1322</t>
  </si>
  <si>
    <t>₹ 9027</t>
  </si>
  <si>
    <t>B1323</t>
  </si>
  <si>
    <t>₹ 11830</t>
  </si>
  <si>
    <t>B1324</t>
  </si>
  <si>
    <t>C0633</t>
  </si>
  <si>
    <t>₹ 3551</t>
  </si>
  <si>
    <t>B1325</t>
  </si>
  <si>
    <t>₹ 19586</t>
  </si>
  <si>
    <t>B1326</t>
  </si>
  <si>
    <t>D20241025</t>
  </si>
  <si>
    <t>C0752</t>
  </si>
  <si>
    <t>₹ 6740</t>
  </si>
  <si>
    <t>B1327</t>
  </si>
  <si>
    <t>C0716</t>
  </si>
  <si>
    <t>₹ 6645</t>
  </si>
  <si>
    <t>B1328</t>
  </si>
  <si>
    <t>B1329</t>
  </si>
  <si>
    <t>C0358</t>
  </si>
  <si>
    <t>₹ 17436</t>
  </si>
  <si>
    <t>B1330</t>
  </si>
  <si>
    <t>₹ 7530</t>
  </si>
  <si>
    <t>B1331</t>
  </si>
  <si>
    <t>₹ 11322</t>
  </si>
  <si>
    <t>B1332</t>
  </si>
  <si>
    <t>₹ 6706</t>
  </si>
  <si>
    <t>B1333</t>
  </si>
  <si>
    <t>₹ 11803</t>
  </si>
  <si>
    <t>B1334</t>
  </si>
  <si>
    <t>₹ 11745</t>
  </si>
  <si>
    <t>B1335</t>
  </si>
  <si>
    <t>C0289</t>
  </si>
  <si>
    <t>₹ 13366</t>
  </si>
  <si>
    <t>B1336</t>
  </si>
  <si>
    <t>C0899</t>
  </si>
  <si>
    <t>₹ 17218</t>
  </si>
  <si>
    <t>B1337</t>
  </si>
  <si>
    <t>₹ 4009</t>
  </si>
  <si>
    <t>B1338</t>
  </si>
  <si>
    <t>₹ 13306</t>
  </si>
  <si>
    <t>B1339</t>
  </si>
  <si>
    <t>₹ 6966</t>
  </si>
  <si>
    <t>B1340</t>
  </si>
  <si>
    <t>C0932</t>
  </si>
  <si>
    <t>₹ 15777</t>
  </si>
  <si>
    <t>B1341</t>
  </si>
  <si>
    <t>₹ 16632</t>
  </si>
  <si>
    <t>B1342</t>
  </si>
  <si>
    <t>₹ 8687</t>
  </si>
  <si>
    <t>B1343</t>
  </si>
  <si>
    <t>₹ 7656</t>
  </si>
  <si>
    <t>B1344</t>
  </si>
  <si>
    <t>₹ 18803</t>
  </si>
  <si>
    <t>B1345</t>
  </si>
  <si>
    <t>₹ 13857</t>
  </si>
  <si>
    <t>B1346</t>
  </si>
  <si>
    <t>₹ 8942</t>
  </si>
  <si>
    <t>B1347</t>
  </si>
  <si>
    <t>₹ 9394</t>
  </si>
  <si>
    <t>B1348</t>
  </si>
  <si>
    <t>₹ 5446</t>
  </si>
  <si>
    <t>B1349</t>
  </si>
  <si>
    <t>₹ 8452</t>
  </si>
  <si>
    <t>B1350</t>
  </si>
  <si>
    <t>₹ 10973</t>
  </si>
  <si>
    <t>B1351</t>
  </si>
  <si>
    <t>₹ 7060</t>
  </si>
  <si>
    <t>B1352</t>
  </si>
  <si>
    <t>C0401</t>
  </si>
  <si>
    <t>₹ 3378</t>
  </si>
  <si>
    <t>B1353</t>
  </si>
  <si>
    <t>₹ 17161</t>
  </si>
  <si>
    <t>B1354</t>
  </si>
  <si>
    <t>₹ 3269</t>
  </si>
  <si>
    <t>B1355</t>
  </si>
  <si>
    <t>C0940</t>
  </si>
  <si>
    <t>₹ 10785</t>
  </si>
  <si>
    <t>B1356</t>
  </si>
  <si>
    <t>₹ 6637</t>
  </si>
  <si>
    <t>B1357</t>
  </si>
  <si>
    <t>₹ 9500</t>
  </si>
  <si>
    <t>B1358</t>
  </si>
  <si>
    <t>₹ 18223</t>
  </si>
  <si>
    <t>B1359</t>
  </si>
  <si>
    <t>₹ 19001</t>
  </si>
  <si>
    <t>B1360</t>
  </si>
  <si>
    <t>₹ 6655</t>
  </si>
  <si>
    <t>B1361</t>
  </si>
  <si>
    <t>C0360</t>
  </si>
  <si>
    <t>₹ 11708</t>
  </si>
  <si>
    <t>B1362</t>
  </si>
  <si>
    <t>₹ 6387</t>
  </si>
  <si>
    <t>B1363</t>
  </si>
  <si>
    <t>C0040</t>
  </si>
  <si>
    <t>₹ 18765</t>
  </si>
  <si>
    <t>B1364</t>
  </si>
  <si>
    <t>₹ 16959</t>
  </si>
  <si>
    <t>B1365</t>
  </si>
  <si>
    <t>₹ 9998</t>
  </si>
  <si>
    <t>B1366</t>
  </si>
  <si>
    <t>C0487</t>
  </si>
  <si>
    <t>₹ 13242</t>
  </si>
  <si>
    <t>B1367</t>
  </si>
  <si>
    <t>₹ 17683</t>
  </si>
  <si>
    <t>B1368</t>
  </si>
  <si>
    <t>C0894</t>
  </si>
  <si>
    <t>₹ 5299</t>
  </si>
  <si>
    <t>B1369</t>
  </si>
  <si>
    <t>C0721</t>
  </si>
  <si>
    <t>₹ 16020</t>
  </si>
  <si>
    <t>B1370</t>
  </si>
  <si>
    <t>₹ 17447</t>
  </si>
  <si>
    <t>B1371</t>
  </si>
  <si>
    <t>B1372</t>
  </si>
  <si>
    <t>C0122</t>
  </si>
  <si>
    <t>₹ 17333</t>
  </si>
  <si>
    <t>B1373</t>
  </si>
  <si>
    <t>C0784</t>
  </si>
  <si>
    <t>₹ 13905</t>
  </si>
  <si>
    <t>B1374</t>
  </si>
  <si>
    <t>₹ 3939</t>
  </si>
  <si>
    <t>B1375</t>
  </si>
  <si>
    <t>₹ 10416</t>
  </si>
  <si>
    <t>B1376</t>
  </si>
  <si>
    <t>C0073</t>
  </si>
  <si>
    <t>₹ 3327</t>
  </si>
  <si>
    <t>B1377</t>
  </si>
  <si>
    <t>₹ 4932</t>
  </si>
  <si>
    <t>B1378</t>
  </si>
  <si>
    <t>C0003</t>
  </si>
  <si>
    <t>₹ 6206</t>
  </si>
  <si>
    <t>B1379</t>
  </si>
  <si>
    <t>₹ 18549</t>
  </si>
  <si>
    <t>B1380</t>
  </si>
  <si>
    <t>₹ 11304</t>
  </si>
  <si>
    <t>B1381</t>
  </si>
  <si>
    <t>₹ 18887</t>
  </si>
  <si>
    <t>B1382</t>
  </si>
  <si>
    <t>₹ 4204</t>
  </si>
  <si>
    <t>B1383</t>
  </si>
  <si>
    <t>₹ 5684</t>
  </si>
  <si>
    <t>B1384</t>
  </si>
  <si>
    <t>C0653</t>
  </si>
  <si>
    <t>₹ 6905</t>
  </si>
  <si>
    <t>B1385</t>
  </si>
  <si>
    <t>D20240906</t>
  </si>
  <si>
    <t>₹ 7184</t>
  </si>
  <si>
    <t>B1386</t>
  </si>
  <si>
    <t>₹ 3274</t>
  </si>
  <si>
    <t>B1387</t>
  </si>
  <si>
    <t>C0907</t>
  </si>
  <si>
    <t>₹ 5801</t>
  </si>
  <si>
    <t>B1388</t>
  </si>
  <si>
    <t>₹ 3808</t>
  </si>
  <si>
    <t>B1389</t>
  </si>
  <si>
    <t>C0489</t>
  </si>
  <si>
    <t>₹ 14004</t>
  </si>
  <si>
    <t>B1390</t>
  </si>
  <si>
    <t>C0631</t>
  </si>
  <si>
    <t>₹ 17376</t>
  </si>
  <si>
    <t>B1391</t>
  </si>
  <si>
    <t>₹ 10564</t>
  </si>
  <si>
    <t>B1392</t>
  </si>
  <si>
    <t>₹ 12505</t>
  </si>
  <si>
    <t>B1393</t>
  </si>
  <si>
    <t>B1394</t>
  </si>
  <si>
    <t>₹ 3654</t>
  </si>
  <si>
    <t>B1395</t>
  </si>
  <si>
    <t>₹ 18164</t>
  </si>
  <si>
    <t>B1396</t>
  </si>
  <si>
    <t>₹ 15905</t>
  </si>
  <si>
    <t>B1397</t>
  </si>
  <si>
    <t>₹ 14540</t>
  </si>
  <si>
    <t>B1398</t>
  </si>
  <si>
    <t>₹ 16640</t>
  </si>
  <si>
    <t>B1399</t>
  </si>
  <si>
    <t>₹ 19000</t>
  </si>
  <si>
    <t>B1400</t>
  </si>
  <si>
    <t>₹ 17704</t>
  </si>
  <si>
    <t>B1401</t>
  </si>
  <si>
    <t>₹ 6935</t>
  </si>
  <si>
    <t>B1402</t>
  </si>
  <si>
    <t>C0555</t>
  </si>
  <si>
    <t>B1403</t>
  </si>
  <si>
    <t>C0011</t>
  </si>
  <si>
    <t>₹ 17697</t>
  </si>
  <si>
    <t>B1404</t>
  </si>
  <si>
    <t>₹ 7831</t>
  </si>
  <si>
    <t>B1405</t>
  </si>
  <si>
    <t>₹ 16411</t>
  </si>
  <si>
    <t>B1406</t>
  </si>
  <si>
    <t>₹ 4531</t>
  </si>
  <si>
    <t>B1407</t>
  </si>
  <si>
    <t>₹ 8531</t>
  </si>
  <si>
    <t>B1408</t>
  </si>
  <si>
    <t>₹ 4636</t>
  </si>
  <si>
    <t>B1409</t>
  </si>
  <si>
    <t>₹ 18612</t>
  </si>
  <si>
    <t>B1410</t>
  </si>
  <si>
    <t>C0178</t>
  </si>
  <si>
    <t>₹ 10617</t>
  </si>
  <si>
    <t>B1411</t>
  </si>
  <si>
    <t>₹ 19946</t>
  </si>
  <si>
    <t>B1412</t>
  </si>
  <si>
    <t>₹ 12803</t>
  </si>
  <si>
    <t>B1413</t>
  </si>
  <si>
    <t>₹ 15582</t>
  </si>
  <si>
    <t>B1414</t>
  </si>
  <si>
    <t>₹ 15397</t>
  </si>
  <si>
    <t>B1415</t>
  </si>
  <si>
    <t>₹ 4049</t>
  </si>
  <si>
    <t>B1416</t>
  </si>
  <si>
    <t>C0306</t>
  </si>
  <si>
    <t>B1417</t>
  </si>
  <si>
    <t>₹ 15787</t>
  </si>
  <si>
    <t>B1418</t>
  </si>
  <si>
    <t>₹ 3055</t>
  </si>
  <si>
    <t>B1419</t>
  </si>
  <si>
    <t>₹ 11071</t>
  </si>
  <si>
    <t>B1420</t>
  </si>
  <si>
    <t>₹ 16044</t>
  </si>
  <si>
    <t>B1421</t>
  </si>
  <si>
    <t>₹ 16658</t>
  </si>
  <si>
    <t>B1422</t>
  </si>
  <si>
    <t>₹ 10833</t>
  </si>
  <si>
    <t>B1423</t>
  </si>
  <si>
    <t>₹ 6198</t>
  </si>
  <si>
    <t>B1424</t>
  </si>
  <si>
    <t>C0995</t>
  </si>
  <si>
    <t>₹ 8769</t>
  </si>
  <si>
    <t>B1425</t>
  </si>
  <si>
    <t>₹ 16940</t>
  </si>
  <si>
    <t>B1426</t>
  </si>
  <si>
    <t>₹ 9825</t>
  </si>
  <si>
    <t>B1427</t>
  </si>
  <si>
    <t>₹ 8127</t>
  </si>
  <si>
    <t>B1428</t>
  </si>
  <si>
    <t>C0580</t>
  </si>
  <si>
    <t>₹ 6373</t>
  </si>
  <si>
    <t>B1429</t>
  </si>
  <si>
    <t>C0097</t>
  </si>
  <si>
    <t>₹ 19667</t>
  </si>
  <si>
    <t>B1430</t>
  </si>
  <si>
    <t>B1431</t>
  </si>
  <si>
    <t>₹ 8039</t>
  </si>
  <si>
    <t>B1432</t>
  </si>
  <si>
    <t>B1433</t>
  </si>
  <si>
    <t>C0682</t>
  </si>
  <si>
    <t>₹ 9117</t>
  </si>
  <si>
    <t>B1434</t>
  </si>
  <si>
    <t>B1435</t>
  </si>
  <si>
    <t>₹ 6542</t>
  </si>
  <si>
    <t>B1436</t>
  </si>
  <si>
    <t>₹ 11023</t>
  </si>
  <si>
    <t>B1437</t>
  </si>
  <si>
    <t>₹ 12682</t>
  </si>
  <si>
    <t>B1438</t>
  </si>
  <si>
    <t>₹ 9636</t>
  </si>
  <si>
    <t>B1439</t>
  </si>
  <si>
    <t>C0484</t>
  </si>
  <si>
    <t>₹ 16707</t>
  </si>
  <si>
    <t>B1440</t>
  </si>
  <si>
    <t>₹ 4222</t>
  </si>
  <si>
    <t>B1441</t>
  </si>
  <si>
    <t>C0924</t>
  </si>
  <si>
    <t>B1442</t>
  </si>
  <si>
    <t>₹ 18163</t>
  </si>
  <si>
    <t>B1443</t>
  </si>
  <si>
    <t>₹ 19041</t>
  </si>
  <si>
    <t>B1444</t>
  </si>
  <si>
    <t>C0961</t>
  </si>
  <si>
    <t>₹ 7231</t>
  </si>
  <si>
    <t>B1445</t>
  </si>
  <si>
    <t>₹ 18852</t>
  </si>
  <si>
    <t>B1446</t>
  </si>
  <si>
    <t>₹ 8090</t>
  </si>
  <si>
    <t>B1447</t>
  </si>
  <si>
    <t>₹ 19305</t>
  </si>
  <si>
    <t>B1448</t>
  </si>
  <si>
    <t>₹ 19754</t>
  </si>
  <si>
    <t>B1449</t>
  </si>
  <si>
    <t>₹ 17595</t>
  </si>
  <si>
    <t>B1450</t>
  </si>
  <si>
    <t>₹ 13844</t>
  </si>
  <si>
    <t>B1451</t>
  </si>
  <si>
    <t>₹ 16459</t>
  </si>
  <si>
    <t>B1452</t>
  </si>
  <si>
    <t>₹ 11243</t>
  </si>
  <si>
    <t>B1453</t>
  </si>
  <si>
    <t>₹ 16875</t>
  </si>
  <si>
    <t>B1454</t>
  </si>
  <si>
    <t>₹ 4704</t>
  </si>
  <si>
    <t>B1455</t>
  </si>
  <si>
    <t>₹ 13789</t>
  </si>
  <si>
    <t>B1456</t>
  </si>
  <si>
    <t>₹ 9132</t>
  </si>
  <si>
    <t>B1457</t>
  </si>
  <si>
    <t>₹ 19668</t>
  </si>
  <si>
    <t>B1458</t>
  </si>
  <si>
    <t>₹ 5438</t>
  </si>
  <si>
    <t>B1459</t>
  </si>
  <si>
    <t>₹ 13384</t>
  </si>
  <si>
    <t>B1460</t>
  </si>
  <si>
    <t>₹ 19875</t>
  </si>
  <si>
    <t>B1461</t>
  </si>
  <si>
    <t>₹ 17622</t>
  </si>
  <si>
    <t>B1462</t>
  </si>
  <si>
    <t>C0301</t>
  </si>
  <si>
    <t>₹ 9738</t>
  </si>
  <si>
    <t>B1463</t>
  </si>
  <si>
    <t>B1464</t>
  </si>
  <si>
    <t>B1465</t>
  </si>
  <si>
    <t>₹ 9349</t>
  </si>
  <si>
    <t>B1466</t>
  </si>
  <si>
    <t>₹ 14498</t>
  </si>
  <si>
    <t>B1467</t>
  </si>
  <si>
    <t>D20241010</t>
  </si>
  <si>
    <t>C0805</t>
  </si>
  <si>
    <t>₹ 19229</t>
  </si>
  <si>
    <t>B1468</t>
  </si>
  <si>
    <t>₹ 18904</t>
  </si>
  <si>
    <t>B1469</t>
  </si>
  <si>
    <t>B1470</t>
  </si>
  <si>
    <t>₹ 3603</t>
  </si>
  <si>
    <t>B1471</t>
  </si>
  <si>
    <t>₹ 10318</t>
  </si>
  <si>
    <t>B1472</t>
  </si>
  <si>
    <t>₹ 11336</t>
  </si>
  <si>
    <t>B1473</t>
  </si>
  <si>
    <t>₹ 15870</t>
  </si>
  <si>
    <t>B1474</t>
  </si>
  <si>
    <t>C0597</t>
  </si>
  <si>
    <t>₹ 18556</t>
  </si>
  <si>
    <t>B1475</t>
  </si>
  <si>
    <t>₹ 10208</t>
  </si>
  <si>
    <t>B1476</t>
  </si>
  <si>
    <t>₹ 7039</t>
  </si>
  <si>
    <t>B1477</t>
  </si>
  <si>
    <t>₹ 16437</t>
  </si>
  <si>
    <t>B1478</t>
  </si>
  <si>
    <t>C0876</t>
  </si>
  <si>
    <t>B1479</t>
  </si>
  <si>
    <t>₹ 11240</t>
  </si>
  <si>
    <t>B1480</t>
  </si>
  <si>
    <t>₹ 15402</t>
  </si>
  <si>
    <t>B1481</t>
  </si>
  <si>
    <t>₹ 11097</t>
  </si>
  <si>
    <t>B1482</t>
  </si>
  <si>
    <t>C0206</t>
  </si>
  <si>
    <t>₹ 11457</t>
  </si>
  <si>
    <t>B1483</t>
  </si>
  <si>
    <t>C0302</t>
  </si>
  <si>
    <t>₹ 19117</t>
  </si>
  <si>
    <t>B1484</t>
  </si>
  <si>
    <t>₹ 14478</t>
  </si>
  <si>
    <t>B1485</t>
  </si>
  <si>
    <t>₹ 7420</t>
  </si>
  <si>
    <t>B1486</t>
  </si>
  <si>
    <t>₹ 16291</t>
  </si>
  <si>
    <t>B1487</t>
  </si>
  <si>
    <t>₹ 18417</t>
  </si>
  <si>
    <t>B1488</t>
  </si>
  <si>
    <t>₹ 12659</t>
  </si>
  <si>
    <t>B1489</t>
  </si>
  <si>
    <t>₹ 19585</t>
  </si>
  <si>
    <t>B1490</t>
  </si>
  <si>
    <t>₹ 15949</t>
  </si>
  <si>
    <t>B1491</t>
  </si>
  <si>
    <t>C0277</t>
  </si>
  <si>
    <t>₹ 8581</t>
  </si>
  <si>
    <t>B1492</t>
  </si>
  <si>
    <t>C0539</t>
  </si>
  <si>
    <t>₹ 6911</t>
  </si>
  <si>
    <t>B1493</t>
  </si>
  <si>
    <t>₹ 5266</t>
  </si>
  <si>
    <t>B1494</t>
  </si>
  <si>
    <t>₹ 9945</t>
  </si>
  <si>
    <t>B1495</t>
  </si>
  <si>
    <t>₹ 9009</t>
  </si>
  <si>
    <t>B1496</t>
  </si>
  <si>
    <t>₹ 11122</t>
  </si>
  <si>
    <t>B1497</t>
  </si>
  <si>
    <t>₹ 11925</t>
  </si>
  <si>
    <t>B1498</t>
  </si>
  <si>
    <t>C0893</t>
  </si>
  <si>
    <t>₹ 9921</t>
  </si>
  <si>
    <t>B1499</t>
  </si>
  <si>
    <t>₹ 17143</t>
  </si>
  <si>
    <t>B1500</t>
  </si>
  <si>
    <t>₹ 11133</t>
  </si>
  <si>
    <t>B1501</t>
  </si>
  <si>
    <t>₹ 8466</t>
  </si>
  <si>
    <t>B1502</t>
  </si>
  <si>
    <t>₹ 13846</t>
  </si>
  <si>
    <t>B1503</t>
  </si>
  <si>
    <t>₹ 7879</t>
  </si>
  <si>
    <t>B1504</t>
  </si>
  <si>
    <t>₹ 4771</t>
  </si>
  <si>
    <t>B1505</t>
  </si>
  <si>
    <t>₹ 3966</t>
  </si>
  <si>
    <t>B1506</t>
  </si>
  <si>
    <t>₹ 11621</t>
  </si>
  <si>
    <t>B1507</t>
  </si>
  <si>
    <t>₹ 8134</t>
  </si>
  <si>
    <t>B1508</t>
  </si>
  <si>
    <t>₹ 7582</t>
  </si>
  <si>
    <t>B1509</t>
  </si>
  <si>
    <t>₹ 3215</t>
  </si>
  <si>
    <t>B1510</t>
  </si>
  <si>
    <t>B1511</t>
  </si>
  <si>
    <t>C0826</t>
  </si>
  <si>
    <t>₹ 4808</t>
  </si>
  <si>
    <t>B1512</t>
  </si>
  <si>
    <t>₹ 6315</t>
  </si>
  <si>
    <t>B1513</t>
  </si>
  <si>
    <t>₹ 9634</t>
  </si>
  <si>
    <t>B1514</t>
  </si>
  <si>
    <t>₹ 16686</t>
  </si>
  <si>
    <t>B1515</t>
  </si>
  <si>
    <t>₹ 14974</t>
  </si>
  <si>
    <t>B1516</t>
  </si>
  <si>
    <t>₹ 12215</t>
  </si>
  <si>
    <t>B1517</t>
  </si>
  <si>
    <t>₹ 5361</t>
  </si>
  <si>
    <t>B1518</t>
  </si>
  <si>
    <t>₹ 14803</t>
  </si>
  <si>
    <t>B1519</t>
  </si>
  <si>
    <t>C0556</t>
  </si>
  <si>
    <t>B1520</t>
  </si>
  <si>
    <t>₹ 16754</t>
  </si>
  <si>
    <t>B1521</t>
  </si>
  <si>
    <t>₹ 18826</t>
  </si>
  <si>
    <t>B1522</t>
  </si>
  <si>
    <t>₹ 18698</t>
  </si>
  <si>
    <t>B1523</t>
  </si>
  <si>
    <t>₹ 3384</t>
  </si>
  <si>
    <t>B1524</t>
  </si>
  <si>
    <t>₹ 5003</t>
  </si>
  <si>
    <t>B1525</t>
  </si>
  <si>
    <t>C0637</t>
  </si>
  <si>
    <t>₹ 4837</t>
  </si>
  <si>
    <t>B1526</t>
  </si>
  <si>
    <t>C0551</t>
  </si>
  <si>
    <t>₹ 17480</t>
  </si>
  <si>
    <t>B1527</t>
  </si>
  <si>
    <t>₹ 16999</t>
  </si>
  <si>
    <t>B1528</t>
  </si>
  <si>
    <t>₹ 6141</t>
  </si>
  <si>
    <t>B1529</t>
  </si>
  <si>
    <t>C0316</t>
  </si>
  <si>
    <t>₹ 3329</t>
  </si>
  <si>
    <t>B1530</t>
  </si>
  <si>
    <t>₹ 10375</t>
  </si>
  <si>
    <t>B1531</t>
  </si>
  <si>
    <t>C0276</t>
  </si>
  <si>
    <t>₹ 12988</t>
  </si>
  <si>
    <t>B1532</t>
  </si>
  <si>
    <t>B1533</t>
  </si>
  <si>
    <t>₹ 10824</t>
  </si>
  <si>
    <t>B1534</t>
  </si>
  <si>
    <t>₹ 14534</t>
  </si>
  <si>
    <t>B1535</t>
  </si>
  <si>
    <t>₹ 5387</t>
  </si>
  <si>
    <t>B1536</t>
  </si>
  <si>
    <t>₹ 9581</t>
  </si>
  <si>
    <t>B1537</t>
  </si>
  <si>
    <t>₹ 17543</t>
  </si>
  <si>
    <t>B1538</t>
  </si>
  <si>
    <t>₹ 13796</t>
  </si>
  <si>
    <t>B1539</t>
  </si>
  <si>
    <t>C0482</t>
  </si>
  <si>
    <t>₹ 19420</t>
  </si>
  <si>
    <t>B1540</t>
  </si>
  <si>
    <t>B1541</t>
  </si>
  <si>
    <t>₹ 15132</t>
  </si>
  <si>
    <t>B1542</t>
  </si>
  <si>
    <t>C0345</t>
  </si>
  <si>
    <t>₹ 9586</t>
  </si>
  <si>
    <t>B1543</t>
  </si>
  <si>
    <t>₹ 17097</t>
  </si>
  <si>
    <t>B1544</t>
  </si>
  <si>
    <t>₹ 10148</t>
  </si>
  <si>
    <t>B1545</t>
  </si>
  <si>
    <t>B1546</t>
  </si>
  <si>
    <t>₹ 19681</t>
  </si>
  <si>
    <t>B1547</t>
  </si>
  <si>
    <t>₹ 12839</t>
  </si>
  <si>
    <t>B1548</t>
  </si>
  <si>
    <t>₹ 16391</t>
  </si>
  <si>
    <t>B1549</t>
  </si>
  <si>
    <t>₹ 18935</t>
  </si>
  <si>
    <t>B1550</t>
  </si>
  <si>
    <t>₹ 17796</t>
  </si>
  <si>
    <t>B1551</t>
  </si>
  <si>
    <t>C0820</t>
  </si>
  <si>
    <t>₹ 19302</t>
  </si>
  <si>
    <t>B1552</t>
  </si>
  <si>
    <t>₹ 12056</t>
  </si>
  <si>
    <t>B1553</t>
  </si>
  <si>
    <t>₹ 8999</t>
  </si>
  <si>
    <t>B1554</t>
  </si>
  <si>
    <t>₹ 10186</t>
  </si>
  <si>
    <t>B1555</t>
  </si>
  <si>
    <t>C0678</t>
  </si>
  <si>
    <t>₹ 8257</t>
  </si>
  <si>
    <t>B1556</t>
  </si>
  <si>
    <t>₹ 10771</t>
  </si>
  <si>
    <t>B1557</t>
  </si>
  <si>
    <t>₹ 7361</t>
  </si>
  <si>
    <t>B1558</t>
  </si>
  <si>
    <t>C0874</t>
  </si>
  <si>
    <t>₹ 8308</t>
  </si>
  <si>
    <t>B1559</t>
  </si>
  <si>
    <t>₹ 11106</t>
  </si>
  <si>
    <t>B1560</t>
  </si>
  <si>
    <t>₹ 5776</t>
  </si>
  <si>
    <t>B1561</t>
  </si>
  <si>
    <t>₹ 9177</t>
  </si>
  <si>
    <t>B1562</t>
  </si>
  <si>
    <t>₹ 12621</t>
  </si>
  <si>
    <t>B1563</t>
  </si>
  <si>
    <t>C0975</t>
  </si>
  <si>
    <t>₹ 19357</t>
  </si>
  <si>
    <t>B1564</t>
  </si>
  <si>
    <t>₹ 17507</t>
  </si>
  <si>
    <t>B1565</t>
  </si>
  <si>
    <t>₹ 18914</t>
  </si>
  <si>
    <t>B1566</t>
  </si>
  <si>
    <t>C0620</t>
  </si>
  <si>
    <t>B1567</t>
  </si>
  <si>
    <t>₹ 17379</t>
  </si>
  <si>
    <t>B1568</t>
  </si>
  <si>
    <t>₹ 12382</t>
  </si>
  <si>
    <t>B1569</t>
  </si>
  <si>
    <t>₹ 14942</t>
  </si>
  <si>
    <t>B1570</t>
  </si>
  <si>
    <t>₹ 10172</t>
  </si>
  <si>
    <t>B1571</t>
  </si>
  <si>
    <t>B1572</t>
  </si>
  <si>
    <t>C0341</t>
  </si>
  <si>
    <t>₹ 5795</t>
  </si>
  <si>
    <t>B1573</t>
  </si>
  <si>
    <t>₹ 16276</t>
  </si>
  <si>
    <t>B1574</t>
  </si>
  <si>
    <t>D20240902</t>
  </si>
  <si>
    <t>₹ 6716</t>
  </si>
  <si>
    <t>B1575</t>
  </si>
  <si>
    <t>₹ 19038</t>
  </si>
  <si>
    <t>B1576</t>
  </si>
  <si>
    <t>₹ 6887</t>
  </si>
  <si>
    <t>B1577</t>
  </si>
  <si>
    <t>₹ 18972</t>
  </si>
  <si>
    <t>B1578</t>
  </si>
  <si>
    <t>₹ 4220</t>
  </si>
  <si>
    <t>B1579</t>
  </si>
  <si>
    <t>₹ 14398</t>
  </si>
  <si>
    <t>B1580</t>
  </si>
  <si>
    <t>C0008</t>
  </si>
  <si>
    <t>₹ 8389</t>
  </si>
  <si>
    <t>B1581</t>
  </si>
  <si>
    <t>₹ 5652</t>
  </si>
  <si>
    <t>B1582</t>
  </si>
  <si>
    <t>C0822</t>
  </si>
  <si>
    <t>₹ 5211</t>
  </si>
  <si>
    <t>B1583</t>
  </si>
  <si>
    <t>₹ 12811</t>
  </si>
  <si>
    <t>B1584</t>
  </si>
  <si>
    <t>C0123</t>
  </si>
  <si>
    <t>₹ 3120</t>
  </si>
  <si>
    <t>B1585</t>
  </si>
  <si>
    <t>C0667</t>
  </si>
  <si>
    <t>₹ 7031</t>
  </si>
  <si>
    <t>B1586</t>
  </si>
  <si>
    <t>₹ 12749</t>
  </si>
  <si>
    <t>B1587</t>
  </si>
  <si>
    <t>₹ 15898</t>
  </si>
  <si>
    <t>B1588</t>
  </si>
  <si>
    <t>₹ 15541</t>
  </si>
  <si>
    <t>B1589</t>
  </si>
  <si>
    <t>₹ 9312</t>
  </si>
  <si>
    <t>B1590</t>
  </si>
  <si>
    <t>₹ 12253</t>
  </si>
  <si>
    <t>B1591</t>
  </si>
  <si>
    <t>₹ 7182</t>
  </si>
  <si>
    <t>B1592</t>
  </si>
  <si>
    <t>C0759</t>
  </si>
  <si>
    <t>₹ 9950</t>
  </si>
  <si>
    <t>B1593</t>
  </si>
  <si>
    <t>₹ 14206</t>
  </si>
  <si>
    <t>B1594</t>
  </si>
  <si>
    <t>C0147</t>
  </si>
  <si>
    <t>₹ 12397</t>
  </si>
  <si>
    <t>B1595</t>
  </si>
  <si>
    <t>₹ 12127</t>
  </si>
  <si>
    <t>B1596</t>
  </si>
  <si>
    <t>₹ 11786</t>
  </si>
  <si>
    <t>B1597</t>
  </si>
  <si>
    <t>C0047</t>
  </si>
  <si>
    <t>₹ 9017</t>
  </si>
  <si>
    <t>B1598</t>
  </si>
  <si>
    <t>₹ 13092</t>
  </si>
  <si>
    <t>B1599</t>
  </si>
  <si>
    <t>₹ 18668</t>
  </si>
  <si>
    <t>B1600</t>
  </si>
  <si>
    <t>B1601</t>
  </si>
  <si>
    <t>₹ 7393</t>
  </si>
  <si>
    <t>B1602</t>
  </si>
  <si>
    <t>₹ 7534</t>
  </si>
  <si>
    <t>B1603</t>
  </si>
  <si>
    <t>₹ 17820</t>
  </si>
  <si>
    <t>B1604</t>
  </si>
  <si>
    <t>₹ 16215</t>
  </si>
  <si>
    <t>B1605</t>
  </si>
  <si>
    <t>₹ 9046</t>
  </si>
  <si>
    <t>B1606</t>
  </si>
  <si>
    <t>C0309</t>
  </si>
  <si>
    <t>B1607</t>
  </si>
  <si>
    <t>₹ 14061</t>
  </si>
  <si>
    <t>B1608</t>
  </si>
  <si>
    <t>₹ 6586</t>
  </si>
  <si>
    <t>B1609</t>
  </si>
  <si>
    <t>₹ 11926</t>
  </si>
  <si>
    <t>B1610</t>
  </si>
  <si>
    <t>C0572</t>
  </si>
  <si>
    <t>₹ 14585</t>
  </si>
  <si>
    <t>B1611</t>
  </si>
  <si>
    <t>₹ 18472</t>
  </si>
  <si>
    <t>B1612</t>
  </si>
  <si>
    <t>C0312</t>
  </si>
  <si>
    <t>₹ 7602</t>
  </si>
  <si>
    <t>B1613</t>
  </si>
  <si>
    <t>B1614</t>
  </si>
  <si>
    <t>₹ 13944</t>
  </si>
  <si>
    <t>B1615</t>
  </si>
  <si>
    <t>C0594</t>
  </si>
  <si>
    <t>₹ 19959</t>
  </si>
  <si>
    <t>B1616</t>
  </si>
  <si>
    <t>₹ 12318</t>
  </si>
  <si>
    <t>B1617</t>
  </si>
  <si>
    <t>₹ 13485</t>
  </si>
  <si>
    <t>B1618</t>
  </si>
  <si>
    <t>₹ 5722</t>
  </si>
  <si>
    <t>B1619</t>
  </si>
  <si>
    <t>₹ 15304</t>
  </si>
  <si>
    <t>B1620</t>
  </si>
  <si>
    <t>₹ 16131</t>
  </si>
  <si>
    <t>B1621</t>
  </si>
  <si>
    <t>D20240229</t>
  </si>
  <si>
    <t>C0558</t>
  </si>
  <si>
    <t>B1622</t>
  </si>
  <si>
    <t>₹ 4807</t>
  </si>
  <si>
    <t>B1623</t>
  </si>
  <si>
    <t>C0325</t>
  </si>
  <si>
    <t>₹ 6856</t>
  </si>
  <si>
    <t>B1624</t>
  </si>
  <si>
    <t>₹ 14582</t>
  </si>
  <si>
    <t>B1625</t>
  </si>
  <si>
    <t>₹ 12913</t>
  </si>
  <si>
    <t>B1626</t>
  </si>
  <si>
    <t>₹ 9134</t>
  </si>
  <si>
    <t>B1627</t>
  </si>
  <si>
    <t>B1628</t>
  </si>
  <si>
    <t>C0029</t>
  </si>
  <si>
    <t>B1629</t>
  </si>
  <si>
    <t>₹ 19574</t>
  </si>
  <si>
    <t>B1630</t>
  </si>
  <si>
    <t>₹ 15032</t>
  </si>
  <si>
    <t>B1631</t>
  </si>
  <si>
    <t>₹ 3943</t>
  </si>
  <si>
    <t>B1632</t>
  </si>
  <si>
    <t>₹ 10345</t>
  </si>
  <si>
    <t>B1633</t>
  </si>
  <si>
    <t>₹ 13229</t>
  </si>
  <si>
    <t>B1634</t>
  </si>
  <si>
    <t>₹ 16101</t>
  </si>
  <si>
    <t>B1635</t>
  </si>
  <si>
    <t>₹ 4700</t>
  </si>
  <si>
    <t>B1636</t>
  </si>
  <si>
    <t>₹ 16051</t>
  </si>
  <si>
    <t>B1637</t>
  </si>
  <si>
    <t>₹ 5360</t>
  </si>
  <si>
    <t>B1638</t>
  </si>
  <si>
    <t>₹ 7089</t>
  </si>
  <si>
    <t>B1639</t>
  </si>
  <si>
    <t>₹ 10288</t>
  </si>
  <si>
    <t>B1640</t>
  </si>
  <si>
    <t>₹ 17843</t>
  </si>
  <si>
    <t>B1641</t>
  </si>
  <si>
    <t>₹ 7131</t>
  </si>
  <si>
    <t>B1642</t>
  </si>
  <si>
    <t>₹ 6154</t>
  </si>
  <si>
    <t>B1643</t>
  </si>
  <si>
    <t>₹ 5037</t>
  </si>
  <si>
    <t>B1644</t>
  </si>
  <si>
    <t>₹ 12764</t>
  </si>
  <si>
    <t>B1645</t>
  </si>
  <si>
    <t>₹ 10073</t>
  </si>
  <si>
    <t>B1646</t>
  </si>
  <si>
    <t>C0847</t>
  </si>
  <si>
    <t>₹ 10275</t>
  </si>
  <si>
    <t>B1647</t>
  </si>
  <si>
    <t>C0991</t>
  </si>
  <si>
    <t>₹ 7036</t>
  </si>
  <si>
    <t>B1648</t>
  </si>
  <si>
    <t>₹ 4015</t>
  </si>
  <si>
    <t>B1649</t>
  </si>
  <si>
    <t>₹ 8234</t>
  </si>
  <si>
    <t>B1650</t>
  </si>
  <si>
    <t>₹ 18113</t>
  </si>
  <si>
    <t>B1651</t>
  </si>
  <si>
    <t>₹ 10908</t>
  </si>
  <si>
    <t>B1652</t>
  </si>
  <si>
    <t>₹ 14482</t>
  </si>
  <si>
    <t>B1653</t>
  </si>
  <si>
    <t>₹ 5324</t>
  </si>
  <si>
    <t>B1654</t>
  </si>
  <si>
    <t>₹ 19330</t>
  </si>
  <si>
    <t>B1655</t>
  </si>
  <si>
    <t>D20240702</t>
  </si>
  <si>
    <t>₹ 14883</t>
  </si>
  <si>
    <t>B1656</t>
  </si>
  <si>
    <t>C0456</t>
  </si>
  <si>
    <t>B1657</t>
  </si>
  <si>
    <t>B1658</t>
  </si>
  <si>
    <t>₹ 6593</t>
  </si>
  <si>
    <t>B1659</t>
  </si>
  <si>
    <t>₹ 12407</t>
  </si>
  <si>
    <t>B1660</t>
  </si>
  <si>
    <t>₹ 8304</t>
  </si>
  <si>
    <t>B1661</t>
  </si>
  <si>
    <t>₹ 10295</t>
  </si>
  <si>
    <t>B1662</t>
  </si>
  <si>
    <t>₹ 12707</t>
  </si>
  <si>
    <t>B1663</t>
  </si>
  <si>
    <t>₹ 12714</t>
  </si>
  <si>
    <t>B1664</t>
  </si>
  <si>
    <t>₹ 17952</t>
  </si>
  <si>
    <t>B1665</t>
  </si>
  <si>
    <t>C0441</t>
  </si>
  <si>
    <t>B1666</t>
  </si>
  <si>
    <t>₹ 10469</t>
  </si>
  <si>
    <t>B1667</t>
  </si>
  <si>
    <t>₹ 14307</t>
  </si>
  <si>
    <t>B1668</t>
  </si>
  <si>
    <t>₹ 12974</t>
  </si>
  <si>
    <t>B1669</t>
  </si>
  <si>
    <t>₹ 5835</t>
  </si>
  <si>
    <t>B1670</t>
  </si>
  <si>
    <t>B1671</t>
  </si>
  <si>
    <t>₹ 5779</t>
  </si>
  <si>
    <t>B1672</t>
  </si>
  <si>
    <t>₹ 4855</t>
  </si>
  <si>
    <t>B1673</t>
  </si>
  <si>
    <t>C0605</t>
  </si>
  <si>
    <t>₹ 11456</t>
  </si>
  <si>
    <t>B1674</t>
  </si>
  <si>
    <t>₹ 16639</t>
  </si>
  <si>
    <t>B1675</t>
  </si>
  <si>
    <t>₹ 3013</t>
  </si>
  <si>
    <t>B1676</t>
  </si>
  <si>
    <t>₹ 15193</t>
  </si>
  <si>
    <t>B1677</t>
  </si>
  <si>
    <t>₹ 7238</t>
  </si>
  <si>
    <t>B1678</t>
  </si>
  <si>
    <t>₹ 11503</t>
  </si>
  <si>
    <t>B1679</t>
  </si>
  <si>
    <t>₹ 13838</t>
  </si>
  <si>
    <t>B1680</t>
  </si>
  <si>
    <t>₹ 18467</t>
  </si>
  <si>
    <t>B1681</t>
  </si>
  <si>
    <t>₹ 10689</t>
  </si>
  <si>
    <t>B1682</t>
  </si>
  <si>
    <t>₹ 16719</t>
  </si>
  <si>
    <t>B1683</t>
  </si>
  <si>
    <t>₹ 15633</t>
  </si>
  <si>
    <t>B1684</t>
  </si>
  <si>
    <t>₹ 16081</t>
  </si>
  <si>
    <t>B1685</t>
  </si>
  <si>
    <t>₹ 5781</t>
  </si>
  <si>
    <t>B1686</t>
  </si>
  <si>
    <t>₹ 7675</t>
  </si>
  <si>
    <t>B1687</t>
  </si>
  <si>
    <t>₹ 10423</t>
  </si>
  <si>
    <t>B1688</t>
  </si>
  <si>
    <t>C0724</t>
  </si>
  <si>
    <t>₹ 10974</t>
  </si>
  <si>
    <t>B1689</t>
  </si>
  <si>
    <t>B1690</t>
  </si>
  <si>
    <t>₹ 9918</t>
  </si>
  <si>
    <t>B1691</t>
  </si>
  <si>
    <t>C0349</t>
  </si>
  <si>
    <t>₹ 18194</t>
  </si>
  <si>
    <t>B1692</t>
  </si>
  <si>
    <t>₹ 15444</t>
  </si>
  <si>
    <t>B1693</t>
  </si>
  <si>
    <t>₹ 15981</t>
  </si>
  <si>
    <t>B1694</t>
  </si>
  <si>
    <t>C0505</t>
  </si>
  <si>
    <t>₹ 3071</t>
  </si>
  <si>
    <t>B1695</t>
  </si>
  <si>
    <t>₹ 7149</t>
  </si>
  <si>
    <t>B1696</t>
  </si>
  <si>
    <t>₹ 19392</t>
  </si>
  <si>
    <t>B1697</t>
  </si>
  <si>
    <t>₹ 3143</t>
  </si>
  <si>
    <t>B1698</t>
  </si>
  <si>
    <t>₹ 16347</t>
  </si>
  <si>
    <t>B1699</t>
  </si>
  <si>
    <t>₹ 12763</t>
  </si>
  <si>
    <t>B1700</t>
  </si>
  <si>
    <t>₹ 13707</t>
  </si>
  <si>
    <t>B1701</t>
  </si>
  <si>
    <t>₹ 9888</t>
  </si>
  <si>
    <t>B1702</t>
  </si>
  <si>
    <t>₹ 18801</t>
  </si>
  <si>
    <t>B1703</t>
  </si>
  <si>
    <t>B1704</t>
  </si>
  <si>
    <t>₹ 9591</t>
  </si>
  <si>
    <t>B1705</t>
  </si>
  <si>
    <t>₹ 4957</t>
  </si>
  <si>
    <t>B1706</t>
  </si>
  <si>
    <t>₹ 5196</t>
  </si>
  <si>
    <t>B1707</t>
  </si>
  <si>
    <t>C0039</t>
  </si>
  <si>
    <t>₹ 6794</t>
  </si>
  <si>
    <t>B1708</t>
  </si>
  <si>
    <t>₹ 14227</t>
  </si>
  <si>
    <t>B1709</t>
  </si>
  <si>
    <t>₹ 3341</t>
  </si>
  <si>
    <t>B1710</t>
  </si>
  <si>
    <t>₹ 15645</t>
  </si>
  <si>
    <t>B1711</t>
  </si>
  <si>
    <t>₹ 16841</t>
  </si>
  <si>
    <t>B1712</t>
  </si>
  <si>
    <t>₹ 16255</t>
  </si>
  <si>
    <t>B1713</t>
  </si>
  <si>
    <t>₹ 15409</t>
  </si>
  <si>
    <t>B1714</t>
  </si>
  <si>
    <t>₹ 9571</t>
  </si>
  <si>
    <t>B1715</t>
  </si>
  <si>
    <t>₹ 7056</t>
  </si>
  <si>
    <t>B1716</t>
  </si>
  <si>
    <t>C0813</t>
  </si>
  <si>
    <t>₹ 14300</t>
  </si>
  <si>
    <t>B1717</t>
  </si>
  <si>
    <t>₹ 16939</t>
  </si>
  <si>
    <t>B1718</t>
  </si>
  <si>
    <t>B1719</t>
  </si>
  <si>
    <t>₹ 3833</t>
  </si>
  <si>
    <t>B1720</t>
  </si>
  <si>
    <t>B1721</t>
  </si>
  <si>
    <t>C0094</t>
  </si>
  <si>
    <t>₹ 15250</t>
  </si>
  <si>
    <t>B1722</t>
  </si>
  <si>
    <t>₹ 12139</t>
  </si>
  <si>
    <t>B1723</t>
  </si>
  <si>
    <t>₹ 9054</t>
  </si>
  <si>
    <t>B1724</t>
  </si>
  <si>
    <t>₹ 18111</t>
  </si>
  <si>
    <t>B1725</t>
  </si>
  <si>
    <t>₹ 9144</t>
  </si>
  <si>
    <t>B1726</t>
  </si>
  <si>
    <t>B1727</t>
  </si>
  <si>
    <t>₹ 10204</t>
  </si>
  <si>
    <t>B1728</t>
  </si>
  <si>
    <t>₹ 11973</t>
  </si>
  <si>
    <t>B1729</t>
  </si>
  <si>
    <t>₹ 7159</t>
  </si>
  <si>
    <t>B1730</t>
  </si>
  <si>
    <t>B1731</t>
  </si>
  <si>
    <t>₹ 14604</t>
  </si>
  <si>
    <t>B1732</t>
  </si>
  <si>
    <t>₹ 4157</t>
  </si>
  <si>
    <t>B1733</t>
  </si>
  <si>
    <t>B1734</t>
  </si>
  <si>
    <t>₹ 11772</t>
  </si>
  <si>
    <t>B1735</t>
  </si>
  <si>
    <t>₹ 17467</t>
  </si>
  <si>
    <t>B1736</t>
  </si>
  <si>
    <t>C0090</t>
  </si>
  <si>
    <t>₹ 16683</t>
  </si>
  <si>
    <t>B1737</t>
  </si>
  <si>
    <t>₹ 17291</t>
  </si>
  <si>
    <t>B1738</t>
  </si>
  <si>
    <t>₹ 19298</t>
  </si>
  <si>
    <t>B1739</t>
  </si>
  <si>
    <t>₹ 14603</t>
  </si>
  <si>
    <t>B1740</t>
  </si>
  <si>
    <t>₹ 15812</t>
  </si>
  <si>
    <t>B1741</t>
  </si>
  <si>
    <t>₹ 15470</t>
  </si>
  <si>
    <t>B1742</t>
  </si>
  <si>
    <t>C0747</t>
  </si>
  <si>
    <t>₹ 17257</t>
  </si>
  <si>
    <t>B1743</t>
  </si>
  <si>
    <t>₹ 16419</t>
  </si>
  <si>
    <t>B1744</t>
  </si>
  <si>
    <t>₹ 7912</t>
  </si>
  <si>
    <t>B1745</t>
  </si>
  <si>
    <t>₹ 3667</t>
  </si>
  <si>
    <t>B1746</t>
  </si>
  <si>
    <t>₹ 18790</t>
  </si>
  <si>
    <t>B1747</t>
  </si>
  <si>
    <t>₹ 17972</t>
  </si>
  <si>
    <t>B1748</t>
  </si>
  <si>
    <t>C0041</t>
  </si>
  <si>
    <t>₹ 9620</t>
  </si>
  <si>
    <t>B1749</t>
  </si>
  <si>
    <t>₹ 15140</t>
  </si>
  <si>
    <t>B1750</t>
  </si>
  <si>
    <t>₹ 18067</t>
  </si>
  <si>
    <t>B1751</t>
  </si>
  <si>
    <t>C0120</t>
  </si>
  <si>
    <t>₹ 12337</t>
  </si>
  <si>
    <t>B1752</t>
  </si>
  <si>
    <t>₹ 16712</t>
  </si>
  <si>
    <t>B1753</t>
  </si>
  <si>
    <t>₹ 5046</t>
  </si>
  <si>
    <t>B1754</t>
  </si>
  <si>
    <t>₹ 17799</t>
  </si>
  <si>
    <t>B1755</t>
  </si>
  <si>
    <t>₹ 12786</t>
  </si>
  <si>
    <t>B1756</t>
  </si>
  <si>
    <t>₹ 17631</t>
  </si>
  <si>
    <t>B1757</t>
  </si>
  <si>
    <t>₹ 9472</t>
  </si>
  <si>
    <t>B1758</t>
  </si>
  <si>
    <t>C0293</t>
  </si>
  <si>
    <t>B1759</t>
  </si>
  <si>
    <t>₹ 8831</t>
  </si>
  <si>
    <t>B1760</t>
  </si>
  <si>
    <t>₹ 15501</t>
  </si>
  <si>
    <t>B1761</t>
  </si>
  <si>
    <t>C0923</t>
  </si>
  <si>
    <t>₹ 14627</t>
  </si>
  <si>
    <t>B1762</t>
  </si>
  <si>
    <t>C0948</t>
  </si>
  <si>
    <t>₹ 3383</t>
  </si>
  <si>
    <t>B1763</t>
  </si>
  <si>
    <t>₹ 8027</t>
  </si>
  <si>
    <t>B1764</t>
  </si>
  <si>
    <t>₹ 6229</t>
  </si>
  <si>
    <t>B1765</t>
  </si>
  <si>
    <t>₹ 14818</t>
  </si>
  <si>
    <t>B1766</t>
  </si>
  <si>
    <t>₹ 9774</t>
  </si>
  <si>
    <t>B1767</t>
  </si>
  <si>
    <t>₹ 9626</t>
  </si>
  <si>
    <t>B1768</t>
  </si>
  <si>
    <t>₹ 16711</t>
  </si>
  <si>
    <t>B1769</t>
  </si>
  <si>
    <t>₹ 8232</t>
  </si>
  <si>
    <t>B1770</t>
  </si>
  <si>
    <t>₹ 3914</t>
  </si>
  <si>
    <t>B1771</t>
  </si>
  <si>
    <t>₹ 5346</t>
  </si>
  <si>
    <t>B1772</t>
  </si>
  <si>
    <t>₹ 12423</t>
  </si>
  <si>
    <t>B1773</t>
  </si>
  <si>
    <t>B1774</t>
  </si>
  <si>
    <t>₹ 13064</t>
  </si>
  <si>
    <t>B1775</t>
  </si>
  <si>
    <t>₹ 7909</t>
  </si>
  <si>
    <t>B1776</t>
  </si>
  <si>
    <t>₹ 19118</t>
  </si>
  <si>
    <t>B1777</t>
  </si>
  <si>
    <t>B1778</t>
  </si>
  <si>
    <t>₹ 18266</t>
  </si>
  <si>
    <t>B1779</t>
  </si>
  <si>
    <t>₹ 3971</t>
  </si>
  <si>
    <t>B1780</t>
  </si>
  <si>
    <t>C0855</t>
  </si>
  <si>
    <t>B1781</t>
  </si>
  <si>
    <t>₹ 18776</t>
  </si>
  <si>
    <t>B1782</t>
  </si>
  <si>
    <t>C0582</t>
  </si>
  <si>
    <t>₹ 5362</t>
  </si>
  <si>
    <t>B1783</t>
  </si>
  <si>
    <t>B1784</t>
  </si>
  <si>
    <t>C0350</t>
  </si>
  <si>
    <t>₹ 5871</t>
  </si>
  <si>
    <t>B1785</t>
  </si>
  <si>
    <t>₹ 16345</t>
  </si>
  <si>
    <t>B1786</t>
  </si>
  <si>
    <t>₹ 3178</t>
  </si>
  <si>
    <t>B1787</t>
  </si>
  <si>
    <t>B1788</t>
  </si>
  <si>
    <t>₹ 9209</t>
  </si>
  <si>
    <t>B1789</t>
  </si>
  <si>
    <t>₹ 19396</t>
  </si>
  <si>
    <t>B1790</t>
  </si>
  <si>
    <t>₹ 17930</t>
  </si>
  <si>
    <t>B1791</t>
  </si>
  <si>
    <t>₹ 3967</t>
  </si>
  <si>
    <t>B1792</t>
  </si>
  <si>
    <t>₹ 7074</t>
  </si>
  <si>
    <t>B1793</t>
  </si>
  <si>
    <t>₹ 14459</t>
  </si>
  <si>
    <t>B1794</t>
  </si>
  <si>
    <t>₹ 4839</t>
  </si>
  <si>
    <t>B1795</t>
  </si>
  <si>
    <t>B1796</t>
  </si>
  <si>
    <t>₹ 15170</t>
  </si>
  <si>
    <t>B1797</t>
  </si>
  <si>
    <t>₹ 15177</t>
  </si>
  <si>
    <t>B1798</t>
  </si>
  <si>
    <t>₹ 13038</t>
  </si>
  <si>
    <t>B1799</t>
  </si>
  <si>
    <t>₹ 6989</t>
  </si>
  <si>
    <t>B1800</t>
  </si>
  <si>
    <t>₹ 5302</t>
  </si>
  <si>
    <t>B1801</t>
  </si>
  <si>
    <t>C0109</t>
  </si>
  <si>
    <t>₹ 9248</t>
  </si>
  <si>
    <t>B1802</t>
  </si>
  <si>
    <t>₹ 6661</t>
  </si>
  <si>
    <t>B1803</t>
  </si>
  <si>
    <t>₹ 12782</t>
  </si>
  <si>
    <t>B1804</t>
  </si>
  <si>
    <t>₹ 4348</t>
  </si>
  <si>
    <t>B1805</t>
  </si>
  <si>
    <t>₹ 10512</t>
  </si>
  <si>
    <t>B1806</t>
  </si>
  <si>
    <t>₹ 8630</t>
  </si>
  <si>
    <t>B1807</t>
  </si>
  <si>
    <t>₹ 17655</t>
  </si>
  <si>
    <t>B1808</t>
  </si>
  <si>
    <t>₹ 5868</t>
  </si>
  <si>
    <t>B1809</t>
  </si>
  <si>
    <t>₹ 7976</t>
  </si>
  <si>
    <t>B1810</t>
  </si>
  <si>
    <t>₹ 8558</t>
  </si>
  <si>
    <t>B1811</t>
  </si>
  <si>
    <t>₹ 17696</t>
  </si>
  <si>
    <t>B1812</t>
  </si>
  <si>
    <t>B1813</t>
  </si>
  <si>
    <t>₹ 4764</t>
  </si>
  <si>
    <t>B1814</t>
  </si>
  <si>
    <t>C0663</t>
  </si>
  <si>
    <t>₹ 19804</t>
  </si>
  <si>
    <t>B1815</t>
  </si>
  <si>
    <t>₹ 18027</t>
  </si>
  <si>
    <t>B1816</t>
  </si>
  <si>
    <t>₹ 10363</t>
  </si>
  <si>
    <t>B1817</t>
  </si>
  <si>
    <t>B1818</t>
  </si>
  <si>
    <t>₹ 18913</t>
  </si>
  <si>
    <t>B1819</t>
  </si>
  <si>
    <t>B1820</t>
  </si>
  <si>
    <t>₹ 4927</t>
  </si>
  <si>
    <t>B1821</t>
  </si>
  <si>
    <t>₹ 9558</t>
  </si>
  <si>
    <t>B1822</t>
  </si>
  <si>
    <t>₹ 3959</t>
  </si>
  <si>
    <t>B1823</t>
  </si>
  <si>
    <t>C0328</t>
  </si>
  <si>
    <t>₹ 16765</t>
  </si>
  <si>
    <t>B1824</t>
  </si>
  <si>
    <t>₹ 4398</t>
  </si>
  <si>
    <t>B1825</t>
  </si>
  <si>
    <t>B1826</t>
  </si>
  <si>
    <t>₹ 3305</t>
  </si>
  <si>
    <t>B1827</t>
  </si>
  <si>
    <t>C0875</t>
  </si>
  <si>
    <t>₹ 16878</t>
  </si>
  <si>
    <t>B1828</t>
  </si>
  <si>
    <t>B1829</t>
  </si>
  <si>
    <t>₹ 17691</t>
  </si>
  <si>
    <t>B1830</t>
  </si>
  <si>
    <t>₹ 15406</t>
  </si>
  <si>
    <t>B1831</t>
  </si>
  <si>
    <t>₹ 10847</t>
  </si>
  <si>
    <t>B1832</t>
  </si>
  <si>
    <t>₹ 11100</t>
  </si>
  <si>
    <t>B1833</t>
  </si>
  <si>
    <t>₹ 3442</t>
  </si>
  <si>
    <t>B1834</t>
  </si>
  <si>
    <t>₹ 13003</t>
  </si>
  <si>
    <t>B1835</t>
  </si>
  <si>
    <t>₹ 17538</t>
  </si>
  <si>
    <t>B1836</t>
  </si>
  <si>
    <t>₹ 5687</t>
  </si>
  <si>
    <t>B1837</t>
  </si>
  <si>
    <t>₹ 18228</t>
  </si>
  <si>
    <t>B1838</t>
  </si>
  <si>
    <t>₹ 9584</t>
  </si>
  <si>
    <t>B1839</t>
  </si>
  <si>
    <t>₹ 13870</t>
  </si>
  <si>
    <t>B1840</t>
  </si>
  <si>
    <t>C0841</t>
  </si>
  <si>
    <t>₹ 16993</t>
  </si>
  <si>
    <t>B1841</t>
  </si>
  <si>
    <t>₹ 16002</t>
  </si>
  <si>
    <t>B1842</t>
  </si>
  <si>
    <t>₹ 14095</t>
  </si>
  <si>
    <t>B1843</t>
  </si>
  <si>
    <t>₹ 15808</t>
  </si>
  <si>
    <t>B1844</t>
  </si>
  <si>
    <t>₹ 11498</t>
  </si>
  <si>
    <t>B1845</t>
  </si>
  <si>
    <t>₹ 17915</t>
  </si>
  <si>
    <t>B1846</t>
  </si>
  <si>
    <t>₹ 5984</t>
  </si>
  <si>
    <t>B1847</t>
  </si>
  <si>
    <t>C0616</t>
  </si>
  <si>
    <t>₹ 4676</t>
  </si>
  <si>
    <t>B1848</t>
  </si>
  <si>
    <t>B1849</t>
  </si>
  <si>
    <t>B1850</t>
  </si>
  <si>
    <t>₹ 10012</t>
  </si>
  <si>
    <t>B1851</t>
  </si>
  <si>
    <t>₹ 18213</t>
  </si>
  <si>
    <t>B1852</t>
  </si>
  <si>
    <t>₹ 3505</t>
  </si>
  <si>
    <t>B1853</t>
  </si>
  <si>
    <t>₹ 13383</t>
  </si>
  <si>
    <t>B1854</t>
  </si>
  <si>
    <t>₹ 15959</t>
  </si>
  <si>
    <t>B1855</t>
  </si>
  <si>
    <t>₹ 4990</t>
  </si>
  <si>
    <t>B1856</t>
  </si>
  <si>
    <t>B1857</t>
  </si>
  <si>
    <t>C0613</t>
  </si>
  <si>
    <t>₹ 15342</t>
  </si>
  <si>
    <t>B1858</t>
  </si>
  <si>
    <t>₹ 6945</t>
  </si>
  <si>
    <t>B1859</t>
  </si>
  <si>
    <t>C0007</t>
  </si>
  <si>
    <t>₹ 8680</t>
  </si>
  <si>
    <t>B1860</t>
  </si>
  <si>
    <t>B1861</t>
  </si>
  <si>
    <t>C0669</t>
  </si>
  <si>
    <t>₹ 10337</t>
  </si>
  <si>
    <t>B1862</t>
  </si>
  <si>
    <t>₹ 4319</t>
  </si>
  <si>
    <t>B1863</t>
  </si>
  <si>
    <t>₹ 10864</t>
  </si>
  <si>
    <t>B1864</t>
  </si>
  <si>
    <t>₹ 9385</t>
  </si>
  <si>
    <t>B1865</t>
  </si>
  <si>
    <t>₹ 9549</t>
  </si>
  <si>
    <t>B1866</t>
  </si>
  <si>
    <t>₹ 7008</t>
  </si>
  <si>
    <t>B1867</t>
  </si>
  <si>
    <t>C0887</t>
  </si>
  <si>
    <t>₹ 16396</t>
  </si>
  <si>
    <t>B1868</t>
  </si>
  <si>
    <t>₹ 18548</t>
  </si>
  <si>
    <t>B1869</t>
  </si>
  <si>
    <t>₹ 4152</t>
  </si>
  <si>
    <t>B1870</t>
  </si>
  <si>
    <t>B1871</t>
  </si>
  <si>
    <t>₹ 10443</t>
  </si>
  <si>
    <t>B1872</t>
  </si>
  <si>
    <t>₹ 16871</t>
  </si>
  <si>
    <t>B1873</t>
  </si>
  <si>
    <t>₹ 14309</t>
  </si>
  <si>
    <t>B1874</t>
  </si>
  <si>
    <t>B1875</t>
  </si>
  <si>
    <t>₹ 18831</t>
  </si>
  <si>
    <t>B1876</t>
  </si>
  <si>
    <t>₹ 11267</t>
  </si>
  <si>
    <t>B1877</t>
  </si>
  <si>
    <t>C0118</t>
  </si>
  <si>
    <t>₹ 4209</t>
  </si>
  <si>
    <t>B1878</t>
  </si>
  <si>
    <t>₹ 15527</t>
  </si>
  <si>
    <t>B1879</t>
  </si>
  <si>
    <t>₹ 17275</t>
  </si>
  <si>
    <t>B1880</t>
  </si>
  <si>
    <t>₹ 4461</t>
  </si>
  <si>
    <t>B1881</t>
  </si>
  <si>
    <t>₹ 6494</t>
  </si>
  <si>
    <t>B1882</t>
  </si>
  <si>
    <t>₹ 8274</t>
  </si>
  <si>
    <t>B1883</t>
  </si>
  <si>
    <t>C0135</t>
  </si>
  <si>
    <t>₹ 15127</t>
  </si>
  <si>
    <t>B1884</t>
  </si>
  <si>
    <t>₹ 3819</t>
  </si>
  <si>
    <t>B1885</t>
  </si>
  <si>
    <t>₹ 12138</t>
  </si>
  <si>
    <t>B1886</t>
  </si>
  <si>
    <t>₹ 4128</t>
  </si>
  <si>
    <t>B1887</t>
  </si>
  <si>
    <t>C0844</t>
  </si>
  <si>
    <t>₹ 19996</t>
  </si>
  <si>
    <t>B1888</t>
  </si>
  <si>
    <t>₹ 15856</t>
  </si>
  <si>
    <t>B1889</t>
  </si>
  <si>
    <t>₹ 18840</t>
  </si>
  <si>
    <t>B1890</t>
  </si>
  <si>
    <t>₹ 10102</t>
  </si>
  <si>
    <t>B1891</t>
  </si>
  <si>
    <t>₹ 9106</t>
  </si>
  <si>
    <t>B1892</t>
  </si>
  <si>
    <t>₹ 5339</t>
  </si>
  <si>
    <t>B1893</t>
  </si>
  <si>
    <t>₹ 17356</t>
  </si>
  <si>
    <t>B1894</t>
  </si>
  <si>
    <t>₹ 10495</t>
  </si>
  <si>
    <t>B1895</t>
  </si>
  <si>
    <t>₹ 19850</t>
  </si>
  <si>
    <t>B1896</t>
  </si>
  <si>
    <t>₹ 18187</t>
  </si>
  <si>
    <t>B1897</t>
  </si>
  <si>
    <t>B1898</t>
  </si>
  <si>
    <t>C0342</t>
  </si>
  <si>
    <t>₹ 17762</t>
  </si>
  <si>
    <t>B1899</t>
  </si>
  <si>
    <t>B1900</t>
  </si>
  <si>
    <t>₹ 12594</t>
  </si>
  <si>
    <t>B1901</t>
  </si>
  <si>
    <t>₹ 15878</t>
  </si>
  <si>
    <t>B1902</t>
  </si>
  <si>
    <t>₹ 3998</t>
  </si>
  <si>
    <t>B1903</t>
  </si>
  <si>
    <t>C0237</t>
  </si>
  <si>
    <t>₹ 15586</t>
  </si>
  <si>
    <t>B1904</t>
  </si>
  <si>
    <t>₹ 18038</t>
  </si>
  <si>
    <t>B1905</t>
  </si>
  <si>
    <t>₹ 5460</t>
  </si>
  <si>
    <t>B1906</t>
  </si>
  <si>
    <t>₹ 13995</t>
  </si>
  <si>
    <t>B1907</t>
  </si>
  <si>
    <t>₹ 13211</t>
  </si>
  <si>
    <t>B1908</t>
  </si>
  <si>
    <t>₹ 16733</t>
  </si>
  <si>
    <t>B1909</t>
  </si>
  <si>
    <t>₹ 19447</t>
  </si>
  <si>
    <t>B1910</t>
  </si>
  <si>
    <t>₹ 16193</t>
  </si>
  <si>
    <t>B1911</t>
  </si>
  <si>
    <t>C0228</t>
  </si>
  <si>
    <t>₹ 19697</t>
  </si>
  <si>
    <t>B1912</t>
  </si>
  <si>
    <t>₹ 16278</t>
  </si>
  <si>
    <t>B1913</t>
  </si>
  <si>
    <t>₹ 18606</t>
  </si>
  <si>
    <t>B1914</t>
  </si>
  <si>
    <t>₹ 4324</t>
  </si>
  <si>
    <t>B1915</t>
  </si>
  <si>
    <t>₹ 16188</t>
  </si>
  <si>
    <t>B1916</t>
  </si>
  <si>
    <t>₹ 5180</t>
  </si>
  <si>
    <t>B1917</t>
  </si>
  <si>
    <t>₹ 11631</t>
  </si>
  <si>
    <t>B1918</t>
  </si>
  <si>
    <t>₹ 7466</t>
  </si>
  <si>
    <t>B1919</t>
  </si>
  <si>
    <t>₹ 16958</t>
  </si>
  <si>
    <t>B1920</t>
  </si>
  <si>
    <t>B1921</t>
  </si>
  <si>
    <t>C0696</t>
  </si>
  <si>
    <t>₹ 8529</t>
  </si>
  <si>
    <t>B1922</t>
  </si>
  <si>
    <t>B1923</t>
  </si>
  <si>
    <t>₹ 10314</t>
  </si>
  <si>
    <t>B1924</t>
  </si>
  <si>
    <t>₹ 14011</t>
  </si>
  <si>
    <t>B1925</t>
  </si>
  <si>
    <t>B1926</t>
  </si>
  <si>
    <t>₹ 10143</t>
  </si>
  <si>
    <t>B1927</t>
  </si>
  <si>
    <t>₹ 6247</t>
  </si>
  <si>
    <t>B1928</t>
  </si>
  <si>
    <t>₹ 12754</t>
  </si>
  <si>
    <t>B1929</t>
  </si>
  <si>
    <t>₹ 13968</t>
  </si>
  <si>
    <t>B1930</t>
  </si>
  <si>
    <t>₹ 3041</t>
  </si>
  <si>
    <t>B1931</t>
  </si>
  <si>
    <t>C0303</t>
  </si>
  <si>
    <t>₹ 10425</t>
  </si>
  <si>
    <t>B1932</t>
  </si>
  <si>
    <t>₹ 11374</t>
  </si>
  <si>
    <t>B1933</t>
  </si>
  <si>
    <t>₹ 16477</t>
  </si>
  <si>
    <t>B1934</t>
  </si>
  <si>
    <t>₹ 8706</t>
  </si>
  <si>
    <t>B1935</t>
  </si>
  <si>
    <t>B1936</t>
  </si>
  <si>
    <t>B1937</t>
  </si>
  <si>
    <t>₹ 8216</t>
  </si>
  <si>
    <t>B1938</t>
  </si>
  <si>
    <t>B1939</t>
  </si>
  <si>
    <t>₹ 19491</t>
  </si>
  <si>
    <t>B1940</t>
  </si>
  <si>
    <t>₹ 16289</t>
  </si>
  <si>
    <t>B1941</t>
  </si>
  <si>
    <t>C0425</t>
  </si>
  <si>
    <t>₹ 9540</t>
  </si>
  <si>
    <t>B1942</t>
  </si>
  <si>
    <t>C0433</t>
  </si>
  <si>
    <t>₹ 8509</t>
  </si>
  <si>
    <t>B1943</t>
  </si>
  <si>
    <t>₹ 5866</t>
  </si>
  <si>
    <t>B1944</t>
  </si>
  <si>
    <t>C0941</t>
  </si>
  <si>
    <t>₹ 4492</t>
  </si>
  <si>
    <t>B1945</t>
  </si>
  <si>
    <t>₹ 19614</t>
  </si>
  <si>
    <t>B1946</t>
  </si>
  <si>
    <t>C0622</t>
  </si>
  <si>
    <t>₹ 4983</t>
  </si>
  <si>
    <t>B1947</t>
  </si>
  <si>
    <t>₹ 5539</t>
  </si>
  <si>
    <t>B1948</t>
  </si>
  <si>
    <t>₹ 9797</t>
  </si>
  <si>
    <t>B1949</t>
  </si>
  <si>
    <t>₹ 4072</t>
  </si>
  <si>
    <t>B1950</t>
  </si>
  <si>
    <t>₹ 11335</t>
  </si>
  <si>
    <t>B1951</t>
  </si>
  <si>
    <t>₹ 13422</t>
  </si>
  <si>
    <t>B1952</t>
  </si>
  <si>
    <t>₹ 9499</t>
  </si>
  <si>
    <t>B1953</t>
  </si>
  <si>
    <t>₹ 10371</t>
  </si>
  <si>
    <t>B1954</t>
  </si>
  <si>
    <t>₹ 10327</t>
  </si>
  <si>
    <t>B1955</t>
  </si>
  <si>
    <t>C0573</t>
  </si>
  <si>
    <t>B1956</t>
  </si>
  <si>
    <t>₹ 9778</t>
  </si>
  <si>
    <t>B1957</t>
  </si>
  <si>
    <t>₹ 13168</t>
  </si>
  <si>
    <t>B1958</t>
  </si>
  <si>
    <t>₹ 14172</t>
  </si>
  <si>
    <t>B1959</t>
  </si>
  <si>
    <t>₹ 5049</t>
  </si>
  <si>
    <t>B1960</t>
  </si>
  <si>
    <t>₹ 5861</t>
  </si>
  <si>
    <t>B1961</t>
  </si>
  <si>
    <t>₹ 14402</t>
  </si>
  <si>
    <t>B1962</t>
  </si>
  <si>
    <t>₹ 13686</t>
  </si>
  <si>
    <t>B1963</t>
  </si>
  <si>
    <t>C0035</t>
  </si>
  <si>
    <t>₹ 18125</t>
  </si>
  <si>
    <t>B1964</t>
  </si>
  <si>
    <t>₹ 9107</t>
  </si>
  <si>
    <t>B1965</t>
  </si>
  <si>
    <t>₹ 18851</t>
  </si>
  <si>
    <t>B1966</t>
  </si>
  <si>
    <t>C0868</t>
  </si>
  <si>
    <t>₹ 19052</t>
  </si>
  <si>
    <t>B1967</t>
  </si>
  <si>
    <t>₹ 9551</t>
  </si>
  <si>
    <t>B1968</t>
  </si>
  <si>
    <t>C0398</t>
  </si>
  <si>
    <t>₹ 16562</t>
  </si>
  <si>
    <t>B1969</t>
  </si>
  <si>
    <t>₹ 6714</t>
  </si>
  <si>
    <t>B1970</t>
  </si>
  <si>
    <t>₹ 9732</t>
  </si>
  <si>
    <t>B1971</t>
  </si>
  <si>
    <t>₹ 18857</t>
  </si>
  <si>
    <t>B1972</t>
  </si>
  <si>
    <t>B1973</t>
  </si>
  <si>
    <t>₹ 13153</t>
  </si>
  <si>
    <t>B1974</t>
  </si>
  <si>
    <t>₹ 18406</t>
  </si>
  <si>
    <t>B1975</t>
  </si>
  <si>
    <t>₹ 19130</t>
  </si>
  <si>
    <t>B1976</t>
  </si>
  <si>
    <t>B1977</t>
  </si>
  <si>
    <t>₹ 11430</t>
  </si>
  <si>
    <t>B1978</t>
  </si>
  <si>
    <t>₹ 16509</t>
  </si>
  <si>
    <t>B1979</t>
  </si>
  <si>
    <t>₹ 5490</t>
  </si>
  <si>
    <t>B1980</t>
  </si>
  <si>
    <t>₹ 4434</t>
  </si>
  <si>
    <t>B1981</t>
  </si>
  <si>
    <t>₹ 7200</t>
  </si>
  <si>
    <t>B1982</t>
  </si>
  <si>
    <t>₹ 18902</t>
  </si>
  <si>
    <t>B1983</t>
  </si>
  <si>
    <t>₹ 15568</t>
  </si>
  <si>
    <t>B1984</t>
  </si>
  <si>
    <t>₹ 14496</t>
  </si>
  <si>
    <t>B1985</t>
  </si>
  <si>
    <t>₹ 5679</t>
  </si>
  <si>
    <t>B1986</t>
  </si>
  <si>
    <t>₹ 18185</t>
  </si>
  <si>
    <t>B1987</t>
  </si>
  <si>
    <t>₹ 12645</t>
  </si>
  <si>
    <t>B1988</t>
  </si>
  <si>
    <t>₹ 6616</t>
  </si>
  <si>
    <t>B1989</t>
  </si>
  <si>
    <t>₹ 4805</t>
  </si>
  <si>
    <t>B1990</t>
  </si>
  <si>
    <t>₹ 13194</t>
  </si>
  <si>
    <t>B1991</t>
  </si>
  <si>
    <t>₹ 14266</t>
  </si>
  <si>
    <t>B1992</t>
  </si>
  <si>
    <t>C0903</t>
  </si>
  <si>
    <t>₹ 13516</t>
  </si>
  <si>
    <t>B1993</t>
  </si>
  <si>
    <t>₹ 11667</t>
  </si>
  <si>
    <t>B1994</t>
  </si>
  <si>
    <t>₹ 12276</t>
  </si>
  <si>
    <t>B1995</t>
  </si>
  <si>
    <t>₹ 6930</t>
  </si>
  <si>
    <t>B1996</t>
  </si>
  <si>
    <t>₹ 11533</t>
  </si>
  <si>
    <t>B1997</t>
  </si>
  <si>
    <t>₹ 6291</t>
  </si>
  <si>
    <t>B1998</t>
  </si>
  <si>
    <t>₹ 7143</t>
  </si>
  <si>
    <t>B1999</t>
  </si>
  <si>
    <t>₹ 15202</t>
  </si>
  <si>
    <t>B2000</t>
  </si>
  <si>
    <t>Date</t>
  </si>
  <si>
    <t>Day</t>
  </si>
  <si>
    <t>Month</t>
  </si>
  <si>
    <t>Year</t>
  </si>
  <si>
    <t>Weekday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</si>
  <si>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</si>
  <si>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</si>
  <si>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</si>
  <si>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</si>
  <si>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</si>
  <si>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</si>
  <si>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</si>
  <si>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</si>
  <si>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</si>
  <si>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</si>
  <si>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</si>
  <si>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</si>
  <si>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</si>
  <si>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</si>
  <si>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</si>
  <si>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</si>
  <si>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</si>
  <si>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</si>
  <si>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</si>
  <si>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D20241231</t>
  </si>
  <si>
    <t>RoomType</t>
  </si>
  <si>
    <t>BedType</t>
  </si>
  <si>
    <t>Capacity</t>
  </si>
  <si>
    <t>PricePerNight</t>
  </si>
  <si>
    <t>RoomCategory</t>
  </si>
  <si>
    <t>Standard</t>
  </si>
  <si>
    <t>Queen</t>
  </si>
  <si>
    <t>₹ 3475</t>
  </si>
  <si>
    <t>Premium</t>
  </si>
  <si>
    <t>Deluxe</t>
  </si>
  <si>
    <t>King</t>
  </si>
  <si>
    <t>₹ 3244</t>
  </si>
  <si>
    <t>Suite</t>
  </si>
  <si>
    <t>Double</t>
  </si>
  <si>
    <t>₹ 5474</t>
  </si>
  <si>
    <t>₹ 4038</t>
  </si>
  <si>
    <t>₹ 4161</t>
  </si>
  <si>
    <t>₹ 2844</t>
  </si>
  <si>
    <t>₹ 4558</t>
  </si>
  <si>
    <t>Single</t>
  </si>
  <si>
    <t>₹ 4154</t>
  </si>
  <si>
    <t>₹ 2863</t>
  </si>
  <si>
    <t>₹ 3737</t>
  </si>
  <si>
    <t>FirstName</t>
  </si>
  <si>
    <t>LastName</t>
  </si>
  <si>
    <t>Email</t>
  </si>
  <si>
    <t>Phone</t>
  </si>
  <si>
    <t>Arjun</t>
  </si>
  <si>
    <t>Sharma</t>
  </si>
  <si>
    <t>customer1@email.com</t>
  </si>
  <si>
    <t>+91 9835231182</t>
  </si>
  <si>
    <t>C0002</t>
  </si>
  <si>
    <t>Sneha</t>
  </si>
  <si>
    <t>Iyer</t>
  </si>
  <si>
    <t>customer2@email.com</t>
  </si>
  <si>
    <t>+91 9236643186</t>
  </si>
  <si>
    <t>Vivaan</t>
  </si>
  <si>
    <t>Shah</t>
  </si>
  <si>
    <t>customer3@email.com</t>
  </si>
  <si>
    <t>+91 8370789065</t>
  </si>
  <si>
    <t>Mehta</t>
  </si>
  <si>
    <t>customer4@email.com</t>
  </si>
  <si>
    <t>+91 9795100087</t>
  </si>
  <si>
    <t>Aditya</t>
  </si>
  <si>
    <t>customer5@email.com</t>
  </si>
  <si>
    <t>+91 7907958101</t>
  </si>
  <si>
    <t>Meera</t>
  </si>
  <si>
    <t>Reddy</t>
  </si>
  <si>
    <t>customer6@email.com</t>
  </si>
  <si>
    <t>+91 8161141105</t>
  </si>
  <si>
    <t>Riya</t>
  </si>
  <si>
    <t>customer7@email.com</t>
  </si>
  <si>
    <t>+91 8637506864</t>
  </si>
  <si>
    <t>Isha</t>
  </si>
  <si>
    <t>customer8@email.com</t>
  </si>
  <si>
    <t>+91 8924970079</t>
  </si>
  <si>
    <t>Gupta</t>
  </si>
  <si>
    <t>customer9@email.com</t>
  </si>
  <si>
    <t>+91 6561296727</t>
  </si>
  <si>
    <t>customer10@email.com</t>
  </si>
  <si>
    <t>+91 9314246384</t>
  </si>
  <si>
    <t>Singh</t>
  </si>
  <si>
    <t>customer11@email.com</t>
  </si>
  <si>
    <t>+91 8377531463</t>
  </si>
  <si>
    <t>customer12@email.com</t>
  </si>
  <si>
    <t>+91 9052142206</t>
  </si>
  <si>
    <t>customer13@email.com</t>
  </si>
  <si>
    <t>+91 7739216792</t>
  </si>
  <si>
    <t>Vihaan</t>
  </si>
  <si>
    <t>customer14@email.com</t>
  </si>
  <si>
    <t>+91 7488052351</t>
  </si>
  <si>
    <t>customer15@email.com</t>
  </si>
  <si>
    <t>+91 8879733755</t>
  </si>
  <si>
    <t>customer16@email.com</t>
  </si>
  <si>
    <t>+91 6886700635</t>
  </si>
  <si>
    <t>customer17@email.com</t>
  </si>
  <si>
    <t>+91 9044665742</t>
  </si>
  <si>
    <t>customer18@email.com</t>
  </si>
  <si>
    <t>+91 8694201491</t>
  </si>
  <si>
    <t>C0019</t>
  </si>
  <si>
    <t>customer19@email.com</t>
  </si>
  <si>
    <t>+91 9623531820</t>
  </si>
  <si>
    <t>customer20@email.com</t>
  </si>
  <si>
    <t>+91 9363786155</t>
  </si>
  <si>
    <t>Pillai</t>
  </si>
  <si>
    <t>customer21@email.com</t>
  </si>
  <si>
    <t>+91 8702743847</t>
  </si>
  <si>
    <t>customer22@email.com</t>
  </si>
  <si>
    <t>+91 8260951786</t>
  </si>
  <si>
    <t>customer23@email.com</t>
  </si>
  <si>
    <t>+91 9547802307</t>
  </si>
  <si>
    <t>C0024</t>
  </si>
  <si>
    <t>customer24@email.com</t>
  </si>
  <si>
    <t>+91 7966872368</t>
  </si>
  <si>
    <t>customer25@email.com</t>
  </si>
  <si>
    <t>+91 7085247131</t>
  </si>
  <si>
    <t>customer26@email.com</t>
  </si>
  <si>
    <t>+91 6085891192</t>
  </si>
  <si>
    <t>customer27@email.com</t>
  </si>
  <si>
    <t>+91 7735070750</t>
  </si>
  <si>
    <t>customer28@email.com</t>
  </si>
  <si>
    <t>+91 8810044392</t>
  </si>
  <si>
    <t>Ananya</t>
  </si>
  <si>
    <t>customer29@email.com</t>
  </si>
  <si>
    <t>+91 7126168777</t>
  </si>
  <si>
    <t>customer30@email.com</t>
  </si>
  <si>
    <t>+91 7825472846</t>
  </si>
  <si>
    <t>Patel</t>
  </si>
  <si>
    <t>customer31@email.com</t>
  </si>
  <si>
    <t>+91 8195779134</t>
  </si>
  <si>
    <t>customer32@email.com</t>
  </si>
  <si>
    <t>+91 9978828838</t>
  </si>
  <si>
    <t>customer33@email.com</t>
  </si>
  <si>
    <t>+91 6048859937</t>
  </si>
  <si>
    <t>Aarav</t>
  </si>
  <si>
    <t>customer34@email.com</t>
  </si>
  <si>
    <t>+91 7592671773</t>
  </si>
  <si>
    <t>customer35@email.com</t>
  </si>
  <si>
    <t>+91 9770782537</t>
  </si>
  <si>
    <t>customer36@email.com</t>
  </si>
  <si>
    <t>+91 6171692140</t>
  </si>
  <si>
    <t>customer37@email.com</t>
  </si>
  <si>
    <t>+91 7874836965</t>
  </si>
  <si>
    <t>C0038</t>
  </si>
  <si>
    <t>customer38@email.com</t>
  </si>
  <si>
    <t>+91 8131656020</t>
  </si>
  <si>
    <t>customer39@email.com</t>
  </si>
  <si>
    <t>+91 9180705437</t>
  </si>
  <si>
    <t>customer40@email.com</t>
  </si>
  <si>
    <t>+91 7727990268</t>
  </si>
  <si>
    <t>customer41@email.com</t>
  </si>
  <si>
    <t>+91 7849108835</t>
  </si>
  <si>
    <t>Nair</t>
  </si>
  <si>
    <t>customer42@email.com</t>
  </si>
  <si>
    <t>+91 7797071374</t>
  </si>
  <si>
    <t>customer43@email.com</t>
  </si>
  <si>
    <t>+91 7562785669</t>
  </si>
  <si>
    <t>customer44@email.com</t>
  </si>
  <si>
    <t>+91 8853289256</t>
  </si>
  <si>
    <t>customer45@email.com</t>
  </si>
  <si>
    <t>+91 8159978164</t>
  </si>
  <si>
    <t>customer46@email.com</t>
  </si>
  <si>
    <t>+91 8695102973</t>
  </si>
  <si>
    <t>customer47@email.com</t>
  </si>
  <si>
    <t>+91 7102665784</t>
  </si>
  <si>
    <t>customer48@email.com</t>
  </si>
  <si>
    <t>+91 8693145391</t>
  </si>
  <si>
    <t>customer49@email.com</t>
  </si>
  <si>
    <t>+91 7823448015</t>
  </si>
  <si>
    <t>customer50@email.com</t>
  </si>
  <si>
    <t>+91 6086453238</t>
  </si>
  <si>
    <t>customer51@email.com</t>
  </si>
  <si>
    <t>+91 6644009251</t>
  </si>
  <si>
    <t>customer52@email.com</t>
  </si>
  <si>
    <t>+91 9754006125</t>
  </si>
  <si>
    <t>customer53@email.com</t>
  </si>
  <si>
    <t>+91 8767050435</t>
  </si>
  <si>
    <t>customer54@email.com</t>
  </si>
  <si>
    <t>+91 7977075337</t>
  </si>
  <si>
    <t>customer55@email.com</t>
  </si>
  <si>
    <t>+91 6435708535</t>
  </si>
  <si>
    <t>customer56@email.com</t>
  </si>
  <si>
    <t>+91 7647084891</t>
  </si>
  <si>
    <t>customer57@email.com</t>
  </si>
  <si>
    <t>+91 7322669945</t>
  </si>
  <si>
    <t>customer58@email.com</t>
  </si>
  <si>
    <t>+91 7558252117</t>
  </si>
  <si>
    <t>customer59@email.com</t>
  </si>
  <si>
    <t>+91 6757802478</t>
  </si>
  <si>
    <t>customer60@email.com</t>
  </si>
  <si>
    <t>+91 8309948434</t>
  </si>
  <si>
    <t>customer61@email.com</t>
  </si>
  <si>
    <t>+91 9471371877</t>
  </si>
  <si>
    <t>customer62@email.com</t>
  </si>
  <si>
    <t>+91 9020577116</t>
  </si>
  <si>
    <t>customer63@email.com</t>
  </si>
  <si>
    <t>+91 9374627190</t>
  </si>
  <si>
    <t>customer64@email.com</t>
  </si>
  <si>
    <t>+91 8934991287</t>
  </si>
  <si>
    <t>C0065</t>
  </si>
  <si>
    <t>customer65@email.com</t>
  </si>
  <si>
    <t>+91 8334217440</t>
  </si>
  <si>
    <t>customer66@email.com</t>
  </si>
  <si>
    <t>+91 8475681717</t>
  </si>
  <si>
    <t>customer67@email.com</t>
  </si>
  <si>
    <t>+91 7885660925</t>
  </si>
  <si>
    <t>customer68@email.com</t>
  </si>
  <si>
    <t>+91 7116345645</t>
  </si>
  <si>
    <t>customer69@email.com</t>
  </si>
  <si>
    <t>+91 6825519853</t>
  </si>
  <si>
    <t>customer70@email.com</t>
  </si>
  <si>
    <t>+91 7395141857</t>
  </si>
  <si>
    <t>customer71@email.com</t>
  </si>
  <si>
    <t>+91 8907053213</t>
  </si>
  <si>
    <t>customer72@email.com</t>
  </si>
  <si>
    <t>+91 8038378523</t>
  </si>
  <si>
    <t>customer73@email.com</t>
  </si>
  <si>
    <t>+91 8292928295</t>
  </si>
  <si>
    <t>C0074</t>
  </si>
  <si>
    <t>customer74@email.com</t>
  </si>
  <si>
    <t>+91 7386889785</t>
  </si>
  <si>
    <t>C0075</t>
  </si>
  <si>
    <t>customer75@email.com</t>
  </si>
  <si>
    <t>+91 8840032117</t>
  </si>
  <si>
    <t>customer76@email.com</t>
  </si>
  <si>
    <t>+91 8920055192</t>
  </si>
  <si>
    <t>customer77@email.com</t>
  </si>
  <si>
    <t>+91 8840027606</t>
  </si>
  <si>
    <t>C0078</t>
  </si>
  <si>
    <t>customer78@email.com</t>
  </si>
  <si>
    <t>+91 6015690801</t>
  </si>
  <si>
    <t>customer79@email.com</t>
  </si>
  <si>
    <t>+91 6475375287</t>
  </si>
  <si>
    <t>C0080</t>
  </si>
  <si>
    <t>customer80@email.com</t>
  </si>
  <si>
    <t>+91 6473939080</t>
  </si>
  <si>
    <t>C0081</t>
  </si>
  <si>
    <t>customer81@email.com</t>
  </si>
  <si>
    <t>+91 9613839463</t>
  </si>
  <si>
    <t>customer82@email.com</t>
  </si>
  <si>
    <t>+91 8141387036</t>
  </si>
  <si>
    <t>customer83@email.com</t>
  </si>
  <si>
    <t>+91 9028514775</t>
  </si>
  <si>
    <t>customer84@email.com</t>
  </si>
  <si>
    <t>+91 9457869514</t>
  </si>
  <si>
    <t>customer85@email.com</t>
  </si>
  <si>
    <t>+91 7217326840</t>
  </si>
  <si>
    <t>customer86@email.com</t>
  </si>
  <si>
    <t>+91 9212956493</t>
  </si>
  <si>
    <t>C0087</t>
  </si>
  <si>
    <t>customer87@email.com</t>
  </si>
  <si>
    <t>+91 8836434641</t>
  </si>
  <si>
    <t>customer88@email.com</t>
  </si>
  <si>
    <t>+91 9051031805</t>
  </si>
  <si>
    <t>customer89@email.com</t>
  </si>
  <si>
    <t>+91 6069027153</t>
  </si>
  <si>
    <t>customer90@email.com</t>
  </si>
  <si>
    <t>+91 7693943842</t>
  </si>
  <si>
    <t>customer91@email.com</t>
  </si>
  <si>
    <t>+91 8911686438</t>
  </si>
  <si>
    <t>customer92@email.com</t>
  </si>
  <si>
    <t>+91 6831140407</t>
  </si>
  <si>
    <t>C0093</t>
  </si>
  <si>
    <t>customer93@email.com</t>
  </si>
  <si>
    <t>+91 6801176061</t>
  </si>
  <si>
    <t>customer94@email.com</t>
  </si>
  <si>
    <t>+91 9562773704</t>
  </si>
  <si>
    <t>customer95@email.com</t>
  </si>
  <si>
    <t>+91 7003738649</t>
  </si>
  <si>
    <t>customer96@email.com</t>
  </si>
  <si>
    <t>+91 7988073229</t>
  </si>
  <si>
    <t>customer97@email.com</t>
  </si>
  <si>
    <t>+91 6910177385</t>
  </si>
  <si>
    <t>customer98@email.com</t>
  </si>
  <si>
    <t>+91 6357309339</t>
  </si>
  <si>
    <t>customer99@email.com</t>
  </si>
  <si>
    <t>+91 9878861200</t>
  </si>
  <si>
    <t>customer100@email.com</t>
  </si>
  <si>
    <t>+91 7665675379</t>
  </si>
  <si>
    <t>customer101@email.com</t>
  </si>
  <si>
    <t>+91 9063476162</t>
  </si>
  <si>
    <t>customer102@email.com</t>
  </si>
  <si>
    <t>+91 9347333116</t>
  </si>
  <si>
    <t>customer103@email.com</t>
  </si>
  <si>
    <t>+91 7672674791</t>
  </si>
  <si>
    <t>customer104@email.com</t>
  </si>
  <si>
    <t>+91 6982850629</t>
  </si>
  <si>
    <t>C0105</t>
  </si>
  <si>
    <t>customer105@email.com</t>
  </si>
  <si>
    <t>+91 9442672805</t>
  </si>
  <si>
    <t>C0106</t>
  </si>
  <si>
    <t>customer106@email.com</t>
  </si>
  <si>
    <t>+91 9764818385</t>
  </si>
  <si>
    <t>customer107@email.com</t>
  </si>
  <si>
    <t>+91 8879779299</t>
  </si>
  <si>
    <t>customer108@email.com</t>
  </si>
  <si>
    <t>+91 6047957598</t>
  </si>
  <si>
    <t>customer109@email.com</t>
  </si>
  <si>
    <t>+91 6398663920</t>
  </si>
  <si>
    <t>customer110@email.com</t>
  </si>
  <si>
    <t>+91 6108614573</t>
  </si>
  <si>
    <t>customer111@email.com</t>
  </si>
  <si>
    <t>+91 8989428383</t>
  </si>
  <si>
    <t>customer112@email.com</t>
  </si>
  <si>
    <t>+91 9788284123</t>
  </si>
  <si>
    <t>customer113@email.com</t>
  </si>
  <si>
    <t>+91 9421641780</t>
  </si>
  <si>
    <t>customer114@email.com</t>
  </si>
  <si>
    <t>+91 6756584422</t>
  </si>
  <si>
    <t>customer115@email.com</t>
  </si>
  <si>
    <t>+91 7715141213</t>
  </si>
  <si>
    <t>customer116@email.com</t>
  </si>
  <si>
    <t>+91 6673496434</t>
  </si>
  <si>
    <t>customer117@email.com</t>
  </si>
  <si>
    <t>+91 6883776978</t>
  </si>
  <si>
    <t>customer118@email.com</t>
  </si>
  <si>
    <t>+91 8426133738</t>
  </si>
  <si>
    <t>customer119@email.com</t>
  </si>
  <si>
    <t>+91 9348456087</t>
  </si>
  <si>
    <t>customer120@email.com</t>
  </si>
  <si>
    <t>+91 6913596811</t>
  </si>
  <si>
    <t>C0121</t>
  </si>
  <si>
    <t>customer121@email.com</t>
  </si>
  <si>
    <t>+91 9433925221</t>
  </si>
  <si>
    <t>customer122@email.com</t>
  </si>
  <si>
    <t>+91 7795090754</t>
  </si>
  <si>
    <t>customer123@email.com</t>
  </si>
  <si>
    <t>+91 9893178759</t>
  </si>
  <si>
    <t>C0124</t>
  </si>
  <si>
    <t>customer124@email.com</t>
  </si>
  <si>
    <t>+91 6824516144</t>
  </si>
  <si>
    <t>customer125@email.com</t>
  </si>
  <si>
    <t>+91 9294970706</t>
  </si>
  <si>
    <t>customer126@email.com</t>
  </si>
  <si>
    <t>+91 9495608360</t>
  </si>
  <si>
    <t>customer127@email.com</t>
  </si>
  <si>
    <t>+91 8917843436</t>
  </si>
  <si>
    <t>customer128@email.com</t>
  </si>
  <si>
    <t>+91 7159621772</t>
  </si>
  <si>
    <t>customer129@email.com</t>
  </si>
  <si>
    <t>+91 9628132639</t>
  </si>
  <si>
    <t>customer130@email.com</t>
  </si>
  <si>
    <t>+91 8376029137</t>
  </si>
  <si>
    <t>customer131@email.com</t>
  </si>
  <si>
    <t>+91 7403109346</t>
  </si>
  <si>
    <t>customer132@email.com</t>
  </si>
  <si>
    <t>+91 8522526498</t>
  </si>
  <si>
    <t>customer133@email.com</t>
  </si>
  <si>
    <t>+91 9484119637</t>
  </si>
  <si>
    <t>C0134</t>
  </si>
  <si>
    <t>customer134@email.com</t>
  </si>
  <si>
    <t>+91 7022574044</t>
  </si>
  <si>
    <t>customer135@email.com</t>
  </si>
  <si>
    <t>+91 8742060268</t>
  </si>
  <si>
    <t>customer136@email.com</t>
  </si>
  <si>
    <t>+91 6868935450</t>
  </si>
  <si>
    <t>customer137@email.com</t>
  </si>
  <si>
    <t>+91 6748154635</t>
  </si>
  <si>
    <t>customer138@email.com</t>
  </si>
  <si>
    <t>+91 9576369662</t>
  </si>
  <si>
    <t>customer139@email.com</t>
  </si>
  <si>
    <t>+91 7167875208</t>
  </si>
  <si>
    <t>customer140@email.com</t>
  </si>
  <si>
    <t>+91 8415729919</t>
  </si>
  <si>
    <t>customer141@email.com</t>
  </si>
  <si>
    <t>+91 8271671972</t>
  </si>
  <si>
    <t>customer142@email.com</t>
  </si>
  <si>
    <t>+91 7638561471</t>
  </si>
  <si>
    <t>customer143@email.com</t>
  </si>
  <si>
    <t>+91 8511491087</t>
  </si>
  <si>
    <t>customer144@email.com</t>
  </si>
  <si>
    <t>+91 9752882669</t>
  </si>
  <si>
    <t>customer145@email.com</t>
  </si>
  <si>
    <t>+91 8746890360</t>
  </si>
  <si>
    <t>customer146@email.com</t>
  </si>
  <si>
    <t>+91 6434378178</t>
  </si>
  <si>
    <t>customer147@email.com</t>
  </si>
  <si>
    <t>+91 9031194847</t>
  </si>
  <si>
    <t>customer148@email.com</t>
  </si>
  <si>
    <t>+91 6440087741</t>
  </si>
  <si>
    <t>customer149@email.com</t>
  </si>
  <si>
    <t>+91 6871795448</t>
  </si>
  <si>
    <t>customer150@email.com</t>
  </si>
  <si>
    <t>+91 6705238891</t>
  </si>
  <si>
    <t>customer151@email.com</t>
  </si>
  <si>
    <t>+91 7634088813</t>
  </si>
  <si>
    <t>customer152@email.com</t>
  </si>
  <si>
    <t>+91 8158645379</t>
  </si>
  <si>
    <t>customer153@email.com</t>
  </si>
  <si>
    <t>+91 6892964650</t>
  </si>
  <si>
    <t>customer154@email.com</t>
  </si>
  <si>
    <t>+91 8410313251</t>
  </si>
  <si>
    <t>customer155@email.com</t>
  </si>
  <si>
    <t>+91 8966911116</t>
  </si>
  <si>
    <t>customer156@email.com</t>
  </si>
  <si>
    <t>+91 9959554373</t>
  </si>
  <si>
    <t>C0157</t>
  </si>
  <si>
    <t>customer157@email.com</t>
  </si>
  <si>
    <t>+91 8786972441</t>
  </si>
  <si>
    <t>customer158@email.com</t>
  </si>
  <si>
    <t>+91 6168160452</t>
  </si>
  <si>
    <t>customer159@email.com</t>
  </si>
  <si>
    <t>+91 8776784186</t>
  </si>
  <si>
    <t>C0160</t>
  </si>
  <si>
    <t>customer160@email.com</t>
  </si>
  <si>
    <t>+91 7011147607</t>
  </si>
  <si>
    <t>customer161@email.com</t>
  </si>
  <si>
    <t>+91 8083722688</t>
  </si>
  <si>
    <t>customer162@email.com</t>
  </si>
  <si>
    <t>+91 7660946914</t>
  </si>
  <si>
    <t>customer163@email.com</t>
  </si>
  <si>
    <t>+91 6193495801</t>
  </si>
  <si>
    <t>customer164@email.com</t>
  </si>
  <si>
    <t>+91 8973813988</t>
  </si>
  <si>
    <t>customer165@email.com</t>
  </si>
  <si>
    <t>+91 9543541786</t>
  </si>
  <si>
    <t>customer166@email.com</t>
  </si>
  <si>
    <t>+91 7425373174</t>
  </si>
  <si>
    <t>customer167@email.com</t>
  </si>
  <si>
    <t>+91 8995972456</t>
  </si>
  <si>
    <t>customer168@email.com</t>
  </si>
  <si>
    <t>+91 7846088617</t>
  </si>
  <si>
    <t>customer169@email.com</t>
  </si>
  <si>
    <t>+91 7844128403</t>
  </si>
  <si>
    <t>customer170@email.com</t>
  </si>
  <si>
    <t>+91 7572739896</t>
  </si>
  <si>
    <t>customer171@email.com</t>
  </si>
  <si>
    <t>+91 9344170692</t>
  </si>
  <si>
    <t>customer172@email.com</t>
  </si>
  <si>
    <t>+91 7413014229</t>
  </si>
  <si>
    <t>customer173@email.com</t>
  </si>
  <si>
    <t>+91 9544624861</t>
  </si>
  <si>
    <t>customer174@email.com</t>
  </si>
  <si>
    <t>+91 7760583497</t>
  </si>
  <si>
    <t>customer175@email.com</t>
  </si>
  <si>
    <t>+91 9764640658</t>
  </si>
  <si>
    <t>customer176@email.com</t>
  </si>
  <si>
    <t>+91 9385142930</t>
  </si>
  <si>
    <t>customer177@email.com</t>
  </si>
  <si>
    <t>+91 8184128851</t>
  </si>
  <si>
    <t>customer178@email.com</t>
  </si>
  <si>
    <t>+91 7809309722</t>
  </si>
  <si>
    <t>customer179@email.com</t>
  </si>
  <si>
    <t>+91 7347039152</t>
  </si>
  <si>
    <t>customer180@email.com</t>
  </si>
  <si>
    <t>+91 8977812389</t>
  </si>
  <si>
    <t>customer181@email.com</t>
  </si>
  <si>
    <t>+91 8029349549</t>
  </si>
  <si>
    <t>customer182@email.com</t>
  </si>
  <si>
    <t>+91 9023140772</t>
  </si>
  <si>
    <t>customer183@email.com</t>
  </si>
  <si>
    <t>+91 6427319414</t>
  </si>
  <si>
    <t>customer184@email.com</t>
  </si>
  <si>
    <t>+91 7463544754</t>
  </si>
  <si>
    <t>C0185</t>
  </si>
  <si>
    <t>customer185@email.com</t>
  </si>
  <si>
    <t>+91 8966612259</t>
  </si>
  <si>
    <t>C0186</t>
  </si>
  <si>
    <t>customer186@email.com</t>
  </si>
  <si>
    <t>+91 9784326352</t>
  </si>
  <si>
    <t>C0187</t>
  </si>
  <si>
    <t>customer187@email.com</t>
  </si>
  <si>
    <t>+91 7044660300</t>
  </si>
  <si>
    <t>customer188@email.com</t>
  </si>
  <si>
    <t>+91 8286043263</t>
  </si>
  <si>
    <t>customer189@email.com</t>
  </si>
  <si>
    <t>+91 9923590597</t>
  </si>
  <si>
    <t>customer190@email.com</t>
  </si>
  <si>
    <t>+91 7650902300</t>
  </si>
  <si>
    <t>customer191@email.com</t>
  </si>
  <si>
    <t>+91 8970852583</t>
  </si>
  <si>
    <t>customer192@email.com</t>
  </si>
  <si>
    <t>+91 6876838125</t>
  </si>
  <si>
    <t>customer193@email.com</t>
  </si>
  <si>
    <t>+91 8751789720</t>
  </si>
  <si>
    <t>customer194@email.com</t>
  </si>
  <si>
    <t>+91 6103392208</t>
  </si>
  <si>
    <t>customer195@email.com</t>
  </si>
  <si>
    <t>+91 6069928277</t>
  </si>
  <si>
    <t>C0196</t>
  </si>
  <si>
    <t>customer196@email.com</t>
  </si>
  <si>
    <t>+91 7368794171</t>
  </si>
  <si>
    <t>customer197@email.com</t>
  </si>
  <si>
    <t>+91 8185719784</t>
  </si>
  <si>
    <t>customer198@email.com</t>
  </si>
  <si>
    <t>+91 6152249384</t>
  </si>
  <si>
    <t>C0199</t>
  </si>
  <si>
    <t>customer199@email.com</t>
  </si>
  <si>
    <t>+91 9159574713</t>
  </si>
  <si>
    <t>customer200@email.com</t>
  </si>
  <si>
    <t>+91 8707597623</t>
  </si>
  <si>
    <t>customer201@email.com</t>
  </si>
  <si>
    <t>+91 6954882142</t>
  </si>
  <si>
    <t>customer202@email.com</t>
  </si>
  <si>
    <t>+91 6968983069</t>
  </si>
  <si>
    <t>C0203</t>
  </si>
  <si>
    <t>customer203@email.com</t>
  </si>
  <si>
    <t>+91 8768946341</t>
  </si>
  <si>
    <t>customer204@email.com</t>
  </si>
  <si>
    <t>+91 9464673338</t>
  </si>
  <si>
    <t>customer205@email.com</t>
  </si>
  <si>
    <t>+91 6186283274</t>
  </si>
  <si>
    <t>customer206@email.com</t>
  </si>
  <si>
    <t>+91 9749287981</t>
  </si>
  <si>
    <t>C0207</t>
  </si>
  <si>
    <t>customer207@email.com</t>
  </si>
  <si>
    <t>+91 6504460247</t>
  </si>
  <si>
    <t>customer208@email.com</t>
  </si>
  <si>
    <t>+91 6433375667</t>
  </si>
  <si>
    <t>customer209@email.com</t>
  </si>
  <si>
    <t>+91 7511510869</t>
  </si>
  <si>
    <t>customer210@email.com</t>
  </si>
  <si>
    <t>+91 8616357936</t>
  </si>
  <si>
    <t>customer211@email.com</t>
  </si>
  <si>
    <t>+91 7390003826</t>
  </si>
  <si>
    <t>C0212</t>
  </si>
  <si>
    <t>customer212@email.com</t>
  </si>
  <si>
    <t>+91 9688917330</t>
  </si>
  <si>
    <t>customer213@email.com</t>
  </si>
  <si>
    <t>+91 9238424861</t>
  </si>
  <si>
    <t>customer214@email.com</t>
  </si>
  <si>
    <t>+91 8768187066</t>
  </si>
  <si>
    <t>C0215</t>
  </si>
  <si>
    <t>customer215@email.com</t>
  </si>
  <si>
    <t>+91 6720255192</t>
  </si>
  <si>
    <t>customer216@email.com</t>
  </si>
  <si>
    <t>+91 7378247485</t>
  </si>
  <si>
    <t>C0217</t>
  </si>
  <si>
    <t>customer217@email.com</t>
  </si>
  <si>
    <t>+91 7231168450</t>
  </si>
  <si>
    <t>C0218</t>
  </si>
  <si>
    <t>customer218@email.com</t>
  </si>
  <si>
    <t>+91 8988238772</t>
  </si>
  <si>
    <t>C0219</t>
  </si>
  <si>
    <t>customer219@email.com</t>
  </si>
  <si>
    <t>+91 9110916765</t>
  </si>
  <si>
    <t>customer220@email.com</t>
  </si>
  <si>
    <t>+91 8835263963</t>
  </si>
  <si>
    <t>customer221@email.com</t>
  </si>
  <si>
    <t>+91 7766708726</t>
  </si>
  <si>
    <t>customer222@email.com</t>
  </si>
  <si>
    <t>+91 6942326548</t>
  </si>
  <si>
    <t>customer223@email.com</t>
  </si>
  <si>
    <t>+91 8775473518</t>
  </si>
  <si>
    <t>customer224@email.com</t>
  </si>
  <si>
    <t>+91 9670441987</t>
  </si>
  <si>
    <t>customer225@email.com</t>
  </si>
  <si>
    <t>+91 9068602289</t>
  </si>
  <si>
    <t>customer226@email.com</t>
  </si>
  <si>
    <t>+91 8377327568</t>
  </si>
  <si>
    <t>customer227@email.com</t>
  </si>
  <si>
    <t>+91 7361589285</t>
  </si>
  <si>
    <t>customer228@email.com</t>
  </si>
  <si>
    <t>+91 7025805139</t>
  </si>
  <si>
    <t>customer229@email.com</t>
  </si>
  <si>
    <t>+91 7156417200</t>
  </si>
  <si>
    <t>customer230@email.com</t>
  </si>
  <si>
    <t>+91 9598767695</t>
  </si>
  <si>
    <t>customer231@email.com</t>
  </si>
  <si>
    <t>+91 7951982905</t>
  </si>
  <si>
    <t>customer232@email.com</t>
  </si>
  <si>
    <t>+91 6916751486</t>
  </si>
  <si>
    <t>customer233@email.com</t>
  </si>
  <si>
    <t>+91 9082267878</t>
  </si>
  <si>
    <t>customer234@email.com</t>
  </si>
  <si>
    <t>+91 8920861109</t>
  </si>
  <si>
    <t>customer235@email.com</t>
  </si>
  <si>
    <t>+91 7685384190</t>
  </si>
  <si>
    <t>customer236@email.com</t>
  </si>
  <si>
    <t>+91 6346417696</t>
  </si>
  <si>
    <t>customer237@email.com</t>
  </si>
  <si>
    <t>+91 8373915975</t>
  </si>
  <si>
    <t>customer238@email.com</t>
  </si>
  <si>
    <t>+91 8707451231</t>
  </si>
  <si>
    <t>customer239@email.com</t>
  </si>
  <si>
    <t>+91 7419080632</t>
  </si>
  <si>
    <t>customer240@email.com</t>
  </si>
  <si>
    <t>+91 9355842366</t>
  </si>
  <si>
    <t>customer241@email.com</t>
  </si>
  <si>
    <t>+91 9992919002</t>
  </si>
  <si>
    <t>customer242@email.com</t>
  </si>
  <si>
    <t>+91 6474259940</t>
  </si>
  <si>
    <t>customer243@email.com</t>
  </si>
  <si>
    <t>+91 9255510128</t>
  </si>
  <si>
    <t>customer244@email.com</t>
  </si>
  <si>
    <t>+91 6037196741</t>
  </si>
  <si>
    <t>customer245@email.com</t>
  </si>
  <si>
    <t>+91 9890954703</t>
  </si>
  <si>
    <t>customer246@email.com</t>
  </si>
  <si>
    <t>+91 8356863826</t>
  </si>
  <si>
    <t>customer247@email.com</t>
  </si>
  <si>
    <t>+91 9373967550</t>
  </si>
  <si>
    <t>customer248@email.com</t>
  </si>
  <si>
    <t>+91 6572257483</t>
  </si>
  <si>
    <t>customer249@email.com</t>
  </si>
  <si>
    <t>+91 9582052036</t>
  </si>
  <si>
    <t>C0250</t>
  </si>
  <si>
    <t>customer250@email.com</t>
  </si>
  <si>
    <t>+91 7330328563</t>
  </si>
  <si>
    <t>customer251@email.com</t>
  </si>
  <si>
    <t>+91 8891339251</t>
  </si>
  <si>
    <t>customer252@email.com</t>
  </si>
  <si>
    <t>+91 6462791606</t>
  </si>
  <si>
    <t>C0253</t>
  </si>
  <si>
    <t>customer253@email.com</t>
  </si>
  <si>
    <t>+91 6338470338</t>
  </si>
  <si>
    <t>customer254@email.com</t>
  </si>
  <si>
    <t>+91 8952242748</t>
  </si>
  <si>
    <t>customer255@email.com</t>
  </si>
  <si>
    <t>+91 6731578567</t>
  </si>
  <si>
    <t>customer256@email.com</t>
  </si>
  <si>
    <t>+91 8540521461</t>
  </si>
  <si>
    <t>customer257@email.com</t>
  </si>
  <si>
    <t>+91 6656774328</t>
  </si>
  <si>
    <t>customer258@email.com</t>
  </si>
  <si>
    <t>+91 6242532773</t>
  </si>
  <si>
    <t>customer259@email.com</t>
  </si>
  <si>
    <t>+91 6807079737</t>
  </si>
  <si>
    <t>customer260@email.com</t>
  </si>
  <si>
    <t>+91 9393097924</t>
  </si>
  <si>
    <t>customer261@email.com</t>
  </si>
  <si>
    <t>+91 6160438903</t>
  </si>
  <si>
    <t>customer262@email.com</t>
  </si>
  <si>
    <t>+91 9217293812</t>
  </si>
  <si>
    <t>customer263@email.com</t>
  </si>
  <si>
    <t>+91 9321175964</t>
  </si>
  <si>
    <t>customer264@email.com</t>
  </si>
  <si>
    <t>+91 6951099021</t>
  </si>
  <si>
    <t>C0265</t>
  </si>
  <si>
    <t>customer265@email.com</t>
  </si>
  <si>
    <t>+91 8584001736</t>
  </si>
  <si>
    <t>C0266</t>
  </si>
  <si>
    <t>customer266@email.com</t>
  </si>
  <si>
    <t>+91 8841768703</t>
  </si>
  <si>
    <t>customer267@email.com</t>
  </si>
  <si>
    <t>+91 9590836744</t>
  </si>
  <si>
    <t>C0268</t>
  </si>
  <si>
    <t>customer268@email.com</t>
  </si>
  <si>
    <t>+91 7298834290</t>
  </si>
  <si>
    <t>customer269@email.com</t>
  </si>
  <si>
    <t>+91 6310339793</t>
  </si>
  <si>
    <t>customer270@email.com</t>
  </si>
  <si>
    <t>+91 7305661126</t>
  </si>
  <si>
    <t>C0271</t>
  </si>
  <si>
    <t>customer271@email.com</t>
  </si>
  <si>
    <t>+91 6852607044</t>
  </si>
  <si>
    <t>customer272@email.com</t>
  </si>
  <si>
    <t>+91 7087329163</t>
  </si>
  <si>
    <t>customer273@email.com</t>
  </si>
  <si>
    <t>+91 7123329603</t>
  </si>
  <si>
    <t>customer274@email.com</t>
  </si>
  <si>
    <t>+91 7574885352</t>
  </si>
  <si>
    <t>customer275@email.com</t>
  </si>
  <si>
    <t>+91 8207996112</t>
  </si>
  <si>
    <t>customer276@email.com</t>
  </si>
  <si>
    <t>+91 8633236122</t>
  </si>
  <si>
    <t>customer277@email.com</t>
  </si>
  <si>
    <t>+91 8567454307</t>
  </si>
  <si>
    <t>customer278@email.com</t>
  </si>
  <si>
    <t>+91 6169704377</t>
  </si>
  <si>
    <t>customer279@email.com</t>
  </si>
  <si>
    <t>+91 7996220032</t>
  </si>
  <si>
    <t>customer280@email.com</t>
  </si>
  <si>
    <t>+91 8459832631</t>
  </si>
  <si>
    <t>customer281@email.com</t>
  </si>
  <si>
    <t>+91 8229629207</t>
  </si>
  <si>
    <t>customer282@email.com</t>
  </si>
  <si>
    <t>+91 7227046823</t>
  </si>
  <si>
    <t>customer283@email.com</t>
  </si>
  <si>
    <t>+91 7466557129</t>
  </si>
  <si>
    <t>customer284@email.com</t>
  </si>
  <si>
    <t>+91 9979758315</t>
  </si>
  <si>
    <t>customer285@email.com</t>
  </si>
  <si>
    <t>+91 8249621104</t>
  </si>
  <si>
    <t>customer286@email.com</t>
  </si>
  <si>
    <t>+91 9377974363</t>
  </si>
  <si>
    <t>customer287@email.com</t>
  </si>
  <si>
    <t>+91 9889234797</t>
  </si>
  <si>
    <t>customer288@email.com</t>
  </si>
  <si>
    <t>+91 7453742404</t>
  </si>
  <si>
    <t>customer289@email.com</t>
  </si>
  <si>
    <t>+91 8108627566</t>
  </si>
  <si>
    <t>customer290@email.com</t>
  </si>
  <si>
    <t>+91 9836511548</t>
  </si>
  <si>
    <t>C0291</t>
  </si>
  <si>
    <t>customer291@email.com</t>
  </si>
  <si>
    <t>+91 6114962380</t>
  </si>
  <si>
    <t>customer292@email.com</t>
  </si>
  <si>
    <t>+91 8764908885</t>
  </si>
  <si>
    <t>customer293@email.com</t>
  </si>
  <si>
    <t>+91 9998754094</t>
  </si>
  <si>
    <t>customer294@email.com</t>
  </si>
  <si>
    <t>+91 6175386483</t>
  </si>
  <si>
    <t>C0295</t>
  </si>
  <si>
    <t>customer295@email.com</t>
  </si>
  <si>
    <t>+91 8813153260</t>
  </si>
  <si>
    <t>customer296@email.com</t>
  </si>
  <si>
    <t>+91 6496090581</t>
  </si>
  <si>
    <t>customer297@email.com</t>
  </si>
  <si>
    <t>+91 9296084834</t>
  </si>
  <si>
    <t>customer298@email.com</t>
  </si>
  <si>
    <t>+91 9163953020</t>
  </si>
  <si>
    <t>customer299@email.com</t>
  </si>
  <si>
    <t>+91 7666446812</t>
  </si>
  <si>
    <t>customer300@email.com</t>
  </si>
  <si>
    <t>+91 8250799863</t>
  </si>
  <si>
    <t>customer301@email.com</t>
  </si>
  <si>
    <t>+91 6813894652</t>
  </si>
  <si>
    <t>customer302@email.com</t>
  </si>
  <si>
    <t>+91 8469218400</t>
  </si>
  <si>
    <t>customer303@email.com</t>
  </si>
  <si>
    <t>+91 9282924616</t>
  </si>
  <si>
    <t>customer304@email.com</t>
  </si>
  <si>
    <t>+91 8407063970</t>
  </si>
  <si>
    <t>customer305@email.com</t>
  </si>
  <si>
    <t>+91 8734998500</t>
  </si>
  <si>
    <t>customer306@email.com</t>
  </si>
  <si>
    <t>+91 9118105251</t>
  </si>
  <si>
    <t>customer307@email.com</t>
  </si>
  <si>
    <t>+91 8033212462</t>
  </si>
  <si>
    <t>customer308@email.com</t>
  </si>
  <si>
    <t>+91 8504855848</t>
  </si>
  <si>
    <t>customer309@email.com</t>
  </si>
  <si>
    <t>+91 9925182365</t>
  </si>
  <si>
    <t>customer310@email.com</t>
  </si>
  <si>
    <t>+91 8089406667</t>
  </si>
  <si>
    <t>customer311@email.com</t>
  </si>
  <si>
    <t>+91 9868668400</t>
  </si>
  <si>
    <t>customer312@email.com</t>
  </si>
  <si>
    <t>+91 8547980504</t>
  </si>
  <si>
    <t>customer313@email.com</t>
  </si>
  <si>
    <t>+91 6738449012</t>
  </si>
  <si>
    <t>customer314@email.com</t>
  </si>
  <si>
    <t>+91 7509056885</t>
  </si>
  <si>
    <t>customer315@email.com</t>
  </si>
  <si>
    <t>+91 7936993784</t>
  </si>
  <si>
    <t>customer316@email.com</t>
  </si>
  <si>
    <t>+91 7869405466</t>
  </si>
  <si>
    <t>C0317</t>
  </si>
  <si>
    <t>customer317@email.com</t>
  </si>
  <si>
    <t>+91 9647830605</t>
  </si>
  <si>
    <t>customer318@email.com</t>
  </si>
  <si>
    <t>+91 8902610023</t>
  </si>
  <si>
    <t>customer319@email.com</t>
  </si>
  <si>
    <t>+91 7451902581</t>
  </si>
  <si>
    <t>customer320@email.com</t>
  </si>
  <si>
    <t>+91 9813773047</t>
  </si>
  <si>
    <t>customer321@email.com</t>
  </si>
  <si>
    <t>+91 8415393080</t>
  </si>
  <si>
    <t>customer322@email.com</t>
  </si>
  <si>
    <t>+91 8376492429</t>
  </si>
  <si>
    <t>customer323@email.com</t>
  </si>
  <si>
    <t>+91 9655608830</t>
  </si>
  <si>
    <t>customer324@email.com</t>
  </si>
  <si>
    <t>+91 6992454470</t>
  </si>
  <si>
    <t>customer325@email.com</t>
  </si>
  <si>
    <t>+91 9976955662</t>
  </si>
  <si>
    <t>customer326@email.com</t>
  </si>
  <si>
    <t>+91 7587555518</t>
  </si>
  <si>
    <t>customer327@email.com</t>
  </si>
  <si>
    <t>+91 7478117250</t>
  </si>
  <si>
    <t>customer328@email.com</t>
  </si>
  <si>
    <t>+91 9930821548</t>
  </si>
  <si>
    <t>customer329@email.com</t>
  </si>
  <si>
    <t>+91 7684088009</t>
  </si>
  <si>
    <t>customer330@email.com</t>
  </si>
  <si>
    <t>+91 6803094788</t>
  </si>
  <si>
    <t>customer331@email.com</t>
  </si>
  <si>
    <t>+91 8978561961</t>
  </si>
  <si>
    <t>customer332@email.com</t>
  </si>
  <si>
    <t>+91 6875694491</t>
  </si>
  <si>
    <t>customer333@email.com</t>
  </si>
  <si>
    <t>+91 9825320226</t>
  </si>
  <si>
    <t>customer334@email.com</t>
  </si>
  <si>
    <t>+91 6597131725</t>
  </si>
  <si>
    <t>customer335@email.com</t>
  </si>
  <si>
    <t>+91 7165597687</t>
  </si>
  <si>
    <t>C0336</t>
  </si>
  <si>
    <t>customer336@email.com</t>
  </si>
  <si>
    <t>+91 7975546419</t>
  </si>
  <si>
    <t>customer337@email.com</t>
  </si>
  <si>
    <t>+91 6822339949</t>
  </si>
  <si>
    <t>C0338</t>
  </si>
  <si>
    <t>customer338@email.com</t>
  </si>
  <si>
    <t>+91 8044614421</t>
  </si>
  <si>
    <t>customer339@email.com</t>
  </si>
  <si>
    <t>+91 8381962993</t>
  </si>
  <si>
    <t>C0340</t>
  </si>
  <si>
    <t>customer340@email.com</t>
  </si>
  <si>
    <t>+91 6941676071</t>
  </si>
  <si>
    <t>customer341@email.com</t>
  </si>
  <si>
    <t>+91 9086785834</t>
  </si>
  <si>
    <t>customer342@email.com</t>
  </si>
  <si>
    <t>+91 8329113925</t>
  </si>
  <si>
    <t>C0343</t>
  </si>
  <si>
    <t>customer343@email.com</t>
  </si>
  <si>
    <t>+91 7777770086</t>
  </si>
  <si>
    <t>customer344@email.com</t>
  </si>
  <si>
    <t>+91 7497575627</t>
  </si>
  <si>
    <t>customer345@email.com</t>
  </si>
  <si>
    <t>+91 8592882255</t>
  </si>
  <si>
    <t>customer346@email.com</t>
  </si>
  <si>
    <t>+91 6176848040</t>
  </si>
  <si>
    <t>customer347@email.com</t>
  </si>
  <si>
    <t>+91 7374419626</t>
  </si>
  <si>
    <t>customer348@email.com</t>
  </si>
  <si>
    <t>+91 9962568584</t>
  </si>
  <si>
    <t>customer349@email.com</t>
  </si>
  <si>
    <t>+91 8786108682</t>
  </si>
  <si>
    <t>customer350@email.com</t>
  </si>
  <si>
    <t>+91 6408982721</t>
  </si>
  <si>
    <t>C0351</t>
  </si>
  <si>
    <t>customer351@email.com</t>
  </si>
  <si>
    <t>+91 9934676062</t>
  </si>
  <si>
    <t>customer352@email.com</t>
  </si>
  <si>
    <t>+91 6014828825</t>
  </si>
  <si>
    <t>customer353@email.com</t>
  </si>
  <si>
    <t>+91 8310265823</t>
  </si>
  <si>
    <t>customer354@email.com</t>
  </si>
  <si>
    <t>+91 7187086166</t>
  </si>
  <si>
    <t>customer355@email.com</t>
  </si>
  <si>
    <t>+91 8767339308</t>
  </si>
  <si>
    <t>customer356@email.com</t>
  </si>
  <si>
    <t>+91 9587996399</t>
  </si>
  <si>
    <t>customer357@email.com</t>
  </si>
  <si>
    <t>+91 9964570364</t>
  </si>
  <si>
    <t>customer358@email.com</t>
  </si>
  <si>
    <t>+91 9828601466</t>
  </si>
  <si>
    <t>customer359@email.com</t>
  </si>
  <si>
    <t>+91 7427694609</t>
  </si>
  <si>
    <t>customer360@email.com</t>
  </si>
  <si>
    <t>+91 7616880783</t>
  </si>
  <si>
    <t>customer361@email.com</t>
  </si>
  <si>
    <t>+91 9715996405</t>
  </si>
  <si>
    <t>customer362@email.com</t>
  </si>
  <si>
    <t>+91 9360575666</t>
  </si>
  <si>
    <t>customer363@email.com</t>
  </si>
  <si>
    <t>+91 8159704411</t>
  </si>
  <si>
    <t>customer364@email.com</t>
  </si>
  <si>
    <t>+91 8976731428</t>
  </si>
  <si>
    <t>customer365@email.com</t>
  </si>
  <si>
    <t>+91 9037375330</t>
  </si>
  <si>
    <t>C0366</t>
  </si>
  <si>
    <t>customer366@email.com</t>
  </si>
  <si>
    <t>+91 7130711082</t>
  </si>
  <si>
    <t>customer367@email.com</t>
  </si>
  <si>
    <t>+91 8580210797</t>
  </si>
  <si>
    <t>customer368@email.com</t>
  </si>
  <si>
    <t>+91 9440436497</t>
  </si>
  <si>
    <t>customer369@email.com</t>
  </si>
  <si>
    <t>+91 7796931720</t>
  </si>
  <si>
    <t>C0370</t>
  </si>
  <si>
    <t>customer370@email.com</t>
  </si>
  <si>
    <t>+91 6988398540</t>
  </si>
  <si>
    <t>customer371@email.com</t>
  </si>
  <si>
    <t>+91 7750280713</t>
  </si>
  <si>
    <t>customer372@email.com</t>
  </si>
  <si>
    <t>+91 9606316225</t>
  </si>
  <si>
    <t>customer373@email.com</t>
  </si>
  <si>
    <t>+91 6432887778</t>
  </si>
  <si>
    <t>customer374@email.com</t>
  </si>
  <si>
    <t>+91 7251297999</t>
  </si>
  <si>
    <t>customer375@email.com</t>
  </si>
  <si>
    <t>+91 9849989091</t>
  </si>
  <si>
    <t>customer376@email.com</t>
  </si>
  <si>
    <t>+91 8826871730</t>
  </si>
  <si>
    <t>customer377@email.com</t>
  </si>
  <si>
    <t>+91 9268662403</t>
  </si>
  <si>
    <t>customer378@email.com</t>
  </si>
  <si>
    <t>+91 8874996489</t>
  </si>
  <si>
    <t>customer379@email.com</t>
  </si>
  <si>
    <t>+91 6439481797</t>
  </si>
  <si>
    <t>C0380</t>
  </si>
  <si>
    <t>customer380@email.com</t>
  </si>
  <si>
    <t>+91 8617313208</t>
  </si>
  <si>
    <t>customer381@email.com</t>
  </si>
  <si>
    <t>+91 8057118289</t>
  </si>
  <si>
    <t>customer382@email.com</t>
  </si>
  <si>
    <t>+91 7742078165</t>
  </si>
  <si>
    <t>customer383@email.com</t>
  </si>
  <si>
    <t>+91 8700187933</t>
  </si>
  <si>
    <t>customer384@email.com</t>
  </si>
  <si>
    <t>+91 8111935411</t>
  </si>
  <si>
    <t>customer385@email.com</t>
  </si>
  <si>
    <t>+91 7038486465</t>
  </si>
  <si>
    <t>customer386@email.com</t>
  </si>
  <si>
    <t>+91 6339073436</t>
  </si>
  <si>
    <t>customer387@email.com</t>
  </si>
  <si>
    <t>+91 6961498158</t>
  </si>
  <si>
    <t>customer388@email.com</t>
  </si>
  <si>
    <t>+91 6499498233</t>
  </si>
  <si>
    <t>customer389@email.com</t>
  </si>
  <si>
    <t>+91 6847263199</t>
  </si>
  <si>
    <t>customer390@email.com</t>
  </si>
  <si>
    <t>+91 9866091350</t>
  </si>
  <si>
    <t>customer391@email.com</t>
  </si>
  <si>
    <t>+91 6235936111</t>
  </si>
  <si>
    <t>customer392@email.com</t>
  </si>
  <si>
    <t>+91 7763074725</t>
  </si>
  <si>
    <t>customer393@email.com</t>
  </si>
  <si>
    <t>+91 6926370025</t>
  </si>
  <si>
    <t>customer394@email.com</t>
  </si>
  <si>
    <t>+91 9465967221</t>
  </si>
  <si>
    <t>customer395@email.com</t>
  </si>
  <si>
    <t>+91 8361909209</t>
  </si>
  <si>
    <t>customer396@email.com</t>
  </si>
  <si>
    <t>+91 8630066232</t>
  </si>
  <si>
    <t>customer397@email.com</t>
  </si>
  <si>
    <t>+91 7641676249</t>
  </si>
  <si>
    <t>customer398@email.com</t>
  </si>
  <si>
    <t>+91 8892086481</t>
  </si>
  <si>
    <t>customer399@email.com</t>
  </si>
  <si>
    <t>+91 6280944270</t>
  </si>
  <si>
    <t>customer400@email.com</t>
  </si>
  <si>
    <t>+91 8356541284</t>
  </si>
  <si>
    <t>customer401@email.com</t>
  </si>
  <si>
    <t>+91 6069965715</t>
  </si>
  <si>
    <t>customer402@email.com</t>
  </si>
  <si>
    <t>+91 9306532841</t>
  </si>
  <si>
    <t>customer403@email.com</t>
  </si>
  <si>
    <t>+91 6752004957</t>
  </si>
  <si>
    <t>customer404@email.com</t>
  </si>
  <si>
    <t>+91 6837480096</t>
  </si>
  <si>
    <t>customer405@email.com</t>
  </si>
  <si>
    <t>+91 9621619882</t>
  </si>
  <si>
    <t>customer406@email.com</t>
  </si>
  <si>
    <t>+91 7649567226</t>
  </si>
  <si>
    <t>C0407</t>
  </si>
  <si>
    <t>customer407@email.com</t>
  </si>
  <si>
    <t>+91 8914561012</t>
  </si>
  <si>
    <t>customer408@email.com</t>
  </si>
  <si>
    <t>+91 8549399683</t>
  </si>
  <si>
    <t>customer409@email.com</t>
  </si>
  <si>
    <t>+91 9275903610</t>
  </si>
  <si>
    <t>customer410@email.com</t>
  </si>
  <si>
    <t>+91 8380868506</t>
  </si>
  <si>
    <t>customer411@email.com</t>
  </si>
  <si>
    <t>+91 9926399990</t>
  </si>
  <si>
    <t>customer412@email.com</t>
  </si>
  <si>
    <t>+91 9521611825</t>
  </si>
  <si>
    <t>customer413@email.com</t>
  </si>
  <si>
    <t>+91 7138108403</t>
  </si>
  <si>
    <t>customer414@email.com</t>
  </si>
  <si>
    <t>+91 6714572432</t>
  </si>
  <si>
    <t>customer415@email.com</t>
  </si>
  <si>
    <t>+91 6774956918</t>
  </si>
  <si>
    <t>C0416</t>
  </si>
  <si>
    <t>customer416@email.com</t>
  </si>
  <si>
    <t>+91 6537538232</t>
  </si>
  <si>
    <t>customer417@email.com</t>
  </si>
  <si>
    <t>+91 9059182712</t>
  </si>
  <si>
    <t>customer418@email.com</t>
  </si>
  <si>
    <t>+91 6751355569</t>
  </si>
  <si>
    <t>customer419@email.com</t>
  </si>
  <si>
    <t>+91 7540685699</t>
  </si>
  <si>
    <t>customer420@email.com</t>
  </si>
  <si>
    <t>+91 9585050515</t>
  </si>
  <si>
    <t>customer421@email.com</t>
  </si>
  <si>
    <t>+91 9055681236</t>
  </si>
  <si>
    <t>customer422@email.com</t>
  </si>
  <si>
    <t>+91 6829664698</t>
  </si>
  <si>
    <t>customer423@email.com</t>
  </si>
  <si>
    <t>+91 8501398429</t>
  </si>
  <si>
    <t>C0424</t>
  </si>
  <si>
    <t>customer424@email.com</t>
  </si>
  <si>
    <t>+91 6641019650</t>
  </si>
  <si>
    <t>customer425@email.com</t>
  </si>
  <si>
    <t>+91 7121394123</t>
  </si>
  <si>
    <t>customer426@email.com</t>
  </si>
  <si>
    <t>+91 7809152035</t>
  </si>
  <si>
    <t>C0427</t>
  </si>
  <si>
    <t>customer427@email.com</t>
  </si>
  <si>
    <t>+91 8561654217</t>
  </si>
  <si>
    <t>C0428</t>
  </si>
  <si>
    <t>customer428@email.com</t>
  </si>
  <si>
    <t>+91 6131846088</t>
  </si>
  <si>
    <t>C0429</t>
  </si>
  <si>
    <t>customer429@email.com</t>
  </si>
  <si>
    <t>+91 8276667217</t>
  </si>
  <si>
    <t>customer430@email.com</t>
  </si>
  <si>
    <t>+91 8387394385</t>
  </si>
  <si>
    <t>customer431@email.com</t>
  </si>
  <si>
    <t>+91 6287232697</t>
  </si>
  <si>
    <t>customer432@email.com</t>
  </si>
  <si>
    <t>+91 9475786493</t>
  </si>
  <si>
    <t>customer433@email.com</t>
  </si>
  <si>
    <t>+91 9545389217</t>
  </si>
  <si>
    <t>customer434@email.com</t>
  </si>
  <si>
    <t>+91 9267550897</t>
  </si>
  <si>
    <t>customer435@email.com</t>
  </si>
  <si>
    <t>+91 8155612803</t>
  </si>
  <si>
    <t>customer436@email.com</t>
  </si>
  <si>
    <t>+91 9387572845</t>
  </si>
  <si>
    <t>C0437</t>
  </si>
  <si>
    <t>customer437@email.com</t>
  </si>
  <si>
    <t>+91 6592375402</t>
  </si>
  <si>
    <t>C0438</t>
  </si>
  <si>
    <t>customer438@email.com</t>
  </si>
  <si>
    <t>+91 8867321118</t>
  </si>
  <si>
    <t>customer439@email.com</t>
  </si>
  <si>
    <t>+91 7294218892</t>
  </si>
  <si>
    <t>customer440@email.com</t>
  </si>
  <si>
    <t>+91 8080611703</t>
  </si>
  <si>
    <t>customer441@email.com</t>
  </si>
  <si>
    <t>+91 9228635461</t>
  </si>
  <si>
    <t>customer442@email.com</t>
  </si>
  <si>
    <t>+91 6525623215</t>
  </si>
  <si>
    <t>customer443@email.com</t>
  </si>
  <si>
    <t>+91 8655243383</t>
  </si>
  <si>
    <t>C0444</t>
  </si>
  <si>
    <t>customer444@email.com</t>
  </si>
  <si>
    <t>+91 8805014131</t>
  </si>
  <si>
    <t>customer445@email.com</t>
  </si>
  <si>
    <t>+91 9350808565</t>
  </si>
  <si>
    <t>customer446@email.com</t>
  </si>
  <si>
    <t>+91 7738232400</t>
  </si>
  <si>
    <t>C0447</t>
  </si>
  <si>
    <t>customer447@email.com</t>
  </si>
  <si>
    <t>+91 6479181530</t>
  </si>
  <si>
    <t>customer448@email.com</t>
  </si>
  <si>
    <t>+91 7294456417</t>
  </si>
  <si>
    <t>customer449@email.com</t>
  </si>
  <si>
    <t>+91 8705051693</t>
  </si>
  <si>
    <t>customer450@email.com</t>
  </si>
  <si>
    <t>+91 7182859224</t>
  </si>
  <si>
    <t>customer451@email.com</t>
  </si>
  <si>
    <t>+91 6672485830</t>
  </si>
  <si>
    <t>customer452@email.com</t>
  </si>
  <si>
    <t>+91 8333605884</t>
  </si>
  <si>
    <t>customer453@email.com</t>
  </si>
  <si>
    <t>+91 7360316533</t>
  </si>
  <si>
    <t>customer454@email.com</t>
  </si>
  <si>
    <t>+91 7332240005</t>
  </si>
  <si>
    <t>customer455@email.com</t>
  </si>
  <si>
    <t>+91 7331077619</t>
  </si>
  <si>
    <t>customer456@email.com</t>
  </si>
  <si>
    <t>+91 8277888396</t>
  </si>
  <si>
    <t>customer457@email.com</t>
  </si>
  <si>
    <t>+91 9015155686</t>
  </si>
  <si>
    <t>customer458@email.com</t>
  </si>
  <si>
    <t>+91 8357632615</t>
  </si>
  <si>
    <t>customer459@email.com</t>
  </si>
  <si>
    <t>+91 7089994764</t>
  </si>
  <si>
    <t>customer460@email.com</t>
  </si>
  <si>
    <t>+91 7799438160</t>
  </si>
  <si>
    <t>customer461@email.com</t>
  </si>
  <si>
    <t>+91 9958698045</t>
  </si>
  <si>
    <t>customer462@email.com</t>
  </si>
  <si>
    <t>+91 6967615122</t>
  </si>
  <si>
    <t>customer463@email.com</t>
  </si>
  <si>
    <t>+91 9936522546</t>
  </si>
  <si>
    <t>customer464@email.com</t>
  </si>
  <si>
    <t>+91 6637906878</t>
  </si>
  <si>
    <t>customer465@email.com</t>
  </si>
  <si>
    <t>+91 8260058723</t>
  </si>
  <si>
    <t>customer466@email.com</t>
  </si>
  <si>
    <t>+91 7149696104</t>
  </si>
  <si>
    <t>C0467</t>
  </si>
  <si>
    <t>customer467@email.com</t>
  </si>
  <si>
    <t>+91 7432180118</t>
  </si>
  <si>
    <t>customer468@email.com</t>
  </si>
  <si>
    <t>+91 6666718925</t>
  </si>
  <si>
    <t>customer469@email.com</t>
  </si>
  <si>
    <t>+91 6665842939</t>
  </si>
  <si>
    <t>C0470</t>
  </si>
  <si>
    <t>customer470@email.com</t>
  </si>
  <si>
    <t>+91 7664116614</t>
  </si>
  <si>
    <t>customer471@email.com</t>
  </si>
  <si>
    <t>+91 8583300444</t>
  </si>
  <si>
    <t>customer472@email.com</t>
  </si>
  <si>
    <t>+91 8641305634</t>
  </si>
  <si>
    <t>customer473@email.com</t>
  </si>
  <si>
    <t>+91 9575858772</t>
  </si>
  <si>
    <t>customer474@email.com</t>
  </si>
  <si>
    <t>+91 7523616513</t>
  </si>
  <si>
    <t>customer475@email.com</t>
  </si>
  <si>
    <t>+91 7261241076</t>
  </si>
  <si>
    <t>customer476@email.com</t>
  </si>
  <si>
    <t>+91 8412738636</t>
  </si>
  <si>
    <t>C0477</t>
  </si>
  <si>
    <t>customer477@email.com</t>
  </si>
  <si>
    <t>+91 6090300246</t>
  </si>
  <si>
    <t>customer478@email.com</t>
  </si>
  <si>
    <t>+91 6870091563</t>
  </si>
  <si>
    <t>C0479</t>
  </si>
  <si>
    <t>customer479@email.com</t>
  </si>
  <si>
    <t>+91 7296343511</t>
  </si>
  <si>
    <t>customer480@email.com</t>
  </si>
  <si>
    <t>+91 9827891287</t>
  </si>
  <si>
    <t>customer481@email.com</t>
  </si>
  <si>
    <t>+91 9943672434</t>
  </si>
  <si>
    <t>customer482@email.com</t>
  </si>
  <si>
    <t>+91 8355543148</t>
  </si>
  <si>
    <t>customer483@email.com</t>
  </si>
  <si>
    <t>+91 8685200419</t>
  </si>
  <si>
    <t>customer484@email.com</t>
  </si>
  <si>
    <t>+91 8723552639</t>
  </si>
  <si>
    <t>C0485</t>
  </si>
  <si>
    <t>customer485@email.com</t>
  </si>
  <si>
    <t>+91 9857812496</t>
  </si>
  <si>
    <t>customer486@email.com</t>
  </si>
  <si>
    <t>+91 9448073721</t>
  </si>
  <si>
    <t>customer487@email.com</t>
  </si>
  <si>
    <t>+91 6435061777</t>
  </si>
  <si>
    <t>customer488@email.com</t>
  </si>
  <si>
    <t>+91 7636035925</t>
  </si>
  <si>
    <t>customer489@email.com</t>
  </si>
  <si>
    <t>+91 8343328442</t>
  </si>
  <si>
    <t>customer490@email.com</t>
  </si>
  <si>
    <t>+91 7914574680</t>
  </si>
  <si>
    <t>customer491@email.com</t>
  </si>
  <si>
    <t>+91 9919015759</t>
  </si>
  <si>
    <t>customer492@email.com</t>
  </si>
  <si>
    <t>+91 7725004329</t>
  </si>
  <si>
    <t>customer493@email.com</t>
  </si>
  <si>
    <t>+91 8328729471</t>
  </si>
  <si>
    <t>customer494@email.com</t>
  </si>
  <si>
    <t>+91 9323002580</t>
  </si>
  <si>
    <t>customer495@email.com</t>
  </si>
  <si>
    <t>+91 8315636189</t>
  </si>
  <si>
    <t>customer496@email.com</t>
  </si>
  <si>
    <t>+91 9971035846</t>
  </si>
  <si>
    <t>customer497@email.com</t>
  </si>
  <si>
    <t>+91 9870203825</t>
  </si>
  <si>
    <t>customer498@email.com</t>
  </si>
  <si>
    <t>+91 7324082476</t>
  </si>
  <si>
    <t>customer499@email.com</t>
  </si>
  <si>
    <t>+91 6780388844</t>
  </si>
  <si>
    <t>customer500@email.com</t>
  </si>
  <si>
    <t>+91 7462108360</t>
  </si>
  <si>
    <t>C0501</t>
  </si>
  <si>
    <t>customer501@email.com</t>
  </si>
  <si>
    <t>+91 6051847504</t>
  </si>
  <si>
    <t>customer502@email.com</t>
  </si>
  <si>
    <t>+91 8702884318</t>
  </si>
  <si>
    <t>customer503@email.com</t>
  </si>
  <si>
    <t>+91 8517340487</t>
  </si>
  <si>
    <t>C0504</t>
  </si>
  <si>
    <t>customer504@email.com</t>
  </si>
  <si>
    <t>+91 9397043326</t>
  </si>
  <si>
    <t>customer505@email.com</t>
  </si>
  <si>
    <t>+91 7127404884</t>
  </si>
  <si>
    <t>customer506@email.com</t>
  </si>
  <si>
    <t>+91 6313001448</t>
  </si>
  <si>
    <t>customer507@email.com</t>
  </si>
  <si>
    <t>+91 6336675262</t>
  </si>
  <si>
    <t>customer508@email.com</t>
  </si>
  <si>
    <t>+91 9059969183</t>
  </si>
  <si>
    <t>C0509</t>
  </si>
  <si>
    <t>customer509@email.com</t>
  </si>
  <si>
    <t>+91 7589497145</t>
  </si>
  <si>
    <t>C0510</t>
  </si>
  <si>
    <t>customer510@email.com</t>
  </si>
  <si>
    <t>+91 9300897115</t>
  </si>
  <si>
    <t>C0511</t>
  </si>
  <si>
    <t>customer511@email.com</t>
  </si>
  <si>
    <t>+91 7805208263</t>
  </si>
  <si>
    <t>C0512</t>
  </si>
  <si>
    <t>customer512@email.com</t>
  </si>
  <si>
    <t>+91 8025059089</t>
  </si>
  <si>
    <t>customer513@email.com</t>
  </si>
  <si>
    <t>+91 7572247546</t>
  </si>
  <si>
    <t>customer514@email.com</t>
  </si>
  <si>
    <t>+91 9887326193</t>
  </si>
  <si>
    <t>C0515</t>
  </si>
  <si>
    <t>customer515@email.com</t>
  </si>
  <si>
    <t>+91 6074486726</t>
  </si>
  <si>
    <t>customer516@email.com</t>
  </si>
  <si>
    <t>+91 9155120928</t>
  </si>
  <si>
    <t>customer517@email.com</t>
  </si>
  <si>
    <t>+91 8158210112</t>
  </si>
  <si>
    <t>customer518@email.com</t>
  </si>
  <si>
    <t>+91 6649541419</t>
  </si>
  <si>
    <t>customer519@email.com</t>
  </si>
  <si>
    <t>+91 7376249814</t>
  </si>
  <si>
    <t>customer520@email.com</t>
  </si>
  <si>
    <t>+91 7077231763</t>
  </si>
  <si>
    <t>C0521</t>
  </si>
  <si>
    <t>customer521@email.com</t>
  </si>
  <si>
    <t>+91 8992413823</t>
  </si>
  <si>
    <t>customer522@email.com</t>
  </si>
  <si>
    <t>+91 6467904166</t>
  </si>
  <si>
    <t>customer523@email.com</t>
  </si>
  <si>
    <t>+91 8164737296</t>
  </si>
  <si>
    <t>customer524@email.com</t>
  </si>
  <si>
    <t>+91 6965486402</t>
  </si>
  <si>
    <t>customer525@email.com</t>
  </si>
  <si>
    <t>+91 8298092294</t>
  </si>
  <si>
    <t>customer526@email.com</t>
  </si>
  <si>
    <t>+91 6478149241</t>
  </si>
  <si>
    <t>customer527@email.com</t>
  </si>
  <si>
    <t>+91 6997178971</t>
  </si>
  <si>
    <t>customer528@email.com</t>
  </si>
  <si>
    <t>+91 9574911833</t>
  </si>
  <si>
    <t>customer529@email.com</t>
  </si>
  <si>
    <t>+91 6512001853</t>
  </si>
  <si>
    <t>customer530@email.com</t>
  </si>
  <si>
    <t>+91 9778756546</t>
  </si>
  <si>
    <t>customer531@email.com</t>
  </si>
  <si>
    <t>+91 6435134983</t>
  </si>
  <si>
    <t>customer532@email.com</t>
  </si>
  <si>
    <t>+91 6464015798</t>
  </si>
  <si>
    <t>customer533@email.com</t>
  </si>
  <si>
    <t>+91 9673276873</t>
  </si>
  <si>
    <t>customer534@email.com</t>
  </si>
  <si>
    <t>+91 8090231958</t>
  </si>
  <si>
    <t>customer535@email.com</t>
  </si>
  <si>
    <t>+91 8264869658</t>
  </si>
  <si>
    <t>customer536@email.com</t>
  </si>
  <si>
    <t>+91 6768250561</t>
  </si>
  <si>
    <t>customer537@email.com</t>
  </si>
  <si>
    <t>+91 8654767355</t>
  </si>
  <si>
    <t>customer538@email.com</t>
  </si>
  <si>
    <t>+91 8770830281</t>
  </si>
  <si>
    <t>customer539@email.com</t>
  </si>
  <si>
    <t>+91 6640510735</t>
  </si>
  <si>
    <t>customer540@email.com</t>
  </si>
  <si>
    <t>+91 6925870676</t>
  </si>
  <si>
    <t>customer541@email.com</t>
  </si>
  <si>
    <t>+91 8605421347</t>
  </si>
  <si>
    <t>customer542@email.com</t>
  </si>
  <si>
    <t>+91 9264680619</t>
  </si>
  <si>
    <t>C0543</t>
  </si>
  <si>
    <t>customer543@email.com</t>
  </si>
  <si>
    <t>+91 8383373213</t>
  </si>
  <si>
    <t>customer544@email.com</t>
  </si>
  <si>
    <t>+91 8405888335</t>
  </si>
  <si>
    <t>customer545@email.com</t>
  </si>
  <si>
    <t>+91 6998002858</t>
  </si>
  <si>
    <t>customer546@email.com</t>
  </si>
  <si>
    <t>+91 9911635474</t>
  </si>
  <si>
    <t>customer547@email.com</t>
  </si>
  <si>
    <t>+91 7464117572</t>
  </si>
  <si>
    <t>customer548@email.com</t>
  </si>
  <si>
    <t>+91 9376689663</t>
  </si>
  <si>
    <t>customer549@email.com</t>
  </si>
  <si>
    <t>+91 6118521747</t>
  </si>
  <si>
    <t>customer550@email.com</t>
  </si>
  <si>
    <t>+91 8961024279</t>
  </si>
  <si>
    <t>customer551@email.com</t>
  </si>
  <si>
    <t>+91 8008586446</t>
  </si>
  <si>
    <t>customer552@email.com</t>
  </si>
  <si>
    <t>+91 6967221244</t>
  </si>
  <si>
    <t>customer553@email.com</t>
  </si>
  <si>
    <t>+91 8396347357</t>
  </si>
  <si>
    <t>customer554@email.com</t>
  </si>
  <si>
    <t>+91 8740508049</t>
  </si>
  <si>
    <t>customer555@email.com</t>
  </si>
  <si>
    <t>+91 7450229215</t>
  </si>
  <si>
    <t>customer556@email.com</t>
  </si>
  <si>
    <t>+91 9525312344</t>
  </si>
  <si>
    <t>C0557</t>
  </si>
  <si>
    <t>customer557@email.com</t>
  </si>
  <si>
    <t>+91 6479385272</t>
  </si>
  <si>
    <t>customer558@email.com</t>
  </si>
  <si>
    <t>+91 6255117359</t>
  </si>
  <si>
    <t>customer559@email.com</t>
  </si>
  <si>
    <t>+91 6592533254</t>
  </si>
  <si>
    <t>customer560@email.com</t>
  </si>
  <si>
    <t>+91 9677112723</t>
  </si>
  <si>
    <t>customer561@email.com</t>
  </si>
  <si>
    <t>+91 6849166169</t>
  </si>
  <si>
    <t>customer562@email.com</t>
  </si>
  <si>
    <t>+91 6817026915</t>
  </si>
  <si>
    <t>customer563@email.com</t>
  </si>
  <si>
    <t>+91 8930635002</t>
  </si>
  <si>
    <t>customer564@email.com</t>
  </si>
  <si>
    <t>+91 7205361722</t>
  </si>
  <si>
    <t>customer565@email.com</t>
  </si>
  <si>
    <t>+91 9353277954</t>
  </si>
  <si>
    <t>C0566</t>
  </si>
  <si>
    <t>customer566@email.com</t>
  </si>
  <si>
    <t>+91 7272361636</t>
  </si>
  <si>
    <t>customer567@email.com</t>
  </si>
  <si>
    <t>+91 6580862699</t>
  </si>
  <si>
    <t>customer568@email.com</t>
  </si>
  <si>
    <t>+91 8039909841</t>
  </si>
  <si>
    <t>customer569@email.com</t>
  </si>
  <si>
    <t>+91 7863186781</t>
  </si>
  <si>
    <t>customer570@email.com</t>
  </si>
  <si>
    <t>+91 6314115785</t>
  </si>
  <si>
    <t>customer571@email.com</t>
  </si>
  <si>
    <t>+91 6344990448</t>
  </si>
  <si>
    <t>customer572@email.com</t>
  </si>
  <si>
    <t>+91 6381686675</t>
  </si>
  <si>
    <t>customer573@email.com</t>
  </si>
  <si>
    <t>+91 9565577682</t>
  </si>
  <si>
    <t>customer574@email.com</t>
  </si>
  <si>
    <t>+91 7340415904</t>
  </si>
  <si>
    <t>customer575@email.com</t>
  </si>
  <si>
    <t>+91 8982002831</t>
  </si>
  <si>
    <t>customer576@email.com</t>
  </si>
  <si>
    <t>+91 7369160335</t>
  </si>
  <si>
    <t>customer577@email.com</t>
  </si>
  <si>
    <t>+91 6805420107</t>
  </si>
  <si>
    <t>customer578@email.com</t>
  </si>
  <si>
    <t>+91 7959860009</t>
  </si>
  <si>
    <t>customer579@email.com</t>
  </si>
  <si>
    <t>+91 8014804763</t>
  </si>
  <si>
    <t>customer580@email.com</t>
  </si>
  <si>
    <t>+91 7578949276</t>
  </si>
  <si>
    <t>customer581@email.com</t>
  </si>
  <si>
    <t>+91 8717068157</t>
  </si>
  <si>
    <t>customer582@email.com</t>
  </si>
  <si>
    <t>+91 6310417972</t>
  </si>
  <si>
    <t>customer583@email.com</t>
  </si>
  <si>
    <t>+91 6802587030</t>
  </si>
  <si>
    <t>customer584@email.com</t>
  </si>
  <si>
    <t>+91 9879115705</t>
  </si>
  <si>
    <t>customer585@email.com</t>
  </si>
  <si>
    <t>+91 9584234709</t>
  </si>
  <si>
    <t>customer586@email.com</t>
  </si>
  <si>
    <t>+91 7461871975</t>
  </si>
  <si>
    <t>customer587@email.com</t>
  </si>
  <si>
    <t>+91 7484239210</t>
  </si>
  <si>
    <t>customer588@email.com</t>
  </si>
  <si>
    <t>+91 6036926924</t>
  </si>
  <si>
    <t>customer589@email.com</t>
  </si>
  <si>
    <t>+91 9603473439</t>
  </si>
  <si>
    <t>customer590@email.com</t>
  </si>
  <si>
    <t>+91 7054380692</t>
  </si>
  <si>
    <t>customer591@email.com</t>
  </si>
  <si>
    <t>+91 6797944822</t>
  </si>
  <si>
    <t>customer592@email.com</t>
  </si>
  <si>
    <t>+91 7286409874</t>
  </si>
  <si>
    <t>C0593</t>
  </si>
  <si>
    <t>customer593@email.com</t>
  </si>
  <si>
    <t>+91 9668577458</t>
  </si>
  <si>
    <t>customer594@email.com</t>
  </si>
  <si>
    <t>+91 8204125845</t>
  </si>
  <si>
    <t>customer595@email.com</t>
  </si>
  <si>
    <t>+91 9821593040</t>
  </si>
  <si>
    <t>customer596@email.com</t>
  </si>
  <si>
    <t>+91 7519619442</t>
  </si>
  <si>
    <t>customer597@email.com</t>
  </si>
  <si>
    <t>+91 6575238107</t>
  </si>
  <si>
    <t>customer598@email.com</t>
  </si>
  <si>
    <t>+91 6558210369</t>
  </si>
  <si>
    <t>customer599@email.com</t>
  </si>
  <si>
    <t>+91 7590650850</t>
  </si>
  <si>
    <t>customer600@email.com</t>
  </si>
  <si>
    <t>+91 7670640759</t>
  </si>
  <si>
    <t>C0601</t>
  </si>
  <si>
    <t>customer601@email.com</t>
  </si>
  <si>
    <t>+91 6457196350</t>
  </si>
  <si>
    <t>customer602@email.com</t>
  </si>
  <si>
    <t>+91 8448321098</t>
  </si>
  <si>
    <t>customer603@email.com</t>
  </si>
  <si>
    <t>+91 8762092595</t>
  </si>
  <si>
    <t>C0604</t>
  </si>
  <si>
    <t>customer604@email.com</t>
  </si>
  <si>
    <t>+91 8477328097</t>
  </si>
  <si>
    <t>customer605@email.com</t>
  </si>
  <si>
    <t>+91 8652064710</t>
  </si>
  <si>
    <t>customer606@email.com</t>
  </si>
  <si>
    <t>+91 9218148832</t>
  </si>
  <si>
    <t>C0607</t>
  </si>
  <si>
    <t>customer607@email.com</t>
  </si>
  <si>
    <t>+91 7574407373</t>
  </si>
  <si>
    <t>customer608@email.com</t>
  </si>
  <si>
    <t>+91 7347383400</t>
  </si>
  <si>
    <t>customer609@email.com</t>
  </si>
  <si>
    <t>+91 6739208312</t>
  </si>
  <si>
    <t>customer610@email.com</t>
  </si>
  <si>
    <t>+91 7444691892</t>
  </si>
  <si>
    <t>customer611@email.com</t>
  </si>
  <si>
    <t>+91 9693646028</t>
  </si>
  <si>
    <t>customer612@email.com</t>
  </si>
  <si>
    <t>+91 8962648253</t>
  </si>
  <si>
    <t>customer613@email.com</t>
  </si>
  <si>
    <t>+91 8193958130</t>
  </si>
  <si>
    <t>customer614@email.com</t>
  </si>
  <si>
    <t>+91 7194033629</t>
  </si>
  <si>
    <t>customer615@email.com</t>
  </si>
  <si>
    <t>+91 7833389605</t>
  </si>
  <si>
    <t>customer616@email.com</t>
  </si>
  <si>
    <t>+91 8033197263</t>
  </si>
  <si>
    <t>customer617@email.com</t>
  </si>
  <si>
    <t>+91 8077555948</t>
  </si>
  <si>
    <t>customer618@email.com</t>
  </si>
  <si>
    <t>+91 9650655927</t>
  </si>
  <si>
    <t>customer619@email.com</t>
  </si>
  <si>
    <t>+91 8295665514</t>
  </si>
  <si>
    <t>customer620@email.com</t>
  </si>
  <si>
    <t>+91 7638371775</t>
  </si>
  <si>
    <t>customer621@email.com</t>
  </si>
  <si>
    <t>+91 6126274675</t>
  </si>
  <si>
    <t>customer622@email.com</t>
  </si>
  <si>
    <t>+91 8199853244</t>
  </si>
  <si>
    <t>customer623@email.com</t>
  </si>
  <si>
    <t>+91 8323755616</t>
  </si>
  <si>
    <t>customer624@email.com</t>
  </si>
  <si>
    <t>+91 9648064923</t>
  </si>
  <si>
    <t>C0625</t>
  </si>
  <si>
    <t>customer625@email.com</t>
  </si>
  <si>
    <t>+91 7230827160</t>
  </si>
  <si>
    <t>customer626@email.com</t>
  </si>
  <si>
    <t>+91 8962127560</t>
  </si>
  <si>
    <t>customer627@email.com</t>
  </si>
  <si>
    <t>+91 9312765592</t>
  </si>
  <si>
    <t>customer628@email.com</t>
  </si>
  <si>
    <t>+91 8780004224</t>
  </si>
  <si>
    <t>customer629@email.com</t>
  </si>
  <si>
    <t>+91 6696510135</t>
  </si>
  <si>
    <t>customer630@email.com</t>
  </si>
  <si>
    <t>+91 8771342591</t>
  </si>
  <si>
    <t>customer631@email.com</t>
  </si>
  <si>
    <t>+91 8975016661</t>
  </si>
  <si>
    <t>customer632@email.com</t>
  </si>
  <si>
    <t>+91 7471945172</t>
  </si>
  <si>
    <t>customer633@email.com</t>
  </si>
  <si>
    <t>+91 9264682768</t>
  </si>
  <si>
    <t>C0634</t>
  </si>
  <si>
    <t>customer634@email.com</t>
  </si>
  <si>
    <t>+91 9535452650</t>
  </si>
  <si>
    <t>customer635@email.com</t>
  </si>
  <si>
    <t>+91 7177792079</t>
  </si>
  <si>
    <t>customer636@email.com</t>
  </si>
  <si>
    <t>+91 6777321690</t>
  </si>
  <si>
    <t>customer637@email.com</t>
  </si>
  <si>
    <t>+91 7909841261</t>
  </si>
  <si>
    <t>customer638@email.com</t>
  </si>
  <si>
    <t>+91 8122024080</t>
  </si>
  <si>
    <t>customer639@email.com</t>
  </si>
  <si>
    <t>+91 8865910537</t>
  </si>
  <si>
    <t>C0640</t>
  </si>
  <si>
    <t>customer640@email.com</t>
  </si>
  <si>
    <t>+91 8327914112</t>
  </si>
  <si>
    <t>customer641@email.com</t>
  </si>
  <si>
    <t>+91 8381418576</t>
  </si>
  <si>
    <t>customer642@email.com</t>
  </si>
  <si>
    <t>+91 6531708817</t>
  </si>
  <si>
    <t>customer643@email.com</t>
  </si>
  <si>
    <t>+91 6544991689</t>
  </si>
  <si>
    <t>customer644@email.com</t>
  </si>
  <si>
    <t>+91 9740320429</t>
  </si>
  <si>
    <t>customer645@email.com</t>
  </si>
  <si>
    <t>+91 6174269322</t>
  </si>
  <si>
    <t>customer646@email.com</t>
  </si>
  <si>
    <t>+91 7268885109</t>
  </si>
  <si>
    <t>customer647@email.com</t>
  </si>
  <si>
    <t>+91 9421072139</t>
  </si>
  <si>
    <t>customer648@email.com</t>
  </si>
  <si>
    <t>+91 6488406964</t>
  </si>
  <si>
    <t>customer649@email.com</t>
  </si>
  <si>
    <t>+91 8346384791</t>
  </si>
  <si>
    <t>customer650@email.com</t>
  </si>
  <si>
    <t>+91 6854611606</t>
  </si>
  <si>
    <t>customer651@email.com</t>
  </si>
  <si>
    <t>+91 9537014547</t>
  </si>
  <si>
    <t>customer652@email.com</t>
  </si>
  <si>
    <t>+91 9679323587</t>
  </si>
  <si>
    <t>customer653@email.com</t>
  </si>
  <si>
    <t>+91 9396016186</t>
  </si>
  <si>
    <t>customer654@email.com</t>
  </si>
  <si>
    <t>+91 7446947549</t>
  </si>
  <si>
    <t>customer655@email.com</t>
  </si>
  <si>
    <t>+91 7593675518</t>
  </si>
  <si>
    <t>customer656@email.com</t>
  </si>
  <si>
    <t>+91 7480670052</t>
  </si>
  <si>
    <t>customer657@email.com</t>
  </si>
  <si>
    <t>+91 9617757206</t>
  </si>
  <si>
    <t>customer658@email.com</t>
  </si>
  <si>
    <t>+91 9024742873</t>
  </si>
  <si>
    <t>customer659@email.com</t>
  </si>
  <si>
    <t>+91 9307477246</t>
  </si>
  <si>
    <t>customer660@email.com</t>
  </si>
  <si>
    <t>+91 9969694237</t>
  </si>
  <si>
    <t>customer661@email.com</t>
  </si>
  <si>
    <t>+91 8730747642</t>
  </si>
  <si>
    <t>customer662@email.com</t>
  </si>
  <si>
    <t>+91 7017492242</t>
  </si>
  <si>
    <t>customer663@email.com</t>
  </si>
  <si>
    <t>+91 7894074576</t>
  </si>
  <si>
    <t>customer664@email.com</t>
  </si>
  <si>
    <t>+91 9645116571</t>
  </si>
  <si>
    <t>C0665</t>
  </si>
  <si>
    <t>customer665@email.com</t>
  </si>
  <si>
    <t>+91 9792607321</t>
  </si>
  <si>
    <t>customer666@email.com</t>
  </si>
  <si>
    <t>+91 9750651519</t>
  </si>
  <si>
    <t>customer667@email.com</t>
  </si>
  <si>
    <t>+91 7095854536</t>
  </si>
  <si>
    <t>customer668@email.com</t>
  </si>
  <si>
    <t>+91 8174397013</t>
  </si>
  <si>
    <t>customer669@email.com</t>
  </si>
  <si>
    <t>+91 6445571039</t>
  </si>
  <si>
    <t>customer670@email.com</t>
  </si>
  <si>
    <t>+91 8926342860</t>
  </si>
  <si>
    <t>customer671@email.com</t>
  </si>
  <si>
    <t>+91 6166650475</t>
  </si>
  <si>
    <t>customer672@email.com</t>
  </si>
  <si>
    <t>+91 7486343218</t>
  </si>
  <si>
    <t>customer673@email.com</t>
  </si>
  <si>
    <t>+91 8876686736</t>
  </si>
  <si>
    <t>customer674@email.com</t>
  </si>
  <si>
    <t>+91 8095830618</t>
  </si>
  <si>
    <t>customer675@email.com</t>
  </si>
  <si>
    <t>+91 6990564693</t>
  </si>
  <si>
    <t>C0676</t>
  </si>
  <si>
    <t>customer676@email.com</t>
  </si>
  <si>
    <t>+91 8856057400</t>
  </si>
  <si>
    <t>C0677</t>
  </si>
  <si>
    <t>customer677@email.com</t>
  </si>
  <si>
    <t>+91 7786963168</t>
  </si>
  <si>
    <t>customer678@email.com</t>
  </si>
  <si>
    <t>+91 9232423023</t>
  </si>
  <si>
    <t>customer679@email.com</t>
  </si>
  <si>
    <t>+91 8543936607</t>
  </si>
  <si>
    <t>customer680@email.com</t>
  </si>
  <si>
    <t>+91 8654590111</t>
  </si>
  <si>
    <t>customer681@email.com</t>
  </si>
  <si>
    <t>+91 7043591250</t>
  </si>
  <si>
    <t>customer682@email.com</t>
  </si>
  <si>
    <t>+91 7961952146</t>
  </si>
  <si>
    <t>customer683@email.com</t>
  </si>
  <si>
    <t>+91 6304102523</t>
  </si>
  <si>
    <t>customer684@email.com</t>
  </si>
  <si>
    <t>+91 7956935815</t>
  </si>
  <si>
    <t>customer685@email.com</t>
  </si>
  <si>
    <t>+91 9279089538</t>
  </si>
  <si>
    <t>customer686@email.com</t>
  </si>
  <si>
    <t>+91 6362200355</t>
  </si>
  <si>
    <t>customer687@email.com</t>
  </si>
  <si>
    <t>+91 8182439475</t>
  </si>
  <si>
    <t>customer688@email.com</t>
  </si>
  <si>
    <t>+91 9884604066</t>
  </si>
  <si>
    <t>C0689</t>
  </si>
  <si>
    <t>customer689@email.com</t>
  </si>
  <si>
    <t>+91 8182778926</t>
  </si>
  <si>
    <t>customer690@email.com</t>
  </si>
  <si>
    <t>+91 7910927457</t>
  </si>
  <si>
    <t>customer691@email.com</t>
  </si>
  <si>
    <t>+91 7394244789</t>
  </si>
  <si>
    <t>customer692@email.com</t>
  </si>
  <si>
    <t>+91 7462408449</t>
  </si>
  <si>
    <t>C0693</t>
  </si>
  <si>
    <t>customer693@email.com</t>
  </si>
  <si>
    <t>+91 7218431968</t>
  </si>
  <si>
    <t>customer694@email.com</t>
  </si>
  <si>
    <t>+91 8964074030</t>
  </si>
  <si>
    <t>customer695@email.com</t>
  </si>
  <si>
    <t>+91 8580939001</t>
  </si>
  <si>
    <t>customer696@email.com</t>
  </si>
  <si>
    <t>+91 7766026768</t>
  </si>
  <si>
    <t>customer697@email.com</t>
  </si>
  <si>
    <t>+91 8967162538</t>
  </si>
  <si>
    <t>C0698</t>
  </si>
  <si>
    <t>customer698@email.com</t>
  </si>
  <si>
    <t>+91 9936877943</t>
  </si>
  <si>
    <t>customer699@email.com</t>
  </si>
  <si>
    <t>+91 9242959788</t>
  </si>
  <si>
    <t>C0700</t>
  </si>
  <si>
    <t>customer700@email.com</t>
  </si>
  <si>
    <t>+91 9312469519</t>
  </si>
  <si>
    <t>customer701@email.com</t>
  </si>
  <si>
    <t>+91 7298917746</t>
  </si>
  <si>
    <t>customer702@email.com</t>
  </si>
  <si>
    <t>+91 7806347010</t>
  </si>
  <si>
    <t>C0703</t>
  </si>
  <si>
    <t>customer703@email.com</t>
  </si>
  <si>
    <t>+91 9402117402</t>
  </si>
  <si>
    <t>customer704@email.com</t>
  </si>
  <si>
    <t>+91 8864125572</t>
  </si>
  <si>
    <t>C0705</t>
  </si>
  <si>
    <t>customer705@email.com</t>
  </si>
  <si>
    <t>+91 9713489619</t>
  </si>
  <si>
    <t>customer706@email.com</t>
  </si>
  <si>
    <t>+91 7000891444</t>
  </si>
  <si>
    <t>customer707@email.com</t>
  </si>
  <si>
    <t>+91 7432070096</t>
  </si>
  <si>
    <t>C0708</t>
  </si>
  <si>
    <t>customer708@email.com</t>
  </si>
  <si>
    <t>+91 6309492104</t>
  </si>
  <si>
    <t>customer709@email.com</t>
  </si>
  <si>
    <t>+91 9143538899</t>
  </si>
  <si>
    <t>customer710@email.com</t>
  </si>
  <si>
    <t>+91 6429948855</t>
  </si>
  <si>
    <t>customer711@email.com</t>
  </si>
  <si>
    <t>+91 6671833935</t>
  </si>
  <si>
    <t>customer712@email.com</t>
  </si>
  <si>
    <t>+91 7218926054</t>
  </si>
  <si>
    <t>customer713@email.com</t>
  </si>
  <si>
    <t>+91 7697800651</t>
  </si>
  <si>
    <t>customer714@email.com</t>
  </si>
  <si>
    <t>+91 6214570631</t>
  </si>
  <si>
    <t>customer715@email.com</t>
  </si>
  <si>
    <t>+91 8196016193</t>
  </si>
  <si>
    <t>customer716@email.com</t>
  </si>
  <si>
    <t>+91 8495756309</t>
  </si>
  <si>
    <t>customer717@email.com</t>
  </si>
  <si>
    <t>+91 8585451603</t>
  </si>
  <si>
    <t>C0718</t>
  </si>
  <si>
    <t>customer718@email.com</t>
  </si>
  <si>
    <t>+91 7588476162</t>
  </si>
  <si>
    <t>customer719@email.com</t>
  </si>
  <si>
    <t>+91 7232164042</t>
  </si>
  <si>
    <t>customer720@email.com</t>
  </si>
  <si>
    <t>+91 8945932045</t>
  </si>
  <si>
    <t>customer721@email.com</t>
  </si>
  <si>
    <t>+91 9142283558</t>
  </si>
  <si>
    <t>customer722@email.com</t>
  </si>
  <si>
    <t>+91 7116165758</t>
  </si>
  <si>
    <t>customer723@email.com</t>
  </si>
  <si>
    <t>+91 7933969039</t>
  </si>
  <si>
    <t>customer724@email.com</t>
  </si>
  <si>
    <t>+91 8570596833</t>
  </si>
  <si>
    <t>customer725@email.com</t>
  </si>
  <si>
    <t>+91 7727796651</t>
  </si>
  <si>
    <t>customer726@email.com</t>
  </si>
  <si>
    <t>+91 7036477737</t>
  </si>
  <si>
    <t>customer727@email.com</t>
  </si>
  <si>
    <t>+91 7745811060</t>
  </si>
  <si>
    <t>customer728@email.com</t>
  </si>
  <si>
    <t>+91 9243191432</t>
  </si>
  <si>
    <t>customer729@email.com</t>
  </si>
  <si>
    <t>+91 8649323884</t>
  </si>
  <si>
    <t>customer730@email.com</t>
  </si>
  <si>
    <t>+91 6507876996</t>
  </si>
  <si>
    <t>customer731@email.com</t>
  </si>
  <si>
    <t>+91 9515639552</t>
  </si>
  <si>
    <t>customer732@email.com</t>
  </si>
  <si>
    <t>+91 8053698792</t>
  </si>
  <si>
    <t>customer733@email.com</t>
  </si>
  <si>
    <t>+91 8483991881</t>
  </si>
  <si>
    <t>customer734@email.com</t>
  </si>
  <si>
    <t>+91 7471850637</t>
  </si>
  <si>
    <t>C0735</t>
  </si>
  <si>
    <t>customer735@email.com</t>
  </si>
  <si>
    <t>+91 8481026941</t>
  </si>
  <si>
    <t>customer736@email.com</t>
  </si>
  <si>
    <t>+91 8024952897</t>
  </si>
  <si>
    <t>customer737@email.com</t>
  </si>
  <si>
    <t>+91 7844300415</t>
  </si>
  <si>
    <t>customer738@email.com</t>
  </si>
  <si>
    <t>+91 7663987844</t>
  </si>
  <si>
    <t>customer739@email.com</t>
  </si>
  <si>
    <t>+91 6070590835</t>
  </si>
  <si>
    <t>customer740@email.com</t>
  </si>
  <si>
    <t>+91 7570355543</t>
  </si>
  <si>
    <t>customer741@email.com</t>
  </si>
  <si>
    <t>+91 9210891255</t>
  </si>
  <si>
    <t>customer742@email.com</t>
  </si>
  <si>
    <t>+91 6994909897</t>
  </si>
  <si>
    <t>customer743@email.com</t>
  </si>
  <si>
    <t>+91 8321561045</t>
  </si>
  <si>
    <t>customer744@email.com</t>
  </si>
  <si>
    <t>+91 9772153540</t>
  </si>
  <si>
    <t>customer745@email.com</t>
  </si>
  <si>
    <t>+91 9090875623</t>
  </si>
  <si>
    <t>C0746</t>
  </si>
  <si>
    <t>customer746@email.com</t>
  </si>
  <si>
    <t>+91 6219989760</t>
  </si>
  <si>
    <t>customer747@email.com</t>
  </si>
  <si>
    <t>+91 8841626376</t>
  </si>
  <si>
    <t>customer748@email.com</t>
  </si>
  <si>
    <t>+91 7416330433</t>
  </si>
  <si>
    <t>C0749</t>
  </si>
  <si>
    <t>customer749@email.com</t>
  </si>
  <si>
    <t>+91 6376505289</t>
  </si>
  <si>
    <t>customer750@email.com</t>
  </si>
  <si>
    <t>+91 7239901440</t>
  </si>
  <si>
    <t>customer751@email.com</t>
  </si>
  <si>
    <t>+91 9509035069</t>
  </si>
  <si>
    <t>customer752@email.com</t>
  </si>
  <si>
    <t>+91 6458494124</t>
  </si>
  <si>
    <t>customer753@email.com</t>
  </si>
  <si>
    <t>+91 6198643670</t>
  </si>
  <si>
    <t>customer754@email.com</t>
  </si>
  <si>
    <t>+91 7947144475</t>
  </si>
  <si>
    <t>C0755</t>
  </si>
  <si>
    <t>customer755@email.com</t>
  </si>
  <si>
    <t>+91 9608918186</t>
  </si>
  <si>
    <t>customer756@email.com</t>
  </si>
  <si>
    <t>+91 8691944951</t>
  </si>
  <si>
    <t>customer757@email.com</t>
  </si>
  <si>
    <t>+91 7691836459</t>
  </si>
  <si>
    <t>customer758@email.com</t>
  </si>
  <si>
    <t>+91 6403362137</t>
  </si>
  <si>
    <t>customer759@email.com</t>
  </si>
  <si>
    <t>+91 9473200356</t>
  </si>
  <si>
    <t>customer760@email.com</t>
  </si>
  <si>
    <t>+91 7776478546</t>
  </si>
  <si>
    <t>customer761@email.com</t>
  </si>
  <si>
    <t>+91 6370195159</t>
  </si>
  <si>
    <t>customer762@email.com</t>
  </si>
  <si>
    <t>+91 7402449069</t>
  </si>
  <si>
    <t>customer763@email.com</t>
  </si>
  <si>
    <t>+91 6764021526</t>
  </si>
  <si>
    <t>customer764@email.com</t>
  </si>
  <si>
    <t>+91 6043876207</t>
  </si>
  <si>
    <t>customer765@email.com</t>
  </si>
  <si>
    <t>+91 6191385029</t>
  </si>
  <si>
    <t>customer766@email.com</t>
  </si>
  <si>
    <t>+91 6009272748</t>
  </si>
  <si>
    <t>customer767@email.com</t>
  </si>
  <si>
    <t>+91 9424280918</t>
  </si>
  <si>
    <t>customer768@email.com</t>
  </si>
  <si>
    <t>+91 6839038449</t>
  </si>
  <si>
    <t>customer769@email.com</t>
  </si>
  <si>
    <t>+91 6528146101</t>
  </si>
  <si>
    <t>C0770</t>
  </si>
  <si>
    <t>customer770@email.com</t>
  </si>
  <si>
    <t>+91 9702395792</t>
  </si>
  <si>
    <t>customer771@email.com</t>
  </si>
  <si>
    <t>+91 6552695916</t>
  </si>
  <si>
    <t>customer772@email.com</t>
  </si>
  <si>
    <t>+91 6527280146</t>
  </si>
  <si>
    <t>customer773@email.com</t>
  </si>
  <si>
    <t>+91 8778606190</t>
  </si>
  <si>
    <t>customer774@email.com</t>
  </si>
  <si>
    <t>+91 7185736552</t>
  </si>
  <si>
    <t>C0775</t>
  </si>
  <si>
    <t>customer775@email.com</t>
  </si>
  <si>
    <t>+91 7825899977</t>
  </si>
  <si>
    <t>customer776@email.com</t>
  </si>
  <si>
    <t>+91 7988571851</t>
  </si>
  <si>
    <t>customer777@email.com</t>
  </si>
  <si>
    <t>+91 8950226348</t>
  </si>
  <si>
    <t>customer778@email.com</t>
  </si>
  <si>
    <t>+91 6502049183</t>
  </si>
  <si>
    <t>customer779@email.com</t>
  </si>
  <si>
    <t>+91 9851942175</t>
  </si>
  <si>
    <t>customer780@email.com</t>
  </si>
  <si>
    <t>+91 6647083471</t>
  </si>
  <si>
    <t>customer781@email.com</t>
  </si>
  <si>
    <t>+91 6071686904</t>
  </si>
  <si>
    <t>customer782@email.com</t>
  </si>
  <si>
    <t>+91 8636674275</t>
  </si>
  <si>
    <t>C0783</t>
  </si>
  <si>
    <t>customer783@email.com</t>
  </si>
  <si>
    <t>+91 6424795130</t>
  </si>
  <si>
    <t>customer784@email.com</t>
  </si>
  <si>
    <t>+91 8125900919</t>
  </si>
  <si>
    <t>customer785@email.com</t>
  </si>
  <si>
    <t>+91 9306766584</t>
  </si>
  <si>
    <t>customer786@email.com</t>
  </si>
  <si>
    <t>+91 9512641441</t>
  </si>
  <si>
    <t>C0787</t>
  </si>
  <si>
    <t>customer787@email.com</t>
  </si>
  <si>
    <t>+91 8088219428</t>
  </si>
  <si>
    <t>C0788</t>
  </si>
  <si>
    <t>customer788@email.com</t>
  </si>
  <si>
    <t>+91 7276240110</t>
  </si>
  <si>
    <t>customer789@email.com</t>
  </si>
  <si>
    <t>+91 9867225051</t>
  </si>
  <si>
    <t>customer790@email.com</t>
  </si>
  <si>
    <t>+91 7232776994</t>
  </si>
  <si>
    <t>customer791@email.com</t>
  </si>
  <si>
    <t>+91 7144221798</t>
  </si>
  <si>
    <t>C0792</t>
  </si>
  <si>
    <t>customer792@email.com</t>
  </si>
  <si>
    <t>+91 7123975586</t>
  </si>
  <si>
    <t>C0793</t>
  </si>
  <si>
    <t>customer793@email.com</t>
  </si>
  <si>
    <t>+91 8777658590</t>
  </si>
  <si>
    <t>customer794@email.com</t>
  </si>
  <si>
    <t>+91 6432115503</t>
  </si>
  <si>
    <t>customer795@email.com</t>
  </si>
  <si>
    <t>+91 7769058766</t>
  </si>
  <si>
    <t>C0796</t>
  </si>
  <si>
    <t>customer796@email.com</t>
  </si>
  <si>
    <t>+91 6454502178</t>
  </si>
  <si>
    <t>customer797@email.com</t>
  </si>
  <si>
    <t>+91 6484858569</t>
  </si>
  <si>
    <t>C0798</t>
  </si>
  <si>
    <t>customer798@email.com</t>
  </si>
  <si>
    <t>+91 8920617560</t>
  </si>
  <si>
    <t>customer799@email.com</t>
  </si>
  <si>
    <t>+91 6872407338</t>
  </si>
  <si>
    <t>customer800@email.com</t>
  </si>
  <si>
    <t>+91 7455121848</t>
  </si>
  <si>
    <t>customer801@email.com</t>
  </si>
  <si>
    <t>+91 8121083947</t>
  </si>
  <si>
    <t>customer802@email.com</t>
  </si>
  <si>
    <t>+91 7523645771</t>
  </si>
  <si>
    <t>customer803@email.com</t>
  </si>
  <si>
    <t>+91 7167080486</t>
  </si>
  <si>
    <t>customer804@email.com</t>
  </si>
  <si>
    <t>+91 6634852577</t>
  </si>
  <si>
    <t>customer805@email.com</t>
  </si>
  <si>
    <t>+91 9979437930</t>
  </si>
  <si>
    <t>customer806@email.com</t>
  </si>
  <si>
    <t>+91 6322294936</t>
  </si>
  <si>
    <t>customer807@email.com</t>
  </si>
  <si>
    <t>+91 7914664233</t>
  </si>
  <si>
    <t>customer808@email.com</t>
  </si>
  <si>
    <t>+91 9325101904</t>
  </si>
  <si>
    <t>customer809@email.com</t>
  </si>
  <si>
    <t>+91 6456832017</t>
  </si>
  <si>
    <t>customer810@email.com</t>
  </si>
  <si>
    <t>+91 6324102413</t>
  </si>
  <si>
    <t>customer811@email.com</t>
  </si>
  <si>
    <t>+91 8604591200</t>
  </si>
  <si>
    <t>customer812@email.com</t>
  </si>
  <si>
    <t>+91 6992007089</t>
  </si>
  <si>
    <t>customer813@email.com</t>
  </si>
  <si>
    <t>+91 7377649536</t>
  </si>
  <si>
    <t>customer814@email.com</t>
  </si>
  <si>
    <t>+91 7776614571</t>
  </si>
  <si>
    <t>customer815@email.com</t>
  </si>
  <si>
    <t>+91 7647087207</t>
  </si>
  <si>
    <t>customer816@email.com</t>
  </si>
  <si>
    <t>+91 9936827093</t>
  </si>
  <si>
    <t>customer817@email.com</t>
  </si>
  <si>
    <t>+91 7560163079</t>
  </si>
  <si>
    <t>C0818</t>
  </si>
  <si>
    <t>customer818@email.com</t>
  </si>
  <si>
    <t>+91 7986757031</t>
  </si>
  <si>
    <t>customer819@email.com</t>
  </si>
  <si>
    <t>+91 9932239688</t>
  </si>
  <si>
    <t>customer820@email.com</t>
  </si>
  <si>
    <t>+91 7968640406</t>
  </si>
  <si>
    <t>customer821@email.com</t>
  </si>
  <si>
    <t>+91 6863343597</t>
  </si>
  <si>
    <t>customer822@email.com</t>
  </si>
  <si>
    <t>+91 7078322102</t>
  </si>
  <si>
    <t>customer823@email.com</t>
  </si>
  <si>
    <t>+91 7190976879</t>
  </si>
  <si>
    <t>C0824</t>
  </si>
  <si>
    <t>customer824@email.com</t>
  </si>
  <si>
    <t>+91 6970814695</t>
  </si>
  <si>
    <t>customer825@email.com</t>
  </si>
  <si>
    <t>+91 9369038917</t>
  </si>
  <si>
    <t>customer826@email.com</t>
  </si>
  <si>
    <t>+91 6629921999</t>
  </si>
  <si>
    <t>customer827@email.com</t>
  </si>
  <si>
    <t>+91 9447442791</t>
  </si>
  <si>
    <t>customer828@email.com</t>
  </si>
  <si>
    <t>+91 6435800627</t>
  </si>
  <si>
    <t>customer829@email.com</t>
  </si>
  <si>
    <t>+91 7018919660</t>
  </si>
  <si>
    <t>customer830@email.com</t>
  </si>
  <si>
    <t>+91 9141584145</t>
  </si>
  <si>
    <t>customer831@email.com</t>
  </si>
  <si>
    <t>+91 6446752072</t>
  </si>
  <si>
    <t>customer832@email.com</t>
  </si>
  <si>
    <t>+91 9245296568</t>
  </si>
  <si>
    <t>C0833</t>
  </si>
  <si>
    <t>customer833@email.com</t>
  </si>
  <si>
    <t>+91 9055896550</t>
  </si>
  <si>
    <t>customer834@email.com</t>
  </si>
  <si>
    <t>+91 9771843471</t>
  </si>
  <si>
    <t>customer835@email.com</t>
  </si>
  <si>
    <t>+91 8013562906</t>
  </si>
  <si>
    <t>customer836@email.com</t>
  </si>
  <si>
    <t>+91 8619327251</t>
  </si>
  <si>
    <t>customer837@email.com</t>
  </si>
  <si>
    <t>+91 7343373446</t>
  </si>
  <si>
    <t>customer838@email.com</t>
  </si>
  <si>
    <t>+91 7617452216</t>
  </si>
  <si>
    <t>customer839@email.com</t>
  </si>
  <si>
    <t>+91 7814799655</t>
  </si>
  <si>
    <t>customer840@email.com</t>
  </si>
  <si>
    <t>+91 6304226426</t>
  </si>
  <si>
    <t>customer841@email.com</t>
  </si>
  <si>
    <t>+91 6912920558</t>
  </si>
  <si>
    <t>C0842</t>
  </si>
  <si>
    <t>customer842@email.com</t>
  </si>
  <si>
    <t>+91 7315695689</t>
  </si>
  <si>
    <t>customer843@email.com</t>
  </si>
  <si>
    <t>+91 8825166898</t>
  </si>
  <si>
    <t>customer844@email.com</t>
  </si>
  <si>
    <t>+91 8956331142</t>
  </si>
  <si>
    <t>customer845@email.com</t>
  </si>
  <si>
    <t>+91 9185575922</t>
  </si>
  <si>
    <t>C0846</t>
  </si>
  <si>
    <t>customer846@email.com</t>
  </si>
  <si>
    <t>+91 9982018486</t>
  </si>
  <si>
    <t>customer847@email.com</t>
  </si>
  <si>
    <t>+91 9291320988</t>
  </si>
  <si>
    <t>customer848@email.com</t>
  </si>
  <si>
    <t>+91 8659895620</t>
  </si>
  <si>
    <t>customer849@email.com</t>
  </si>
  <si>
    <t>+91 8985349635</t>
  </si>
  <si>
    <t>C0850</t>
  </si>
  <si>
    <t>customer850@email.com</t>
  </si>
  <si>
    <t>+91 8627783654</t>
  </si>
  <si>
    <t>customer851@email.com</t>
  </si>
  <si>
    <t>+91 8827941953</t>
  </si>
  <si>
    <t>customer852@email.com</t>
  </si>
  <si>
    <t>+91 6256699108</t>
  </si>
  <si>
    <t>customer853@email.com</t>
  </si>
  <si>
    <t>+91 8140734407</t>
  </si>
  <si>
    <t>customer854@email.com</t>
  </si>
  <si>
    <t>+91 7258266052</t>
  </si>
  <si>
    <t>customer855@email.com</t>
  </si>
  <si>
    <t>+91 6963014691</t>
  </si>
  <si>
    <t>customer856@email.com</t>
  </si>
  <si>
    <t>+91 7410632436</t>
  </si>
  <si>
    <t>customer857@email.com</t>
  </si>
  <si>
    <t>+91 6214728764</t>
  </si>
  <si>
    <t>customer858@email.com</t>
  </si>
  <si>
    <t>+91 8249171106</t>
  </si>
  <si>
    <t>C0859</t>
  </si>
  <si>
    <t>customer859@email.com</t>
  </si>
  <si>
    <t>+91 7786958124</t>
  </si>
  <si>
    <t>customer860@email.com</t>
  </si>
  <si>
    <t>+91 6907579065</t>
  </si>
  <si>
    <t>customer861@email.com</t>
  </si>
  <si>
    <t>+91 6496088409</t>
  </si>
  <si>
    <t>customer862@email.com</t>
  </si>
  <si>
    <t>+91 7444897694</t>
  </si>
  <si>
    <t>customer863@email.com</t>
  </si>
  <si>
    <t>+91 6076090159</t>
  </si>
  <si>
    <t>customer864@email.com</t>
  </si>
  <si>
    <t>+91 7528376458</t>
  </si>
  <si>
    <t>customer865@email.com</t>
  </si>
  <si>
    <t>+91 7055047427</t>
  </si>
  <si>
    <t>customer866@email.com</t>
  </si>
  <si>
    <t>+91 6543485314</t>
  </si>
  <si>
    <t>customer867@email.com</t>
  </si>
  <si>
    <t>+91 9477963874</t>
  </si>
  <si>
    <t>customer868@email.com</t>
  </si>
  <si>
    <t>+91 8599064379</t>
  </si>
  <si>
    <t>customer869@email.com</t>
  </si>
  <si>
    <t>+91 8835783111</t>
  </si>
  <si>
    <t>customer870@email.com</t>
  </si>
  <si>
    <t>+91 7163725124</t>
  </si>
  <si>
    <t>customer871@email.com</t>
  </si>
  <si>
    <t>+91 7354876143</t>
  </si>
  <si>
    <t>customer872@email.com</t>
  </si>
  <si>
    <t>+91 9134207056</t>
  </si>
  <si>
    <t>customer873@email.com</t>
  </si>
  <si>
    <t>+91 9368093687</t>
  </si>
  <si>
    <t>customer874@email.com</t>
  </si>
  <si>
    <t>+91 6756297687</t>
  </si>
  <si>
    <t>customer875@email.com</t>
  </si>
  <si>
    <t>+91 7934697154</t>
  </si>
  <si>
    <t>customer876@email.com</t>
  </si>
  <si>
    <t>+91 7858835920</t>
  </si>
  <si>
    <t>C0877</t>
  </si>
  <si>
    <t>customer877@email.com</t>
  </si>
  <si>
    <t>+91 8054210335</t>
  </si>
  <si>
    <t>customer878@email.com</t>
  </si>
  <si>
    <t>+91 6834239829</t>
  </si>
  <si>
    <t>customer879@email.com</t>
  </si>
  <si>
    <t>+91 9572851625</t>
  </si>
  <si>
    <t>customer880@email.com</t>
  </si>
  <si>
    <t>+91 8336052796</t>
  </si>
  <si>
    <t>customer881@email.com</t>
  </si>
  <si>
    <t>+91 6033356239</t>
  </si>
  <si>
    <t>customer882@email.com</t>
  </si>
  <si>
    <t>+91 6352683472</t>
  </si>
  <si>
    <t>customer883@email.com</t>
  </si>
  <si>
    <t>+91 7481471458</t>
  </si>
  <si>
    <t>customer884@email.com</t>
  </si>
  <si>
    <t>+91 8300335271</t>
  </si>
  <si>
    <t>customer885@email.com</t>
  </si>
  <si>
    <t>+91 8240998656</t>
  </si>
  <si>
    <t>C0886</t>
  </si>
  <si>
    <t>customer886@email.com</t>
  </si>
  <si>
    <t>+91 9798134124</t>
  </si>
  <si>
    <t>customer887@email.com</t>
  </si>
  <si>
    <t>+91 7297347614</t>
  </si>
  <si>
    <t>customer888@email.com</t>
  </si>
  <si>
    <t>+91 9749576096</t>
  </si>
  <si>
    <t>customer889@email.com</t>
  </si>
  <si>
    <t>+91 6473461597</t>
  </si>
  <si>
    <t>customer890@email.com</t>
  </si>
  <si>
    <t>+91 9959206758</t>
  </si>
  <si>
    <t>customer891@email.com</t>
  </si>
  <si>
    <t>+91 7559651680</t>
  </si>
  <si>
    <t>customer892@email.com</t>
  </si>
  <si>
    <t>+91 6113237786</t>
  </si>
  <si>
    <t>customer893@email.com</t>
  </si>
  <si>
    <t>+91 9311675435</t>
  </si>
  <si>
    <t>customer894@email.com</t>
  </si>
  <si>
    <t>+91 8803972954</t>
  </si>
  <si>
    <t>customer895@email.com</t>
  </si>
  <si>
    <t>+91 7344996043</t>
  </si>
  <si>
    <t>customer896@email.com</t>
  </si>
  <si>
    <t>+91 6487049426</t>
  </si>
  <si>
    <t>customer897@email.com</t>
  </si>
  <si>
    <t>+91 8086150966</t>
  </si>
  <si>
    <t>customer898@email.com</t>
  </si>
  <si>
    <t>+91 8526730566</t>
  </si>
  <si>
    <t>customer899@email.com</t>
  </si>
  <si>
    <t>+91 7632055879</t>
  </si>
  <si>
    <t>customer900@email.com</t>
  </si>
  <si>
    <t>+91 7841620310</t>
  </si>
  <si>
    <t>customer901@email.com</t>
  </si>
  <si>
    <t>+91 9929789241</t>
  </si>
  <si>
    <t>customer902@email.com</t>
  </si>
  <si>
    <t>+91 6601502389</t>
  </si>
  <si>
    <t>customer903@email.com</t>
  </si>
  <si>
    <t>+91 8853439575</t>
  </si>
  <si>
    <t>customer904@email.com</t>
  </si>
  <si>
    <t>+91 7262844570</t>
  </si>
  <si>
    <t>customer905@email.com</t>
  </si>
  <si>
    <t>+91 6412900722</t>
  </si>
  <si>
    <t>customer906@email.com</t>
  </si>
  <si>
    <t>+91 6945395289</t>
  </si>
  <si>
    <t>customer907@email.com</t>
  </si>
  <si>
    <t>+91 8337365378</t>
  </si>
  <si>
    <t>customer908@email.com</t>
  </si>
  <si>
    <t>+91 7450092640</t>
  </si>
  <si>
    <t>customer909@email.com</t>
  </si>
  <si>
    <t>+91 9187134586</t>
  </si>
  <si>
    <t>customer910@email.com</t>
  </si>
  <si>
    <t>+91 9618295024</t>
  </si>
  <si>
    <t>customer911@email.com</t>
  </si>
  <si>
    <t>+91 9431780805</t>
  </si>
  <si>
    <t>C0912</t>
  </si>
  <si>
    <t>customer912@email.com</t>
  </si>
  <si>
    <t>+91 8807996340</t>
  </si>
  <si>
    <t>customer913@email.com</t>
  </si>
  <si>
    <t>+91 7529164985</t>
  </si>
  <si>
    <t>C0914</t>
  </si>
  <si>
    <t>customer914@email.com</t>
  </si>
  <si>
    <t>+91 6641821796</t>
  </si>
  <si>
    <t>customer915@email.com</t>
  </si>
  <si>
    <t>+91 6446561873</t>
  </si>
  <si>
    <t>customer916@email.com</t>
  </si>
  <si>
    <t>+91 7290071840</t>
  </si>
  <si>
    <t>customer917@email.com</t>
  </si>
  <si>
    <t>+91 8186224054</t>
  </si>
  <si>
    <t>customer918@email.com</t>
  </si>
  <si>
    <t>+91 9321444477</t>
  </si>
  <si>
    <t>customer919@email.com</t>
  </si>
  <si>
    <t>+91 8514164094</t>
  </si>
  <si>
    <t>C0920</t>
  </si>
  <si>
    <t>customer920@email.com</t>
  </si>
  <si>
    <t>+91 8389700277</t>
  </si>
  <si>
    <t>customer921@email.com</t>
  </si>
  <si>
    <t>+91 6166029127</t>
  </si>
  <si>
    <t>customer922@email.com</t>
  </si>
  <si>
    <t>+91 7128074885</t>
  </si>
  <si>
    <t>customer923@email.com</t>
  </si>
  <si>
    <t>+91 8500882997</t>
  </si>
  <si>
    <t>customer924@email.com</t>
  </si>
  <si>
    <t>+91 8425470378</t>
  </si>
  <si>
    <t>customer925@email.com</t>
  </si>
  <si>
    <t>+91 6502721417</t>
  </si>
  <si>
    <t>customer926@email.com</t>
  </si>
  <si>
    <t>+91 6794937328</t>
  </si>
  <si>
    <t>C0927</t>
  </si>
  <si>
    <t>customer927@email.com</t>
  </si>
  <si>
    <t>+91 8384593625</t>
  </si>
  <si>
    <t>customer928@email.com</t>
  </si>
  <si>
    <t>+91 7346169986</t>
  </si>
  <si>
    <t>customer929@email.com</t>
  </si>
  <si>
    <t>+91 6996194010</t>
  </si>
  <si>
    <t>customer930@email.com</t>
  </si>
  <si>
    <t>+91 7618875408</t>
  </si>
  <si>
    <t>C0931</t>
  </si>
  <si>
    <t>customer931@email.com</t>
  </si>
  <si>
    <t>+91 6585004985</t>
  </si>
  <si>
    <t>customer932@email.com</t>
  </si>
  <si>
    <t>+91 8544658942</t>
  </si>
  <si>
    <t>customer933@email.com</t>
  </si>
  <si>
    <t>+91 9667321072</t>
  </si>
  <si>
    <t>C0934</t>
  </si>
  <si>
    <t>customer934@email.com</t>
  </si>
  <si>
    <t>+91 6412678907</t>
  </si>
  <si>
    <t>customer935@email.com</t>
  </si>
  <si>
    <t>+91 9329690004</t>
  </si>
  <si>
    <t>customer936@email.com</t>
  </si>
  <si>
    <t>+91 6943615910</t>
  </si>
  <si>
    <t>customer937@email.com</t>
  </si>
  <si>
    <t>+91 9214387665</t>
  </si>
  <si>
    <t>customer938@email.com</t>
  </si>
  <si>
    <t>+91 8606995656</t>
  </si>
  <si>
    <t>customer939@email.com</t>
  </si>
  <si>
    <t>+91 9908502082</t>
  </si>
  <si>
    <t>customer940@email.com</t>
  </si>
  <si>
    <t>+91 8103449971</t>
  </si>
  <si>
    <t>customer941@email.com</t>
  </si>
  <si>
    <t>+91 6689322311</t>
  </si>
  <si>
    <t>customer942@email.com</t>
  </si>
  <si>
    <t>+91 6007407323</t>
  </si>
  <si>
    <t>customer943@email.com</t>
  </si>
  <si>
    <t>+91 9996858865</t>
  </si>
  <si>
    <t>C0944</t>
  </si>
  <si>
    <t>customer944@email.com</t>
  </si>
  <si>
    <t>+91 9218371502</t>
  </si>
  <si>
    <t>customer945@email.com</t>
  </si>
  <si>
    <t>+91 7942521574</t>
  </si>
  <si>
    <t>customer946@email.com</t>
  </si>
  <si>
    <t>+91 8632646604</t>
  </si>
  <si>
    <t>customer947@email.com</t>
  </si>
  <si>
    <t>+91 6222128126</t>
  </si>
  <si>
    <t>customer948@email.com</t>
  </si>
  <si>
    <t>+91 9651867512</t>
  </si>
  <si>
    <t>customer949@email.com</t>
  </si>
  <si>
    <t>+91 9098740717</t>
  </si>
  <si>
    <t>customer950@email.com</t>
  </si>
  <si>
    <t>+91 8370209904</t>
  </si>
  <si>
    <t>customer951@email.com</t>
  </si>
  <si>
    <t>+91 9822883572</t>
  </si>
  <si>
    <t>customer952@email.com</t>
  </si>
  <si>
    <t>+91 7195296713</t>
  </si>
  <si>
    <t>customer953@email.com</t>
  </si>
  <si>
    <t>+91 6964566391</t>
  </si>
  <si>
    <t>customer954@email.com</t>
  </si>
  <si>
    <t>+91 9608427294</t>
  </si>
  <si>
    <t>customer955@email.com</t>
  </si>
  <si>
    <t>+91 9722743797</t>
  </si>
  <si>
    <t>customer956@email.com</t>
  </si>
  <si>
    <t>+91 7741492784</t>
  </si>
  <si>
    <t>customer957@email.com</t>
  </si>
  <si>
    <t>+91 7617670328</t>
  </si>
  <si>
    <t>customer958@email.com</t>
  </si>
  <si>
    <t>+91 8236709638</t>
  </si>
  <si>
    <t>customer959@email.com</t>
  </si>
  <si>
    <t>+91 7610308906</t>
  </si>
  <si>
    <t>customer960@email.com</t>
  </si>
  <si>
    <t>+91 8793164201</t>
  </si>
  <si>
    <t>customer961@email.com</t>
  </si>
  <si>
    <t>+91 8697900608</t>
  </si>
  <si>
    <t>customer962@email.com</t>
  </si>
  <si>
    <t>+91 7042948381</t>
  </si>
  <si>
    <t>customer963@email.com</t>
  </si>
  <si>
    <t>+91 8803537085</t>
  </si>
  <si>
    <t>customer964@email.com</t>
  </si>
  <si>
    <t>+91 6144165867</t>
  </si>
  <si>
    <t>customer965@email.com</t>
  </si>
  <si>
    <t>+91 9578002473</t>
  </si>
  <si>
    <t>customer966@email.com</t>
  </si>
  <si>
    <t>+91 9353826970</t>
  </si>
  <si>
    <t>customer967@email.com</t>
  </si>
  <si>
    <t>+91 9861251649</t>
  </si>
  <si>
    <t>customer968@email.com</t>
  </si>
  <si>
    <t>+91 8995631876</t>
  </si>
  <si>
    <t>customer969@email.com</t>
  </si>
  <si>
    <t>+91 7762641007</t>
  </si>
  <si>
    <t>customer970@email.com</t>
  </si>
  <si>
    <t>+91 6660649708</t>
  </si>
  <si>
    <t>customer971@email.com</t>
  </si>
  <si>
    <t>+91 8645312909</t>
  </si>
  <si>
    <t>customer972@email.com</t>
  </si>
  <si>
    <t>+91 7928716947</t>
  </si>
  <si>
    <t>customer973@email.com</t>
  </si>
  <si>
    <t>+91 7701599286</t>
  </si>
  <si>
    <t>customer974@email.com</t>
  </si>
  <si>
    <t>+91 8823855393</t>
  </si>
  <si>
    <t>customer975@email.com</t>
  </si>
  <si>
    <t>+91 8668187028</t>
  </si>
  <si>
    <t>customer976@email.com</t>
  </si>
  <si>
    <t>+91 6346277153</t>
  </si>
  <si>
    <t>customer977@email.com</t>
  </si>
  <si>
    <t>+91 9614657641</t>
  </si>
  <si>
    <t>C0978</t>
  </si>
  <si>
    <t>customer978@email.com</t>
  </si>
  <si>
    <t>+91 7899302104</t>
  </si>
  <si>
    <t>customer979@email.com</t>
  </si>
  <si>
    <t>+91 6755269577</t>
  </si>
  <si>
    <t>customer980@email.com</t>
  </si>
  <si>
    <t>+91 9216917864</t>
  </si>
  <si>
    <t>customer981@email.com</t>
  </si>
  <si>
    <t>+91 9449194392</t>
  </si>
  <si>
    <t>customer982@email.com</t>
  </si>
  <si>
    <t>+91 6136235988</t>
  </si>
  <si>
    <t>customer983@email.com</t>
  </si>
  <si>
    <t>+91 6478705372</t>
  </si>
  <si>
    <t>C0984</t>
  </si>
  <si>
    <t>customer984@email.com</t>
  </si>
  <si>
    <t>+91 7938381567</t>
  </si>
  <si>
    <t>customer985@email.com</t>
  </si>
  <si>
    <t>+91 8114248125</t>
  </si>
  <si>
    <t>customer986@email.com</t>
  </si>
  <si>
    <t>+91 6745615756</t>
  </si>
  <si>
    <t>customer987@email.com</t>
  </si>
  <si>
    <t>+91 9120319389</t>
  </si>
  <si>
    <t>customer988@email.com</t>
  </si>
  <si>
    <t>+91 7644694280</t>
  </si>
  <si>
    <t>customer989@email.com</t>
  </si>
  <si>
    <t>+91 8583894544</t>
  </si>
  <si>
    <t>customer990@email.com</t>
  </si>
  <si>
    <t>+91 6284007647</t>
  </si>
  <si>
    <t>customer991@email.com</t>
  </si>
  <si>
    <t>+91 8248210571</t>
  </si>
  <si>
    <t>customer992@email.com</t>
  </si>
  <si>
    <t>+91 6136417093</t>
  </si>
  <si>
    <t>customer993@email.com</t>
  </si>
  <si>
    <t>+91 8620750660</t>
  </si>
  <si>
    <t>customer994@email.com</t>
  </si>
  <si>
    <t>+91 9911708578</t>
  </si>
  <si>
    <t>customer995@email.com</t>
  </si>
  <si>
    <t>+91 7303289378</t>
  </si>
  <si>
    <t>customer996@email.com</t>
  </si>
  <si>
    <t>+91 7646183747</t>
  </si>
  <si>
    <t>customer997@email.com</t>
  </si>
  <si>
    <t>+91 7017001801</t>
  </si>
  <si>
    <t>customer998@email.com</t>
  </si>
  <si>
    <t>+91 7440906273</t>
  </si>
  <si>
    <t>customer999@email.com</t>
  </si>
  <si>
    <t>+91 8461155188</t>
  </si>
  <si>
    <t>customer1000@email.com</t>
  </si>
  <si>
    <t>+91 7977445850</t>
  </si>
  <si>
    <t>BranchName</t>
  </si>
  <si>
    <t>City</t>
  </si>
  <si>
    <t>State</t>
  </si>
  <si>
    <t>Country</t>
  </si>
  <si>
    <t>StarRating</t>
  </si>
  <si>
    <t>Mumbai Crown</t>
  </si>
  <si>
    <t>Pune</t>
  </si>
  <si>
    <t>Maharashtra</t>
  </si>
  <si>
    <t>India</t>
  </si>
  <si>
    <t>Chennai Crown</t>
  </si>
  <si>
    <t>Mumbai</t>
  </si>
  <si>
    <t>Telangana</t>
  </si>
  <si>
    <t>Coimbatore Deluxe</t>
  </si>
  <si>
    <t>Bangalore</t>
  </si>
  <si>
    <t>Tamil Nadu</t>
  </si>
  <si>
    <t>Jaipur Heights</t>
  </si>
  <si>
    <t>Gujarat</t>
  </si>
  <si>
    <t>Pune Central</t>
  </si>
  <si>
    <t>Ahmedabad</t>
  </si>
  <si>
    <t>Kolkata</t>
  </si>
  <si>
    <t>Delhi</t>
  </si>
  <si>
    <t>Kolkata Central</t>
  </si>
  <si>
    <t>Delhi Deluxe</t>
  </si>
  <si>
    <t>Hyderabad</t>
  </si>
  <si>
    <t>Bangalore Central</t>
  </si>
  <si>
    <t>Ahmedabad Central</t>
  </si>
  <si>
    <t>Hyderabad Deluxe</t>
  </si>
  <si>
    <t>West Bengal</t>
  </si>
  <si>
    <t>Chennai</t>
  </si>
  <si>
    <t>DurationOfStay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</si>
</sst>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K2" sqref="K2"/>
    </sheetView>
  </sheetViews>
  <sheetFormatPr defaultRowHeight="14.4" x14ac:dyDescent="0.3"/>
  <cols>
    <col min="1" max="1" width="13.77734375" customWidth="1"/>
    <col min="2" max="2" width="14" customWidth="1"/>
    <col min="3" max="3" width="15.33203125" customWidth="1"/>
    <col min="4" max="4" width="12.88671875" customWidth="1"/>
    <col min="5" max="5" width="12.33203125" customWidth="1"/>
    <col min="6" max="6" width="14.33203125" customWidth="1"/>
    <col min="7" max="7" width="15.88671875" customWidth="1"/>
    <col min="8" max="8" width="13.6640625" customWidth="1"/>
    <col min="9" max="9" width="15.5546875" customWidth="1"/>
    <col min="10" max="10" width="14.5546875" customWidth="1"/>
    <col min="11" max="11" width="17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7770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f>H2-G2</f>
        <v>4</v>
      </c>
      <c r="J2" t="s">
        <v>18</v>
      </c>
      <c r="K2" t="str" cm="1">
        <f t="array" ref="K2">_xlfn.SWITCH(TRIM(UPPER(J2)),
"BUSINESS", "Short Stay",
"CONFERENCE", "Medium Stay",
"VACATION", "Iong Stay",
"HOLIDAY", "Long Stay",
"V", "Leisure",
"UNKNOWN", "Unknown",
"Other")</f>
        <v>Short Stay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f t="shared" ref="I3:I66" si="0">H3-G3</f>
        <v>2</v>
      </c>
      <c r="J3" t="s">
        <v>27</v>
      </c>
      <c r="K3" t="str" cm="1">
        <f t="array" ref="K3">_xlfn.SWITCH(TRIM(UPPER(J3)),
"BUSINESS", "Short Stay",
"CONFERENCE", "Medium Stay",
"VACATION", "Iong Stay",
"HOLIDAY", "Long Stay",
"V", "Leisure",
"UNKNOWN", "Unknown",
"Other")</f>
        <v>Medium Stay</v>
      </c>
    </row>
    <row r="4" spans="1:11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f t="shared" si="0"/>
        <v>1</v>
      </c>
      <c r="J4" t="s">
        <v>27</v>
      </c>
      <c r="K4" t="str" cm="1">
        <f t="array" ref="K4">_xlfn.SWITCH(TRIM(UPPER(J4)),
"BUSINESS", "Short Stay",
"CONFERENCE", "Medium Stay",
"VACATION", "Iong Stay",
"HOLIDAY", "Long Stay",
"V", "Leisure",
"UNKNOWN", "Unknown",
"Other")</f>
        <v>Medium Stay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f t="shared" si="0"/>
        <v>3</v>
      </c>
      <c r="J5" t="s">
        <v>44</v>
      </c>
      <c r="K5" t="str" cm="1">
        <f t="array" ref="K5">_xlfn.SWITCH(TRIM(UPPER(J5)),
"BUSINESS", "Short Stay",
"CONFERENCE", "Medium Stay",
"VACATION", "Iong Stay",
"HOLIDAY", "Long Stay",
"V", "Leisure",
"UNKNOWN", "Unknown",
"Other")</f>
        <v>Other</v>
      </c>
    </row>
    <row r="6" spans="1:11" x14ac:dyDescent="0.3">
      <c r="A6" t="s">
        <v>45</v>
      </c>
      <c r="B6" t="s">
        <v>46</v>
      </c>
      <c r="C6" t="s">
        <v>30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>
        <f t="shared" si="0"/>
        <v>1</v>
      </c>
      <c r="J6" t="s">
        <v>18</v>
      </c>
      <c r="K6" t="str" cm="1">
        <f t="array" ref="K6">_xlfn.SWITCH(TRIM(UPPER(J6)),
"BUSINESS", "Short Stay",
"CONFERENCE", "Medium Stay",
"VACATION", "Iong Stay",
"HOLIDAY", "Long Stay",
"V", "Leisure",
"UNKNOWN", "Unknown",
"Other")</f>
        <v>Short Stay</v>
      </c>
    </row>
    <row r="7" spans="1:11" x14ac:dyDescent="0.3">
      <c r="A7" t="s">
        <v>52</v>
      </c>
      <c r="B7" t="s">
        <v>53</v>
      </c>
      <c r="C7" t="s">
        <v>54</v>
      </c>
      <c r="D7" t="s">
        <v>55</v>
      </c>
      <c r="E7" t="s">
        <v>48</v>
      </c>
      <c r="F7" t="s">
        <v>56</v>
      </c>
      <c r="G7" t="s">
        <v>57</v>
      </c>
      <c r="H7" t="s">
        <v>58</v>
      </c>
      <c r="I7">
        <f t="shared" si="0"/>
        <v>2</v>
      </c>
      <c r="J7" t="s">
        <v>18</v>
      </c>
      <c r="K7" t="str" cm="1">
        <f t="array" ref="K7">_xlfn.SWITCH(TRIM(UPPER(J7)),
"BUSINESS", "Short Stay",
"CONFERENCE", "Medium Stay",
"VACATION", "Iong Stay",
"HOLIDAY", "Long Stay",
"V", "Leisure",
"UNKNOWN", "Unknown",
"Other")</f>
        <v>Short Stay</v>
      </c>
    </row>
    <row r="8" spans="1:11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16</v>
      </c>
      <c r="I8">
        <f t="shared" si="0"/>
        <v>4</v>
      </c>
      <c r="J8" t="s">
        <v>44</v>
      </c>
      <c r="K8" t="str" cm="1">
        <f t="array" ref="K8">_xlfn.SWITCH(TRIM(UPPER(J8)),
"BUSINESS", "Short Stay",
"CONFERENCE", "Medium Stay",
"VACATION", "Iong Stay",
"HOLIDAY", "Long Stay",
"V", "Leisure",
"UNKNOWN", "Unknown",
"Other")</f>
        <v>Other</v>
      </c>
    </row>
    <row r="9" spans="1:11" x14ac:dyDescent="0.3">
      <c r="A9" t="s">
        <v>66</v>
      </c>
      <c r="B9" t="s">
        <v>67</v>
      </c>
      <c r="C9" t="s">
        <v>21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>
        <f t="shared" si="0"/>
        <v>3</v>
      </c>
      <c r="J9" t="s">
        <v>44</v>
      </c>
      <c r="K9" t="str" cm="1">
        <f t="array" ref="K9">_xlfn.SWITCH(TRIM(UPPER(J9)),
"BUSINESS", "Short Stay",
"CONFERENCE", "Medium Stay",
"VACATION", "Iong Stay",
"HOLIDAY", "Long Stay",
"V", "Leisure",
"UNKNOWN", "Unknown",
"Other")</f>
        <v>Other</v>
      </c>
    </row>
    <row r="10" spans="1:11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>
        <f t="shared" si="0"/>
        <v>2</v>
      </c>
      <c r="J10" t="s">
        <v>44</v>
      </c>
      <c r="K10" t="str" cm="1">
        <f t="array" ref="K10">_xlfn.SWITCH(TRIM(UPPER(J10)),
"BUSINESS", "Short Stay",
"CONFERENCE", "Medium Stay",
"VACATION", "Iong Stay",
"HOLIDAY", "Long Stay",
"V", "Leisure",
"UNKNOWN", "Unknown",
"Other")</f>
        <v>Other</v>
      </c>
    </row>
    <row r="11" spans="1:11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>
        <f t="shared" si="0"/>
        <v>3</v>
      </c>
      <c r="J11" t="s">
        <v>27</v>
      </c>
      <c r="K11" t="str" cm="1">
        <f t="array" ref="K11">_xlfn.SWITCH(TRIM(UPPER(J11)),
"BUSINESS", "Short Stay",
"CONFERENCE", "Medium Stay",
"VACATION", "Iong Stay",
"HOLIDAY", "Long Stay",
"V", "Leisure",
"UNKNOWN", "Unknown",
"Other")</f>
        <v>Medium Stay</v>
      </c>
    </row>
    <row r="12" spans="1:11" x14ac:dyDescent="0.3">
      <c r="A12" t="s">
        <v>89</v>
      </c>
      <c r="B12" t="s">
        <v>90</v>
      </c>
      <c r="C12" t="s">
        <v>83</v>
      </c>
      <c r="D12" t="s">
        <v>91</v>
      </c>
      <c r="E12" t="s">
        <v>77</v>
      </c>
      <c r="F12" t="s">
        <v>92</v>
      </c>
      <c r="G12" t="s">
        <v>93</v>
      </c>
      <c r="H12" t="s">
        <v>94</v>
      </c>
      <c r="I12">
        <f t="shared" si="0"/>
        <v>1</v>
      </c>
      <c r="J12" t="s">
        <v>44</v>
      </c>
      <c r="K12" t="str" cm="1">
        <f t="array" ref="K12">_xlfn.SWITCH(TRIM(UPPER(J12)),
"BUSINESS", "Short Stay",
"CONFERENCE", "Medium Stay",
"VACATION", "Iong Stay",
"HOLIDAY", "Long Stay",
"V", "Leisure",
"UNKNOWN", "Unknown",
"Other")</f>
        <v>Other</v>
      </c>
    </row>
    <row r="13" spans="1:11" x14ac:dyDescent="0.3">
      <c r="A13" t="s">
        <v>95</v>
      </c>
      <c r="B13" t="s">
        <v>96</v>
      </c>
      <c r="C13" t="s">
        <v>97</v>
      </c>
      <c r="D13" t="s">
        <v>98</v>
      </c>
      <c r="E13" t="s">
        <v>32</v>
      </c>
      <c r="F13" t="s">
        <v>99</v>
      </c>
      <c r="G13" t="s">
        <v>100</v>
      </c>
      <c r="H13" t="s">
        <v>101</v>
      </c>
      <c r="I13">
        <f t="shared" si="0"/>
        <v>4</v>
      </c>
      <c r="J13" t="s">
        <v>27</v>
      </c>
      <c r="K13" t="str" cm="1">
        <f t="array" ref="K13">_xlfn.SWITCH(TRIM(UPPER(J13)),
"BUSINESS", "Short Stay",
"CONFERENCE", "Medium Stay",
"VACATION", "Iong Stay",
"HOLIDAY", "Long Stay",
"V", "Leisure",
"UNKNOWN", "Unknown",
"Other")</f>
        <v>Medium Stay</v>
      </c>
    </row>
    <row r="14" spans="1:11" x14ac:dyDescent="0.3">
      <c r="A14" t="s">
        <v>102</v>
      </c>
      <c r="B14" t="s">
        <v>103</v>
      </c>
      <c r="C14" t="s">
        <v>38</v>
      </c>
      <c r="D14" t="s">
        <v>104</v>
      </c>
      <c r="E14" t="s">
        <v>40</v>
      </c>
      <c r="F14" t="s">
        <v>105</v>
      </c>
      <c r="G14" t="s">
        <v>106</v>
      </c>
      <c r="H14" t="s">
        <v>107</v>
      </c>
      <c r="I14">
        <f t="shared" si="0"/>
        <v>3</v>
      </c>
      <c r="J14" t="s">
        <v>18</v>
      </c>
      <c r="K14" t="str" cm="1">
        <f t="array" ref="K14">_xlfn.SWITCH(TRIM(UPPER(J14)),
"BUSINESS", "Short Stay",
"CONFERENCE", "Medium Stay",
"VACATION", "Iong Stay",
"HOLIDAY", "Long Stay",
"V", "Leisure",
"UNKNOWN", "Unknown",
"Other")</f>
        <v>Short Stay</v>
      </c>
    </row>
    <row r="15" spans="1:11" x14ac:dyDescent="0.3">
      <c r="A15" t="s">
        <v>108</v>
      </c>
      <c r="B15" t="s">
        <v>109</v>
      </c>
      <c r="C15" t="s">
        <v>75</v>
      </c>
      <c r="D15" t="s">
        <v>110</v>
      </c>
      <c r="E15" t="s">
        <v>77</v>
      </c>
      <c r="F15" t="s">
        <v>111</v>
      </c>
      <c r="G15" t="s">
        <v>112</v>
      </c>
      <c r="H15" t="s">
        <v>113</v>
      </c>
      <c r="I15">
        <f t="shared" si="0"/>
        <v>3</v>
      </c>
      <c r="J15" t="s">
        <v>27</v>
      </c>
      <c r="K15" t="str" cm="1">
        <f t="array" ref="K15">_xlfn.SWITCH(TRIM(UPPER(J15)),
"BUSINESS", "Short Stay",
"CONFERENCE", "Medium Stay",
"VACATION", "Iong Stay",
"HOLIDAY", "Long Stay",
"V", "Leisure",
"UNKNOWN", "Unknown",
"Other")</f>
        <v>Medium Stay</v>
      </c>
    </row>
    <row r="16" spans="1:11" x14ac:dyDescent="0.3">
      <c r="A16" t="s">
        <v>114</v>
      </c>
      <c r="B16" t="s">
        <v>115</v>
      </c>
      <c r="C16" t="s">
        <v>38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>
        <f t="shared" si="0"/>
        <v>2</v>
      </c>
      <c r="J16" t="s">
        <v>121</v>
      </c>
      <c r="K16" t="str" cm="1">
        <f t="array" ref="K16">_xlfn.SWITCH(TRIM(UPPER(J16)),
"BUSINESS", "Short Stay",
"CONFERENCE", "Medium Stay",
"VACATION", "Iong Stay",
"HOLIDAY", "Long Stay",
"V", "Leisure",
"UNKNOWN", "Unknown",
"Other")</f>
        <v>Iong Stay</v>
      </c>
    </row>
    <row r="17" spans="1:11" x14ac:dyDescent="0.3">
      <c r="A17" t="s">
        <v>122</v>
      </c>
      <c r="B17" t="s">
        <v>123</v>
      </c>
      <c r="C17" t="s">
        <v>21</v>
      </c>
      <c r="D17" t="s">
        <v>124</v>
      </c>
      <c r="E17" t="s">
        <v>69</v>
      </c>
      <c r="F17" t="s">
        <v>125</v>
      </c>
      <c r="G17" t="s">
        <v>126</v>
      </c>
      <c r="H17" t="s">
        <v>127</v>
      </c>
      <c r="I17">
        <f t="shared" si="0"/>
        <v>5</v>
      </c>
      <c r="J17" t="s">
        <v>121</v>
      </c>
      <c r="K17" t="str" cm="1">
        <f t="array" ref="K17">_xlfn.SWITCH(TRIM(UPPER(J17)),
"BUSINESS", "Short Stay",
"CONFERENCE", "Medium Stay",
"VACATION", "Iong Stay",
"HOLIDAY", "Long Stay",
"V", "Leisure",
"UNKNOWN", "Unknown",
"Other")</f>
        <v>Iong Stay</v>
      </c>
    </row>
    <row r="18" spans="1:11" x14ac:dyDescent="0.3">
      <c r="A18" t="s">
        <v>128</v>
      </c>
      <c r="B18" t="s">
        <v>129</v>
      </c>
      <c r="C18" t="s">
        <v>61</v>
      </c>
      <c r="D18" t="s">
        <v>130</v>
      </c>
      <c r="E18" t="s">
        <v>48</v>
      </c>
      <c r="F18" t="s">
        <v>131</v>
      </c>
      <c r="G18" t="s">
        <v>132</v>
      </c>
      <c r="H18" t="s">
        <v>133</v>
      </c>
      <c r="I18">
        <f t="shared" si="0"/>
        <v>4</v>
      </c>
      <c r="J18" t="s">
        <v>121</v>
      </c>
      <c r="K18" t="str" cm="1">
        <f t="array" ref="K18">_xlfn.SWITCH(TRIM(UPPER(J18)),
"BUSINESS", "Short Stay",
"CONFERENCE", "Medium Stay",
"VACATION", "Iong Stay",
"HOLIDAY", "Long Stay",
"V", "Leisure",
"UNKNOWN", "Unknown",
"Other")</f>
        <v>Iong Stay</v>
      </c>
    </row>
    <row r="19" spans="1:11" x14ac:dyDescent="0.3">
      <c r="A19" t="s">
        <v>134</v>
      </c>
      <c r="B19" t="s">
        <v>135</v>
      </c>
      <c r="C19" t="s">
        <v>75</v>
      </c>
      <c r="D19" t="s">
        <v>136</v>
      </c>
      <c r="E19" t="s">
        <v>63</v>
      </c>
      <c r="F19" t="s">
        <v>137</v>
      </c>
      <c r="G19" t="s">
        <v>138</v>
      </c>
      <c r="H19" t="s">
        <v>139</v>
      </c>
      <c r="I19">
        <f t="shared" si="0"/>
        <v>4</v>
      </c>
      <c r="J19" t="s">
        <v>27</v>
      </c>
      <c r="K19" t="str" cm="1">
        <f t="array" ref="K19">_xlfn.SWITCH(TRIM(UPPER(J19)),
"BUSINESS", "Short Stay",
"CONFERENCE", "Medium Stay",
"VACATION", "Iong Stay",
"HOLIDAY", "Long Stay",
"V", "Leisure",
"UNKNOWN", "Unknown",
"Other")</f>
        <v>Medium Stay</v>
      </c>
    </row>
    <row r="20" spans="1:11" x14ac:dyDescent="0.3">
      <c r="A20" t="s">
        <v>140</v>
      </c>
      <c r="B20" t="s">
        <v>141</v>
      </c>
      <c r="C20" t="s">
        <v>97</v>
      </c>
      <c r="D20" t="s">
        <v>142</v>
      </c>
      <c r="E20" t="s">
        <v>69</v>
      </c>
      <c r="F20" t="s">
        <v>143</v>
      </c>
      <c r="G20" t="s">
        <v>144</v>
      </c>
      <c r="H20" t="s">
        <v>145</v>
      </c>
      <c r="I20">
        <f t="shared" si="0"/>
        <v>3</v>
      </c>
      <c r="J20" t="s">
        <v>27</v>
      </c>
      <c r="K20" t="str" cm="1">
        <f t="array" ref="K20">_xlfn.SWITCH(TRIM(UPPER(J20)),
"BUSINESS", "Short Stay",
"CONFERENCE", "Medium Stay",
"VACATION", "Iong Stay",
"HOLIDAY", "Long Stay",
"V", "Leisure",
"UNKNOWN", "Unknown",
"Other")</f>
        <v>Medium Stay</v>
      </c>
    </row>
    <row r="21" spans="1:11" x14ac:dyDescent="0.3">
      <c r="A21" t="s">
        <v>146</v>
      </c>
      <c r="B21" t="s">
        <v>147</v>
      </c>
      <c r="C21" t="s">
        <v>83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>
        <f t="shared" si="0"/>
        <v>4</v>
      </c>
      <c r="J21" t="s">
        <v>27</v>
      </c>
      <c r="K21" t="str" cm="1">
        <f t="array" ref="K21">_xlfn.SWITCH(TRIM(UPPER(J21)),
"BUSINESS", "Short Stay",
"CONFERENCE", "Medium Stay",
"VACATION", "Iong Stay",
"HOLIDAY", "Long Stay",
"V", "Leisure",
"UNKNOWN", "Unknown",
"Other")</f>
        <v>Medium Stay</v>
      </c>
    </row>
    <row r="22" spans="1:11" x14ac:dyDescent="0.3">
      <c r="A22" t="s">
        <v>153</v>
      </c>
      <c r="B22" t="s">
        <v>154</v>
      </c>
      <c r="C22" t="s">
        <v>83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>
        <f t="shared" si="0"/>
        <v>4</v>
      </c>
      <c r="J22" t="s">
        <v>121</v>
      </c>
      <c r="K22" t="str" cm="1">
        <f t="array" ref="K22">_xlfn.SWITCH(TRIM(UPPER(J22)),
"BUSINESS", "Short Stay",
"CONFERENCE", "Medium Stay",
"VACATION", "Iong Stay",
"HOLIDAY", "Long Stay",
"V", "Leisure",
"UNKNOWN", "Unknown",
"Other")</f>
        <v>Iong Stay</v>
      </c>
    </row>
    <row r="23" spans="1:11" x14ac:dyDescent="0.3">
      <c r="A23" t="s">
        <v>160</v>
      </c>
      <c r="B23" t="s">
        <v>161</v>
      </c>
      <c r="C23" t="s">
        <v>38</v>
      </c>
      <c r="D23" t="s">
        <v>162</v>
      </c>
      <c r="E23" t="s">
        <v>48</v>
      </c>
      <c r="F23" t="s">
        <v>163</v>
      </c>
      <c r="G23" t="s">
        <v>164</v>
      </c>
      <c r="H23" t="s">
        <v>165</v>
      </c>
      <c r="I23">
        <f t="shared" si="0"/>
        <v>4</v>
      </c>
      <c r="J23" t="s">
        <v>27</v>
      </c>
      <c r="K23" t="str" cm="1">
        <f t="array" ref="K23">_xlfn.SWITCH(TRIM(UPPER(J23)),
"BUSINESS", "Short Stay",
"CONFERENCE", "Medium Stay",
"VACATION", "Iong Stay",
"HOLIDAY", "Long Stay",
"V", "Leisure",
"UNKNOWN", "Unknown",
"Other")</f>
        <v>Medium Stay</v>
      </c>
    </row>
    <row r="24" spans="1:11" x14ac:dyDescent="0.3">
      <c r="A24" t="s">
        <v>166</v>
      </c>
      <c r="B24" t="s">
        <v>167</v>
      </c>
      <c r="C24" t="s">
        <v>38</v>
      </c>
      <c r="D24" t="s">
        <v>168</v>
      </c>
      <c r="E24" t="s">
        <v>32</v>
      </c>
      <c r="F24" t="s">
        <v>169</v>
      </c>
      <c r="G24" t="s">
        <v>170</v>
      </c>
      <c r="H24" t="s">
        <v>171</v>
      </c>
      <c r="I24">
        <f t="shared" si="0"/>
        <v>3</v>
      </c>
      <c r="J24" t="s">
        <v>121</v>
      </c>
      <c r="K24" t="str" cm="1">
        <f t="array" ref="K24">_xlfn.SWITCH(TRIM(UPPER(J24)),
"BUSINESS", "Short Stay",
"CONFERENCE", "Medium Stay",
"VACATION", "Iong Stay",
"HOLIDAY", "Long Stay",
"V", "Leisure",
"UNKNOWN", "Unknown",
"Other")</f>
        <v>Iong Stay</v>
      </c>
    </row>
    <row r="25" spans="1:11" x14ac:dyDescent="0.3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178</v>
      </c>
      <c r="H25" t="s">
        <v>179</v>
      </c>
      <c r="I25">
        <f t="shared" si="0"/>
        <v>5</v>
      </c>
      <c r="J25" t="s">
        <v>18</v>
      </c>
      <c r="K25" t="str" cm="1">
        <f t="array" ref="K25">_xlfn.SWITCH(TRIM(UPPER(J25)),
"BUSINESS", "Short Stay",
"CONFERENCE", "Medium Stay",
"VACATION", "Iong Stay",
"HOLIDAY", "Long Stay",
"V", "Leisure",
"UNKNOWN", "Unknown",
"Other")</f>
        <v>Short Stay</v>
      </c>
    </row>
    <row r="26" spans="1:11" x14ac:dyDescent="0.3">
      <c r="A26" t="s">
        <v>180</v>
      </c>
      <c r="B26" t="s">
        <v>181</v>
      </c>
      <c r="C26" t="s">
        <v>54</v>
      </c>
      <c r="D26" t="s">
        <v>182</v>
      </c>
      <c r="E26" t="s">
        <v>117</v>
      </c>
      <c r="F26" t="s">
        <v>183</v>
      </c>
      <c r="G26" t="s">
        <v>184</v>
      </c>
      <c r="H26" t="s">
        <v>185</v>
      </c>
      <c r="I26">
        <f t="shared" si="0"/>
        <v>5</v>
      </c>
      <c r="J26" t="s">
        <v>18</v>
      </c>
      <c r="K26" t="str" cm="1">
        <f t="array" ref="K26">_xlfn.SWITCH(TRIM(UPPER(J26)),
"BUSINESS", "Short Stay",
"CONFERENCE", "Medium Stay",
"VACATION", "Iong Stay",
"HOLIDAY", "Long Stay",
"V", "Leisure",
"UNKNOWN", "Unknown",
"Other")</f>
        <v>Short Stay</v>
      </c>
    </row>
    <row r="27" spans="1:11" x14ac:dyDescent="0.3">
      <c r="A27" t="s">
        <v>186</v>
      </c>
      <c r="B27" t="s">
        <v>187</v>
      </c>
      <c r="C27" t="s">
        <v>30</v>
      </c>
      <c r="D27" t="s">
        <v>188</v>
      </c>
      <c r="E27" t="s">
        <v>63</v>
      </c>
      <c r="F27" t="s">
        <v>189</v>
      </c>
      <c r="G27" t="s">
        <v>190</v>
      </c>
      <c r="H27" t="s">
        <v>191</v>
      </c>
      <c r="I27">
        <f t="shared" si="0"/>
        <v>5</v>
      </c>
      <c r="J27" t="s">
        <v>18</v>
      </c>
      <c r="K27" t="str" cm="1">
        <f t="array" ref="K27">_xlfn.SWITCH(TRIM(UPPER(J27)),
"BUSINESS", "Short Stay",
"CONFERENCE", "Medium Stay",
"VACATION", "Iong Stay",
"HOLIDAY", "Long Stay",
"V", "Leisure",
"UNKNOWN", "Unknown",
"Other")</f>
        <v>Short Stay</v>
      </c>
    </row>
    <row r="28" spans="1:11" x14ac:dyDescent="0.3">
      <c r="A28" t="s">
        <v>192</v>
      </c>
      <c r="B28" t="s">
        <v>193</v>
      </c>
      <c r="C28" t="s">
        <v>174</v>
      </c>
      <c r="D28" t="s">
        <v>194</v>
      </c>
      <c r="E28" t="s">
        <v>176</v>
      </c>
      <c r="F28" t="s">
        <v>195</v>
      </c>
      <c r="G28" t="s">
        <v>196</v>
      </c>
      <c r="H28" t="s">
        <v>197</v>
      </c>
      <c r="I28">
        <f t="shared" si="0"/>
        <v>3</v>
      </c>
      <c r="J28" t="s">
        <v>18</v>
      </c>
      <c r="K28" t="str" cm="1">
        <f t="array" ref="K28">_xlfn.SWITCH(TRIM(UPPER(J28)),
"BUSINESS", "Short Stay",
"CONFERENCE", "Medium Stay",
"VACATION", "Iong Stay",
"HOLIDAY", "Long Stay",
"V", "Leisure",
"UNKNOWN", "Unknown",
"Other")</f>
        <v>Short Stay</v>
      </c>
    </row>
    <row r="29" spans="1:11" x14ac:dyDescent="0.3">
      <c r="A29" t="s">
        <v>198</v>
      </c>
      <c r="B29" t="s">
        <v>199</v>
      </c>
      <c r="C29" t="s">
        <v>83</v>
      </c>
      <c r="D29" t="s">
        <v>200</v>
      </c>
      <c r="E29" t="s">
        <v>201</v>
      </c>
      <c r="F29" t="s">
        <v>202</v>
      </c>
      <c r="G29" t="s">
        <v>203</v>
      </c>
      <c r="H29" t="s">
        <v>204</v>
      </c>
      <c r="I29">
        <f t="shared" si="0"/>
        <v>5</v>
      </c>
      <c r="J29" t="s">
        <v>27</v>
      </c>
      <c r="K29" t="str" cm="1">
        <f t="array" ref="K29">_xlfn.SWITCH(TRIM(UPPER(J29)),
"BUSINESS", "Short Stay",
"CONFERENCE", "Medium Stay",
"VACATION", "Iong Stay",
"HOLIDAY", "Long Stay",
"V", "Leisure",
"UNKNOWN", "Unknown",
"Other")</f>
        <v>Medium Stay</v>
      </c>
    </row>
    <row r="30" spans="1:11" x14ac:dyDescent="0.3">
      <c r="A30" t="s">
        <v>205</v>
      </c>
      <c r="B30" t="s">
        <v>206</v>
      </c>
      <c r="C30" t="s">
        <v>83</v>
      </c>
      <c r="D30" t="s">
        <v>207</v>
      </c>
      <c r="E30" t="s">
        <v>176</v>
      </c>
      <c r="F30" t="s">
        <v>208</v>
      </c>
      <c r="G30" t="s">
        <v>209</v>
      </c>
      <c r="H30" t="s">
        <v>210</v>
      </c>
      <c r="I30">
        <f t="shared" si="0"/>
        <v>1</v>
      </c>
      <c r="J30" t="s">
        <v>18</v>
      </c>
      <c r="K30" t="str" cm="1">
        <f t="array" ref="K30">_xlfn.SWITCH(TRIM(UPPER(J30)),
"BUSINESS", "Short Stay",
"CONFERENCE", "Medium Stay",
"VACATION", "Iong Stay",
"HOLIDAY", "Long Stay",
"V", "Leisure",
"UNKNOWN", "Unknown",
"Other")</f>
        <v>Short Stay</v>
      </c>
    </row>
    <row r="31" spans="1:11" x14ac:dyDescent="0.3">
      <c r="A31" t="s">
        <v>211</v>
      </c>
      <c r="B31" t="s">
        <v>212</v>
      </c>
      <c r="C31" t="s">
        <v>174</v>
      </c>
      <c r="D31" t="s">
        <v>213</v>
      </c>
      <c r="E31" t="s">
        <v>214</v>
      </c>
      <c r="F31" t="s">
        <v>215</v>
      </c>
      <c r="G31" t="s">
        <v>165</v>
      </c>
      <c r="H31" t="s">
        <v>216</v>
      </c>
      <c r="I31">
        <f t="shared" si="0"/>
        <v>1</v>
      </c>
      <c r="J31" t="s">
        <v>18</v>
      </c>
      <c r="K31" t="str" cm="1">
        <f t="array" ref="K31">_xlfn.SWITCH(TRIM(UPPER(J31)),
"BUSINESS", "Short Stay",
"CONFERENCE", "Medium Stay",
"VACATION", "Iong Stay",
"HOLIDAY", "Long Stay",
"V", "Leisure",
"UNKNOWN", "Unknown",
"Other")</f>
        <v>Short Stay</v>
      </c>
    </row>
    <row r="32" spans="1:11" x14ac:dyDescent="0.3">
      <c r="A32" t="s">
        <v>217</v>
      </c>
      <c r="B32" t="s">
        <v>218</v>
      </c>
      <c r="C32" t="s">
        <v>54</v>
      </c>
      <c r="D32" t="s">
        <v>219</v>
      </c>
      <c r="E32" t="s">
        <v>176</v>
      </c>
      <c r="F32" t="s">
        <v>220</v>
      </c>
      <c r="G32" t="s">
        <v>221</v>
      </c>
      <c r="H32" t="s">
        <v>222</v>
      </c>
      <c r="I32">
        <f t="shared" si="0"/>
        <v>2</v>
      </c>
      <c r="J32" t="s">
        <v>121</v>
      </c>
      <c r="K32" t="str" cm="1">
        <f t="array" ref="K32">_xlfn.SWITCH(TRIM(UPPER(J32)),
"BUSINESS", "Short Stay",
"CONFERENCE", "Medium Stay",
"VACATION", "Iong Stay",
"HOLIDAY", "Long Stay",
"V", "Leisure",
"UNKNOWN", "Unknown",
"Other")</f>
        <v>Iong Stay</v>
      </c>
    </row>
    <row r="33" spans="1:11" x14ac:dyDescent="0.3">
      <c r="A33" t="s">
        <v>223</v>
      </c>
      <c r="B33" t="s">
        <v>224</v>
      </c>
      <c r="C33" t="s">
        <v>12</v>
      </c>
      <c r="D33" t="s">
        <v>225</v>
      </c>
      <c r="E33" t="s">
        <v>117</v>
      </c>
      <c r="F33" t="s">
        <v>226</v>
      </c>
      <c r="G33" t="s">
        <v>227</v>
      </c>
      <c r="H33" t="s">
        <v>221</v>
      </c>
      <c r="I33">
        <f t="shared" si="0"/>
        <v>4</v>
      </c>
      <c r="J33" t="s">
        <v>27</v>
      </c>
      <c r="K33" t="str" cm="1">
        <f t="array" ref="K33">_xlfn.SWITCH(TRIM(UPPER(J33)),
"BUSINESS", "Short Stay",
"CONFERENCE", "Medium Stay",
"VACATION", "Iong Stay",
"HOLIDAY", "Long Stay",
"V", "Leisure",
"UNKNOWN", "Unknown",
"Other")</f>
        <v>Medium Stay</v>
      </c>
    </row>
    <row r="34" spans="1:11" x14ac:dyDescent="0.3">
      <c r="A34" t="s">
        <v>228</v>
      </c>
      <c r="B34" t="s">
        <v>229</v>
      </c>
      <c r="C34" t="s">
        <v>12</v>
      </c>
      <c r="D34" t="s">
        <v>230</v>
      </c>
      <c r="E34" t="s">
        <v>156</v>
      </c>
      <c r="F34" t="s">
        <v>231</v>
      </c>
      <c r="G34" t="s">
        <v>232</v>
      </c>
      <c r="H34" t="s">
        <v>233</v>
      </c>
      <c r="I34">
        <f t="shared" si="0"/>
        <v>2</v>
      </c>
      <c r="J34" t="s">
        <v>121</v>
      </c>
      <c r="K34" t="str" cm="1">
        <f t="array" ref="K34">_xlfn.SWITCH(TRIM(UPPER(J34)),
"BUSINESS", "Short Stay",
"CONFERENCE", "Medium Stay",
"VACATION", "Iong Stay",
"HOLIDAY", "Long Stay",
"V", "Leisure",
"UNKNOWN", "Unknown",
"Other")</f>
        <v>Iong Stay</v>
      </c>
    </row>
    <row r="35" spans="1:11" x14ac:dyDescent="0.3">
      <c r="A35" t="s">
        <v>234</v>
      </c>
      <c r="B35" t="s">
        <v>235</v>
      </c>
      <c r="C35" t="s">
        <v>61</v>
      </c>
      <c r="D35" t="s">
        <v>236</v>
      </c>
      <c r="E35" t="s">
        <v>214</v>
      </c>
      <c r="F35" t="s">
        <v>237</v>
      </c>
      <c r="G35" t="s">
        <v>238</v>
      </c>
      <c r="H35" t="s">
        <v>239</v>
      </c>
      <c r="I35">
        <f t="shared" si="0"/>
        <v>5</v>
      </c>
      <c r="J35" t="s">
        <v>44</v>
      </c>
      <c r="K35" t="str" cm="1">
        <f t="array" ref="K35">_xlfn.SWITCH(TRIM(UPPER(J35)),
"BUSINESS", "Short Stay",
"CONFERENCE", "Medium Stay",
"VACATION", "Iong Stay",
"HOLIDAY", "Long Stay",
"V", "Leisure",
"UNKNOWN", "Unknown",
"Other")</f>
        <v>Other</v>
      </c>
    </row>
    <row r="36" spans="1:11" x14ac:dyDescent="0.3">
      <c r="A36" t="s">
        <v>240</v>
      </c>
      <c r="B36" t="s">
        <v>241</v>
      </c>
      <c r="C36" t="s">
        <v>38</v>
      </c>
      <c r="D36" t="s">
        <v>242</v>
      </c>
      <c r="E36" t="s">
        <v>14</v>
      </c>
      <c r="F36" t="s">
        <v>243</v>
      </c>
      <c r="G36" t="s">
        <v>244</v>
      </c>
      <c r="H36" t="s">
        <v>245</v>
      </c>
      <c r="I36">
        <f t="shared" si="0"/>
        <v>1</v>
      </c>
      <c r="J36" t="s">
        <v>44</v>
      </c>
      <c r="K36" t="str" cm="1">
        <f t="array" ref="K36">_xlfn.SWITCH(TRIM(UPPER(J36)),
"BUSINESS", "Short Stay",
"CONFERENCE", "Medium Stay",
"VACATION", "Iong Stay",
"HOLIDAY", "Long Stay",
"V", "Leisure",
"UNKNOWN", "Unknown",
"Other")</f>
        <v>Other</v>
      </c>
    </row>
    <row r="37" spans="1:11" x14ac:dyDescent="0.3">
      <c r="A37" t="s">
        <v>246</v>
      </c>
      <c r="B37" t="s">
        <v>247</v>
      </c>
      <c r="C37" t="s">
        <v>21</v>
      </c>
      <c r="D37" t="s">
        <v>248</v>
      </c>
      <c r="E37" t="s">
        <v>156</v>
      </c>
      <c r="F37" t="s">
        <v>249</v>
      </c>
      <c r="G37" t="s">
        <v>250</v>
      </c>
      <c r="H37" t="s">
        <v>138</v>
      </c>
      <c r="I37">
        <f t="shared" si="0"/>
        <v>3</v>
      </c>
      <c r="J37" t="s">
        <v>27</v>
      </c>
      <c r="K37" t="str" cm="1">
        <f t="array" ref="K37">_xlfn.SWITCH(TRIM(UPPER(J37)),
"BUSINESS", "Short Stay",
"CONFERENCE", "Medium Stay",
"VACATION", "Iong Stay",
"HOLIDAY", "Long Stay",
"V", "Leisure",
"UNKNOWN", "Unknown",
"Other")</f>
        <v>Medium Stay</v>
      </c>
    </row>
    <row r="38" spans="1:11" x14ac:dyDescent="0.3">
      <c r="A38" t="s">
        <v>251</v>
      </c>
      <c r="B38" t="s">
        <v>252</v>
      </c>
      <c r="C38" t="s">
        <v>83</v>
      </c>
      <c r="D38" t="s">
        <v>253</v>
      </c>
      <c r="E38" t="s">
        <v>156</v>
      </c>
      <c r="F38" t="s">
        <v>254</v>
      </c>
      <c r="G38" t="s">
        <v>88</v>
      </c>
      <c r="H38" t="s">
        <v>255</v>
      </c>
      <c r="I38">
        <f t="shared" si="0"/>
        <v>3</v>
      </c>
      <c r="J38" t="s">
        <v>18</v>
      </c>
      <c r="K38" t="str" cm="1">
        <f t="array" ref="K38">_xlfn.SWITCH(TRIM(UPPER(J38)),
"BUSINESS", "Short Stay",
"CONFERENCE", "Medium Stay",
"VACATION", "Iong Stay",
"HOLIDAY", "Long Stay",
"V", "Leisure",
"UNKNOWN", "Unknown",
"Other")</f>
        <v>Short Stay</v>
      </c>
    </row>
    <row r="39" spans="1:11" x14ac:dyDescent="0.3">
      <c r="A39" t="s">
        <v>256</v>
      </c>
      <c r="B39" t="s">
        <v>257</v>
      </c>
      <c r="C39" t="s">
        <v>97</v>
      </c>
      <c r="D39" t="s">
        <v>258</v>
      </c>
      <c r="E39" t="s">
        <v>201</v>
      </c>
      <c r="F39" t="s">
        <v>259</v>
      </c>
      <c r="G39" t="s">
        <v>260</v>
      </c>
      <c r="H39" t="s">
        <v>159</v>
      </c>
      <c r="I39">
        <f t="shared" si="0"/>
        <v>2</v>
      </c>
      <c r="J39" t="s">
        <v>27</v>
      </c>
      <c r="K39" t="str" cm="1">
        <f t="array" ref="K39">_xlfn.SWITCH(TRIM(UPPER(J39)),
"BUSINESS", "Short Stay",
"CONFERENCE", "Medium Stay",
"VACATION", "Iong Stay",
"HOLIDAY", "Long Stay",
"V", "Leisure",
"UNKNOWN", "Unknown",
"Other")</f>
        <v>Medium Stay</v>
      </c>
    </row>
    <row r="40" spans="1:11" x14ac:dyDescent="0.3">
      <c r="A40" t="s">
        <v>261</v>
      </c>
      <c r="B40" t="s">
        <v>262</v>
      </c>
      <c r="C40" t="s">
        <v>30</v>
      </c>
      <c r="D40" t="s">
        <v>263</v>
      </c>
      <c r="E40" t="s">
        <v>85</v>
      </c>
      <c r="F40" t="s">
        <v>264</v>
      </c>
      <c r="G40" t="s">
        <v>265</v>
      </c>
      <c r="H40" t="s">
        <v>266</v>
      </c>
      <c r="I40">
        <f t="shared" si="0"/>
        <v>1</v>
      </c>
      <c r="J40" t="s">
        <v>18</v>
      </c>
      <c r="K40" t="str" cm="1">
        <f t="array" ref="K40">_xlfn.SWITCH(TRIM(UPPER(J40)),
"BUSINESS", "Short Stay",
"CONFERENCE", "Medium Stay",
"VACATION", "Iong Stay",
"HOLIDAY", "Long Stay",
"V", "Leisure",
"UNKNOWN", "Unknown",
"Other")</f>
        <v>Short Stay</v>
      </c>
    </row>
    <row r="41" spans="1:11" x14ac:dyDescent="0.3">
      <c r="A41" t="s">
        <v>267</v>
      </c>
      <c r="B41" t="s">
        <v>268</v>
      </c>
      <c r="C41" t="s">
        <v>30</v>
      </c>
      <c r="D41" t="s">
        <v>269</v>
      </c>
      <c r="E41" t="s">
        <v>32</v>
      </c>
      <c r="F41" t="s">
        <v>270</v>
      </c>
      <c r="G41" t="s">
        <v>271</v>
      </c>
      <c r="H41" t="s">
        <v>171</v>
      </c>
      <c r="I41">
        <f t="shared" si="0"/>
        <v>4</v>
      </c>
      <c r="J41" t="s">
        <v>27</v>
      </c>
      <c r="K41" t="str" cm="1">
        <f t="array" ref="K41">_xlfn.SWITCH(TRIM(UPPER(J41)),
"BUSINESS", "Short Stay",
"CONFERENCE", "Medium Stay",
"VACATION", "Iong Stay",
"HOLIDAY", "Long Stay",
"V", "Leisure",
"UNKNOWN", "Unknown",
"Other")</f>
        <v>Medium Stay</v>
      </c>
    </row>
    <row r="42" spans="1:11" x14ac:dyDescent="0.3">
      <c r="A42" t="s">
        <v>272</v>
      </c>
      <c r="B42" t="s">
        <v>273</v>
      </c>
      <c r="C42" t="s">
        <v>75</v>
      </c>
      <c r="D42" t="s">
        <v>274</v>
      </c>
      <c r="E42" t="s">
        <v>117</v>
      </c>
      <c r="F42" t="s">
        <v>275</v>
      </c>
      <c r="G42" t="s">
        <v>276</v>
      </c>
      <c r="H42" t="s">
        <v>277</v>
      </c>
      <c r="I42">
        <f t="shared" si="0"/>
        <v>1</v>
      </c>
      <c r="J42" t="s">
        <v>121</v>
      </c>
      <c r="K42" t="str" cm="1">
        <f t="array" ref="K42">_xlfn.SWITCH(TRIM(UPPER(J42)),
"BUSINESS", "Short Stay",
"CONFERENCE", "Medium Stay",
"VACATION", "Iong Stay",
"HOLIDAY", "Long Stay",
"V", "Leisure",
"UNKNOWN", "Unknown",
"Other")</f>
        <v>Iong Stay</v>
      </c>
    </row>
    <row r="43" spans="1:11" x14ac:dyDescent="0.3">
      <c r="A43" t="s">
        <v>278</v>
      </c>
      <c r="B43" t="s">
        <v>279</v>
      </c>
      <c r="C43" t="s">
        <v>30</v>
      </c>
      <c r="D43" t="s">
        <v>280</v>
      </c>
      <c r="E43" t="s">
        <v>214</v>
      </c>
      <c r="F43" t="s">
        <v>281</v>
      </c>
      <c r="G43" t="s">
        <v>282</v>
      </c>
      <c r="H43" t="s">
        <v>283</v>
      </c>
      <c r="I43">
        <f t="shared" si="0"/>
        <v>2</v>
      </c>
      <c r="J43" t="s">
        <v>44</v>
      </c>
      <c r="K43" t="str" cm="1">
        <f t="array" ref="K43">_xlfn.SWITCH(TRIM(UPPER(J43)),
"BUSINESS", "Short Stay",
"CONFERENCE", "Medium Stay",
"VACATION", "Iong Stay",
"HOLIDAY", "Long Stay",
"V", "Leisure",
"UNKNOWN", "Unknown",
"Other")</f>
        <v>Other</v>
      </c>
    </row>
    <row r="44" spans="1:11" x14ac:dyDescent="0.3">
      <c r="A44" t="s">
        <v>284</v>
      </c>
      <c r="B44" t="s">
        <v>285</v>
      </c>
      <c r="C44" t="s">
        <v>54</v>
      </c>
      <c r="D44" t="s">
        <v>286</v>
      </c>
      <c r="E44" t="s">
        <v>149</v>
      </c>
      <c r="F44" t="s">
        <v>287</v>
      </c>
      <c r="G44" t="s">
        <v>288</v>
      </c>
      <c r="H44" t="s">
        <v>289</v>
      </c>
      <c r="I44">
        <f t="shared" si="0"/>
        <v>5</v>
      </c>
      <c r="J44" t="s">
        <v>27</v>
      </c>
      <c r="K44" t="str" cm="1">
        <f t="array" ref="K44">_xlfn.SWITCH(TRIM(UPPER(J44)),
"BUSINESS", "Short Stay",
"CONFERENCE", "Medium Stay",
"VACATION", "Iong Stay",
"HOLIDAY", "Long Stay",
"V", "Leisure",
"UNKNOWN", "Unknown",
"Other")</f>
        <v>Medium Stay</v>
      </c>
    </row>
    <row r="45" spans="1:11" x14ac:dyDescent="0.3">
      <c r="A45" t="s">
        <v>290</v>
      </c>
      <c r="B45" t="s">
        <v>82</v>
      </c>
      <c r="C45" t="s">
        <v>83</v>
      </c>
      <c r="D45" t="s">
        <v>291</v>
      </c>
      <c r="E45" t="s">
        <v>48</v>
      </c>
      <c r="F45" t="s">
        <v>292</v>
      </c>
      <c r="G45" t="s">
        <v>87</v>
      </c>
      <c r="H45" t="s">
        <v>88</v>
      </c>
      <c r="I45">
        <f t="shared" si="0"/>
        <v>3</v>
      </c>
      <c r="J45" t="s">
        <v>121</v>
      </c>
      <c r="K45" t="str" cm="1">
        <f t="array" ref="K45">_xlfn.SWITCH(TRIM(UPPER(J45)),
"BUSINESS", "Short Stay",
"CONFERENCE", "Medium Stay",
"VACATION", "Iong Stay",
"HOLIDAY", "Long Stay",
"V", "Leisure",
"UNKNOWN", "Unknown",
"Other")</f>
        <v>Iong Stay</v>
      </c>
    </row>
    <row r="46" spans="1:11" x14ac:dyDescent="0.3">
      <c r="A46" t="s">
        <v>293</v>
      </c>
      <c r="B46" t="s">
        <v>294</v>
      </c>
      <c r="C46" t="s">
        <v>174</v>
      </c>
      <c r="D46" t="s">
        <v>295</v>
      </c>
      <c r="E46" t="s">
        <v>69</v>
      </c>
      <c r="F46" t="s">
        <v>296</v>
      </c>
      <c r="G46" t="s">
        <v>297</v>
      </c>
      <c r="H46" t="s">
        <v>298</v>
      </c>
      <c r="I46">
        <f t="shared" si="0"/>
        <v>3</v>
      </c>
      <c r="J46" t="s">
        <v>27</v>
      </c>
      <c r="K46" t="str" cm="1">
        <f t="array" ref="K46">_xlfn.SWITCH(TRIM(UPPER(J46)),
"BUSINESS", "Short Stay",
"CONFERENCE", "Medium Stay",
"VACATION", "Iong Stay",
"HOLIDAY", "Long Stay",
"V", "Leisure",
"UNKNOWN", "Unknown",
"Other")</f>
        <v>Medium Stay</v>
      </c>
    </row>
    <row r="47" spans="1:11" x14ac:dyDescent="0.3">
      <c r="A47" t="s">
        <v>299</v>
      </c>
      <c r="B47" t="s">
        <v>300</v>
      </c>
      <c r="C47" t="s">
        <v>174</v>
      </c>
      <c r="D47" t="s">
        <v>301</v>
      </c>
      <c r="E47" t="s">
        <v>85</v>
      </c>
      <c r="F47" t="s">
        <v>302</v>
      </c>
      <c r="G47" t="s">
        <v>303</v>
      </c>
      <c r="H47" t="s">
        <v>304</v>
      </c>
      <c r="I47">
        <f t="shared" si="0"/>
        <v>4</v>
      </c>
      <c r="J47" t="s">
        <v>27</v>
      </c>
      <c r="K47" t="str" cm="1">
        <f t="array" ref="K47">_xlfn.SWITCH(TRIM(UPPER(J47)),
"BUSINESS", "Short Stay",
"CONFERENCE", "Medium Stay",
"VACATION", "Iong Stay",
"HOLIDAY", "Long Stay",
"V", "Leisure",
"UNKNOWN", "Unknown",
"Other")</f>
        <v>Medium Stay</v>
      </c>
    </row>
    <row r="48" spans="1:11" x14ac:dyDescent="0.3">
      <c r="A48" t="s">
        <v>305</v>
      </c>
      <c r="B48" t="s">
        <v>306</v>
      </c>
      <c r="C48" t="s">
        <v>83</v>
      </c>
      <c r="D48" t="s">
        <v>307</v>
      </c>
      <c r="E48" t="s">
        <v>156</v>
      </c>
      <c r="F48" t="s">
        <v>308</v>
      </c>
      <c r="G48" t="s">
        <v>309</v>
      </c>
      <c r="H48" t="s">
        <v>310</v>
      </c>
      <c r="I48">
        <f t="shared" si="0"/>
        <v>4</v>
      </c>
      <c r="J48" t="s">
        <v>27</v>
      </c>
      <c r="K48" t="str" cm="1">
        <f t="array" ref="K48">_xlfn.SWITCH(TRIM(UPPER(J48)),
"BUSINESS", "Short Stay",
"CONFERENCE", "Medium Stay",
"VACATION", "Iong Stay",
"HOLIDAY", "Long Stay",
"V", "Leisure",
"UNKNOWN", "Unknown",
"Other")</f>
        <v>Medium Stay</v>
      </c>
    </row>
    <row r="49" spans="1:11" x14ac:dyDescent="0.3">
      <c r="A49" t="s">
        <v>311</v>
      </c>
      <c r="B49" t="s">
        <v>312</v>
      </c>
      <c r="C49" t="s">
        <v>97</v>
      </c>
      <c r="D49" t="s">
        <v>313</v>
      </c>
      <c r="E49" t="s">
        <v>314</v>
      </c>
      <c r="F49" t="s">
        <v>315</v>
      </c>
      <c r="G49" t="s">
        <v>316</v>
      </c>
      <c r="H49" t="s">
        <v>317</v>
      </c>
      <c r="I49">
        <f t="shared" si="0"/>
        <v>4</v>
      </c>
      <c r="J49" t="s">
        <v>121</v>
      </c>
      <c r="K49" t="str" cm="1">
        <f t="array" ref="K49">_xlfn.SWITCH(TRIM(UPPER(J49)),
"BUSINESS", "Short Stay",
"CONFERENCE", "Medium Stay",
"VACATION", "Iong Stay",
"HOLIDAY", "Long Stay",
"V", "Leisure",
"UNKNOWN", "Unknown",
"Other")</f>
        <v>Iong Stay</v>
      </c>
    </row>
    <row r="50" spans="1:11" x14ac:dyDescent="0.3">
      <c r="A50" t="s">
        <v>318</v>
      </c>
      <c r="B50" t="s">
        <v>319</v>
      </c>
      <c r="C50" t="s">
        <v>61</v>
      </c>
      <c r="D50" t="s">
        <v>320</v>
      </c>
      <c r="E50" t="s">
        <v>156</v>
      </c>
      <c r="F50" t="s">
        <v>321</v>
      </c>
      <c r="G50" t="s">
        <v>322</v>
      </c>
      <c r="H50" t="s">
        <v>316</v>
      </c>
      <c r="I50">
        <f t="shared" si="0"/>
        <v>4</v>
      </c>
      <c r="J50" t="s">
        <v>27</v>
      </c>
      <c r="K50" t="str" cm="1">
        <f t="array" ref="K50">_xlfn.SWITCH(TRIM(UPPER(J50)),
"BUSINESS", "Short Stay",
"CONFERENCE", "Medium Stay",
"VACATION", "Iong Stay",
"HOLIDAY", "Long Stay",
"V", "Leisure",
"UNKNOWN", "Unknown",
"Other")</f>
        <v>Medium Stay</v>
      </c>
    </row>
    <row r="51" spans="1:11" x14ac:dyDescent="0.3">
      <c r="A51" t="s">
        <v>323</v>
      </c>
      <c r="B51" t="s">
        <v>324</v>
      </c>
      <c r="C51" t="s">
        <v>12</v>
      </c>
      <c r="D51" t="s">
        <v>325</v>
      </c>
      <c r="E51" t="s">
        <v>117</v>
      </c>
      <c r="F51" t="s">
        <v>326</v>
      </c>
      <c r="G51" t="s">
        <v>327</v>
      </c>
      <c r="H51" t="s">
        <v>328</v>
      </c>
      <c r="I51">
        <f t="shared" si="0"/>
        <v>5</v>
      </c>
      <c r="J51" t="s">
        <v>27</v>
      </c>
      <c r="K51" t="str" cm="1">
        <f t="array" ref="K51">_xlfn.SWITCH(TRIM(UPPER(J51)),
"BUSINESS", "Short Stay",
"CONFERENCE", "Medium Stay",
"VACATION", "Iong Stay",
"HOLIDAY", "Long Stay",
"V", "Leisure",
"UNKNOWN", "Unknown",
"Other")</f>
        <v>Medium Stay</v>
      </c>
    </row>
    <row r="52" spans="1:11" x14ac:dyDescent="0.3">
      <c r="A52" t="s">
        <v>329</v>
      </c>
      <c r="B52" t="s">
        <v>330</v>
      </c>
      <c r="C52" t="s">
        <v>83</v>
      </c>
      <c r="D52" t="s">
        <v>331</v>
      </c>
      <c r="E52" t="s">
        <v>40</v>
      </c>
      <c r="F52" t="s">
        <v>332</v>
      </c>
      <c r="G52" t="s">
        <v>333</v>
      </c>
      <c r="H52" t="s">
        <v>221</v>
      </c>
      <c r="I52">
        <f t="shared" si="0"/>
        <v>1</v>
      </c>
      <c r="J52" t="s">
        <v>44</v>
      </c>
      <c r="K52" t="str" cm="1">
        <f t="array" ref="K52">_xlfn.SWITCH(TRIM(UPPER(J52)),
"BUSINESS", "Short Stay",
"CONFERENCE", "Medium Stay",
"VACATION", "Iong Stay",
"HOLIDAY", "Long Stay",
"V", "Leisure",
"UNKNOWN", "Unknown",
"Other")</f>
        <v>Other</v>
      </c>
    </row>
    <row r="53" spans="1:11" x14ac:dyDescent="0.3">
      <c r="A53" t="s">
        <v>334</v>
      </c>
      <c r="B53" t="s">
        <v>335</v>
      </c>
      <c r="C53" t="s">
        <v>21</v>
      </c>
      <c r="D53" t="s">
        <v>336</v>
      </c>
      <c r="E53" t="s">
        <v>176</v>
      </c>
      <c r="F53" t="s">
        <v>337</v>
      </c>
      <c r="G53" t="s">
        <v>338</v>
      </c>
      <c r="H53" t="s">
        <v>339</v>
      </c>
      <c r="I53">
        <f t="shared" si="0"/>
        <v>4</v>
      </c>
      <c r="J53" t="s">
        <v>121</v>
      </c>
      <c r="K53" t="str" cm="1">
        <f t="array" ref="K53">_xlfn.SWITCH(TRIM(UPPER(J53)),
"BUSINESS", "Short Stay",
"CONFERENCE", "Medium Stay",
"VACATION", "Iong Stay",
"HOLIDAY", "Long Stay",
"V", "Leisure",
"UNKNOWN", "Unknown",
"Other")</f>
        <v>Iong Stay</v>
      </c>
    </row>
    <row r="54" spans="1:11" x14ac:dyDescent="0.3">
      <c r="A54" t="s">
        <v>340</v>
      </c>
      <c r="B54" t="s">
        <v>341</v>
      </c>
      <c r="C54" t="s">
        <v>75</v>
      </c>
      <c r="D54" t="s">
        <v>342</v>
      </c>
      <c r="E54" t="s">
        <v>23</v>
      </c>
      <c r="F54" t="s">
        <v>343</v>
      </c>
      <c r="G54" t="s">
        <v>344</v>
      </c>
      <c r="H54" t="s">
        <v>345</v>
      </c>
      <c r="I54">
        <f t="shared" si="0"/>
        <v>4</v>
      </c>
      <c r="J54" t="s">
        <v>27</v>
      </c>
      <c r="K54" t="str" cm="1">
        <f t="array" ref="K54">_xlfn.SWITCH(TRIM(UPPER(J54)),
"BUSINESS", "Short Stay",
"CONFERENCE", "Medium Stay",
"VACATION", "Iong Stay",
"HOLIDAY", "Long Stay",
"V", "Leisure",
"UNKNOWN", "Unknown",
"Other")</f>
        <v>Medium Stay</v>
      </c>
    </row>
    <row r="55" spans="1:11" x14ac:dyDescent="0.3">
      <c r="A55" t="s">
        <v>346</v>
      </c>
      <c r="B55" t="s">
        <v>347</v>
      </c>
      <c r="C55" t="s">
        <v>12</v>
      </c>
      <c r="D55" t="s">
        <v>348</v>
      </c>
      <c r="E55" t="s">
        <v>214</v>
      </c>
      <c r="F55" t="s">
        <v>349</v>
      </c>
      <c r="G55" t="s">
        <v>350</v>
      </c>
      <c r="H55" t="s">
        <v>351</v>
      </c>
      <c r="I55">
        <f t="shared" si="0"/>
        <v>4</v>
      </c>
      <c r="J55" t="s">
        <v>121</v>
      </c>
      <c r="K55" t="str" cm="1">
        <f t="array" ref="K55">_xlfn.SWITCH(TRIM(UPPER(J55)),
"BUSINESS", "Short Stay",
"CONFERENCE", "Medium Stay",
"VACATION", "Iong Stay",
"HOLIDAY", "Long Stay",
"V", "Leisure",
"UNKNOWN", "Unknown",
"Other")</f>
        <v>Iong Stay</v>
      </c>
    </row>
    <row r="56" spans="1:11" x14ac:dyDescent="0.3">
      <c r="A56" t="s">
        <v>352</v>
      </c>
      <c r="B56" t="s">
        <v>353</v>
      </c>
      <c r="C56" t="s">
        <v>83</v>
      </c>
      <c r="D56" t="s">
        <v>354</v>
      </c>
      <c r="E56" t="s">
        <v>156</v>
      </c>
      <c r="F56" t="s">
        <v>355</v>
      </c>
      <c r="G56" t="s">
        <v>356</v>
      </c>
      <c r="H56" t="s">
        <v>357</v>
      </c>
      <c r="I56">
        <f t="shared" si="0"/>
        <v>3</v>
      </c>
      <c r="J56" t="s">
        <v>44</v>
      </c>
      <c r="K56" t="str" cm="1">
        <f t="array" ref="K56">_xlfn.SWITCH(TRIM(UPPER(J56)),
"BUSINESS", "Short Stay",
"CONFERENCE", "Medium Stay",
"VACATION", "Iong Stay",
"HOLIDAY", "Long Stay",
"V", "Leisure",
"UNKNOWN", "Unknown",
"Other")</f>
        <v>Other</v>
      </c>
    </row>
    <row r="57" spans="1:11" x14ac:dyDescent="0.3">
      <c r="A57" t="s">
        <v>358</v>
      </c>
      <c r="B57" t="s">
        <v>359</v>
      </c>
      <c r="C57" t="s">
        <v>12</v>
      </c>
      <c r="D57" t="s">
        <v>360</v>
      </c>
      <c r="E57" t="s">
        <v>23</v>
      </c>
      <c r="F57" t="s">
        <v>361</v>
      </c>
      <c r="G57" t="s">
        <v>362</v>
      </c>
      <c r="H57" t="s">
        <v>363</v>
      </c>
      <c r="I57">
        <f t="shared" si="0"/>
        <v>1</v>
      </c>
      <c r="J57" t="s">
        <v>121</v>
      </c>
      <c r="K57" t="str" cm="1">
        <f t="array" ref="K57">_xlfn.SWITCH(TRIM(UPPER(J57)),
"BUSINESS", "Short Stay",
"CONFERENCE", "Medium Stay",
"VACATION", "Iong Stay",
"HOLIDAY", "Long Stay",
"V", "Leisure",
"UNKNOWN", "Unknown",
"Other")</f>
        <v>Iong Stay</v>
      </c>
    </row>
    <row r="58" spans="1:11" x14ac:dyDescent="0.3">
      <c r="A58" t="s">
        <v>364</v>
      </c>
      <c r="B58" t="s">
        <v>365</v>
      </c>
      <c r="C58" t="s">
        <v>30</v>
      </c>
      <c r="D58" t="s">
        <v>366</v>
      </c>
      <c r="E58" t="s">
        <v>149</v>
      </c>
      <c r="F58" t="s">
        <v>367</v>
      </c>
      <c r="G58" t="s">
        <v>368</v>
      </c>
      <c r="H58" t="s">
        <v>369</v>
      </c>
      <c r="I58">
        <f t="shared" si="0"/>
        <v>1</v>
      </c>
      <c r="J58" t="s">
        <v>121</v>
      </c>
      <c r="K58" t="str" cm="1">
        <f t="array" ref="K58">_xlfn.SWITCH(TRIM(UPPER(J58)),
"BUSINESS", "Short Stay",
"CONFERENCE", "Medium Stay",
"VACATION", "Iong Stay",
"HOLIDAY", "Long Stay",
"V", "Leisure",
"UNKNOWN", "Unknown",
"Other")</f>
        <v>Iong Stay</v>
      </c>
    </row>
    <row r="59" spans="1:11" x14ac:dyDescent="0.3">
      <c r="A59" t="s">
        <v>370</v>
      </c>
      <c r="B59" t="s">
        <v>67</v>
      </c>
      <c r="C59" t="s">
        <v>75</v>
      </c>
      <c r="D59" t="s">
        <v>371</v>
      </c>
      <c r="E59" t="s">
        <v>14</v>
      </c>
      <c r="F59" t="s">
        <v>372</v>
      </c>
      <c r="G59" t="s">
        <v>71</v>
      </c>
      <c r="H59" t="s">
        <v>373</v>
      </c>
      <c r="I59">
        <f t="shared" si="0"/>
        <v>2</v>
      </c>
      <c r="J59" t="s">
        <v>44</v>
      </c>
      <c r="K59" t="str" cm="1">
        <f t="array" ref="K59">_xlfn.SWITCH(TRIM(UPPER(J59)),
"BUSINESS", "Short Stay",
"CONFERENCE", "Medium Stay",
"VACATION", "Iong Stay",
"HOLIDAY", "Long Stay",
"V", "Leisure",
"UNKNOWN", "Unknown",
"Other")</f>
        <v>Other</v>
      </c>
    </row>
    <row r="60" spans="1:11" x14ac:dyDescent="0.3">
      <c r="A60" t="s">
        <v>374</v>
      </c>
      <c r="B60" t="s">
        <v>375</v>
      </c>
      <c r="C60" t="s">
        <v>12</v>
      </c>
      <c r="D60" t="s">
        <v>182</v>
      </c>
      <c r="E60" t="s">
        <v>156</v>
      </c>
      <c r="F60" t="s">
        <v>376</v>
      </c>
      <c r="G60" t="s">
        <v>377</v>
      </c>
      <c r="H60" t="s">
        <v>378</v>
      </c>
      <c r="I60">
        <f t="shared" si="0"/>
        <v>4</v>
      </c>
      <c r="J60" t="s">
        <v>44</v>
      </c>
      <c r="K60" t="str" cm="1">
        <f t="array" ref="K60">_xlfn.SWITCH(TRIM(UPPER(J60)),
"BUSINESS", "Short Stay",
"CONFERENCE", "Medium Stay",
"VACATION", "Iong Stay",
"HOLIDAY", "Long Stay",
"V", "Leisure",
"UNKNOWN", "Unknown",
"Other")</f>
        <v>Other</v>
      </c>
    </row>
    <row r="61" spans="1:11" x14ac:dyDescent="0.3">
      <c r="A61" t="s">
        <v>379</v>
      </c>
      <c r="B61" t="s">
        <v>380</v>
      </c>
      <c r="C61" t="s">
        <v>83</v>
      </c>
      <c r="D61" t="s">
        <v>381</v>
      </c>
      <c r="E61" t="s">
        <v>176</v>
      </c>
      <c r="F61" t="s">
        <v>382</v>
      </c>
      <c r="G61" t="s">
        <v>383</v>
      </c>
      <c r="H61" t="s">
        <v>233</v>
      </c>
      <c r="I61">
        <f t="shared" si="0"/>
        <v>1</v>
      </c>
      <c r="J61" t="s">
        <v>44</v>
      </c>
      <c r="K61" t="str" cm="1">
        <f t="array" ref="K61">_xlfn.SWITCH(TRIM(UPPER(J61)),
"BUSINESS", "Short Stay",
"CONFERENCE", "Medium Stay",
"VACATION", "Iong Stay",
"HOLIDAY", "Long Stay",
"V", "Leisure",
"UNKNOWN", "Unknown",
"Other")</f>
        <v>Other</v>
      </c>
    </row>
    <row r="62" spans="1:11" x14ac:dyDescent="0.3">
      <c r="A62" t="s">
        <v>384</v>
      </c>
      <c r="B62" t="s">
        <v>385</v>
      </c>
      <c r="C62" t="s">
        <v>54</v>
      </c>
      <c r="D62" t="s">
        <v>386</v>
      </c>
      <c r="E62" t="s">
        <v>77</v>
      </c>
      <c r="F62" t="s">
        <v>387</v>
      </c>
      <c r="G62" t="s">
        <v>80</v>
      </c>
      <c r="H62" t="s">
        <v>345</v>
      </c>
      <c r="I62">
        <f t="shared" si="0"/>
        <v>1</v>
      </c>
      <c r="J62" t="s">
        <v>18</v>
      </c>
      <c r="K62" t="str" cm="1">
        <f t="array" ref="K62">_xlfn.SWITCH(TRIM(UPPER(J62)),
"BUSINESS", "Short Stay",
"CONFERENCE", "Medium Stay",
"VACATION", "Iong Stay",
"HOLIDAY", "Long Stay",
"V", "Leisure",
"UNKNOWN", "Unknown",
"Other")</f>
        <v>Short Stay</v>
      </c>
    </row>
    <row r="63" spans="1:11" x14ac:dyDescent="0.3">
      <c r="A63" t="s">
        <v>388</v>
      </c>
      <c r="B63" t="s">
        <v>389</v>
      </c>
      <c r="C63" t="s">
        <v>174</v>
      </c>
      <c r="D63" t="s">
        <v>390</v>
      </c>
      <c r="E63" t="s">
        <v>63</v>
      </c>
      <c r="F63" t="s">
        <v>391</v>
      </c>
      <c r="G63" t="s">
        <v>392</v>
      </c>
      <c r="H63" t="s">
        <v>393</v>
      </c>
      <c r="I63">
        <f t="shared" si="0"/>
        <v>4</v>
      </c>
      <c r="J63" t="s">
        <v>44</v>
      </c>
      <c r="K63" t="str" cm="1">
        <f t="array" ref="K63">_xlfn.SWITCH(TRIM(UPPER(J63)),
"BUSINESS", "Short Stay",
"CONFERENCE", "Medium Stay",
"VACATION", "Iong Stay",
"HOLIDAY", "Long Stay",
"V", "Leisure",
"UNKNOWN", "Unknown",
"Other")</f>
        <v>Other</v>
      </c>
    </row>
    <row r="64" spans="1:11" x14ac:dyDescent="0.3">
      <c r="A64" t="s">
        <v>394</v>
      </c>
      <c r="B64" t="s">
        <v>395</v>
      </c>
      <c r="C64" t="s">
        <v>61</v>
      </c>
      <c r="D64" t="s">
        <v>396</v>
      </c>
      <c r="E64" t="s">
        <v>314</v>
      </c>
      <c r="F64" t="s">
        <v>397</v>
      </c>
      <c r="G64" t="s">
        <v>398</v>
      </c>
      <c r="H64" t="s">
        <v>399</v>
      </c>
      <c r="I64">
        <f t="shared" si="0"/>
        <v>4</v>
      </c>
      <c r="J64" t="s">
        <v>44</v>
      </c>
      <c r="K64" t="str" cm="1">
        <f t="array" ref="K64">_xlfn.SWITCH(TRIM(UPPER(J64)),
"BUSINESS", "Short Stay",
"CONFERENCE", "Medium Stay",
"VACATION", "Iong Stay",
"HOLIDAY", "Long Stay",
"V", "Leisure",
"UNKNOWN", "Unknown",
"Other")</f>
        <v>Other</v>
      </c>
    </row>
    <row r="65" spans="1:11" x14ac:dyDescent="0.3">
      <c r="A65" t="s">
        <v>400</v>
      </c>
      <c r="B65" t="s">
        <v>401</v>
      </c>
      <c r="C65" t="s">
        <v>30</v>
      </c>
      <c r="D65" t="s">
        <v>402</v>
      </c>
      <c r="E65" t="s">
        <v>48</v>
      </c>
      <c r="F65" t="s">
        <v>403</v>
      </c>
      <c r="G65" t="s">
        <v>35</v>
      </c>
      <c r="H65" t="s">
        <v>404</v>
      </c>
      <c r="I65">
        <f t="shared" si="0"/>
        <v>5</v>
      </c>
      <c r="J65" t="s">
        <v>121</v>
      </c>
      <c r="K65" t="str" cm="1">
        <f t="array" ref="K65">_xlfn.SWITCH(TRIM(UPPER(J65)),
"BUSINESS", "Short Stay",
"CONFERENCE", "Medium Stay",
"VACATION", "Iong Stay",
"HOLIDAY", "Long Stay",
"V", "Leisure",
"UNKNOWN", "Unknown",
"Other")</f>
        <v>Iong Stay</v>
      </c>
    </row>
    <row r="66" spans="1:11" x14ac:dyDescent="0.3">
      <c r="A66" t="s">
        <v>405</v>
      </c>
      <c r="B66" t="s">
        <v>406</v>
      </c>
      <c r="C66" t="s">
        <v>54</v>
      </c>
      <c r="D66" t="s">
        <v>407</v>
      </c>
      <c r="E66" t="s">
        <v>77</v>
      </c>
      <c r="F66" t="s">
        <v>408</v>
      </c>
      <c r="G66" t="s">
        <v>409</v>
      </c>
      <c r="H66" t="s">
        <v>410</v>
      </c>
      <c r="I66">
        <f t="shared" si="0"/>
        <v>2</v>
      </c>
      <c r="J66" t="s">
        <v>27</v>
      </c>
      <c r="K66" t="str" cm="1">
        <f t="array" ref="K66">_xlfn.SWITCH(TRIM(UPPER(J66)),
"BUSINESS", "Short Stay",
"CONFERENCE", "Medium Stay",
"VACATION", "Iong Stay",
"HOLIDAY", "Long Stay",
"V", "Leisure",
"UNKNOWN", "Unknown",
"Other")</f>
        <v>Medium Stay</v>
      </c>
    </row>
    <row r="67" spans="1:11" x14ac:dyDescent="0.3">
      <c r="A67" t="s">
        <v>411</v>
      </c>
      <c r="B67" t="s">
        <v>412</v>
      </c>
      <c r="C67" t="s">
        <v>75</v>
      </c>
      <c r="D67" t="s">
        <v>413</v>
      </c>
      <c r="E67" t="s">
        <v>63</v>
      </c>
      <c r="F67" t="s">
        <v>414</v>
      </c>
      <c r="G67" t="s">
        <v>415</v>
      </c>
      <c r="H67" t="s">
        <v>416</v>
      </c>
      <c r="I67">
        <f t="shared" ref="I67:I130" si="1">H67-G67</f>
        <v>2</v>
      </c>
      <c r="J67" t="s">
        <v>27</v>
      </c>
      <c r="K67" t="str" cm="1">
        <f t="array" ref="K67">_xlfn.SWITCH(TRIM(UPPER(J67)),
"BUSINESS", "Short Stay",
"CONFERENCE", "Medium Stay",
"VACATION", "Iong Stay",
"HOLIDAY", "Long Stay",
"V", "Leisure",
"UNKNOWN", "Unknown",
"Other")</f>
        <v>Medium Stay</v>
      </c>
    </row>
    <row r="68" spans="1:11" x14ac:dyDescent="0.3">
      <c r="A68" t="s">
        <v>417</v>
      </c>
      <c r="B68" t="s">
        <v>418</v>
      </c>
      <c r="C68" t="s">
        <v>21</v>
      </c>
      <c r="D68" t="s">
        <v>419</v>
      </c>
      <c r="E68" t="s">
        <v>32</v>
      </c>
      <c r="F68" t="s">
        <v>420</v>
      </c>
      <c r="G68" t="s">
        <v>421</v>
      </c>
      <c r="H68" t="s">
        <v>422</v>
      </c>
      <c r="I68">
        <f t="shared" si="1"/>
        <v>3</v>
      </c>
      <c r="J68" t="s">
        <v>27</v>
      </c>
      <c r="K68" t="str" cm="1">
        <f t="array" ref="K68">_xlfn.SWITCH(TRIM(UPPER(J68)),
"BUSINESS", "Short Stay",
"CONFERENCE", "Medium Stay",
"VACATION", "Iong Stay",
"HOLIDAY", "Long Stay",
"V", "Leisure",
"UNKNOWN", "Unknown",
"Other")</f>
        <v>Medium Stay</v>
      </c>
    </row>
    <row r="69" spans="1:11" x14ac:dyDescent="0.3">
      <c r="A69" t="s">
        <v>423</v>
      </c>
      <c r="B69" t="s">
        <v>389</v>
      </c>
      <c r="C69" t="s">
        <v>38</v>
      </c>
      <c r="D69" t="s">
        <v>424</v>
      </c>
      <c r="E69" t="s">
        <v>63</v>
      </c>
      <c r="F69" t="s">
        <v>425</v>
      </c>
      <c r="G69" t="s">
        <v>392</v>
      </c>
      <c r="H69" t="s">
        <v>426</v>
      </c>
      <c r="I69">
        <f t="shared" si="1"/>
        <v>3</v>
      </c>
      <c r="J69" t="s">
        <v>44</v>
      </c>
      <c r="K69" t="str" cm="1">
        <f t="array" ref="K69">_xlfn.SWITCH(TRIM(UPPER(J69)),
"BUSINESS", "Short Stay",
"CONFERENCE", "Medium Stay",
"VACATION", "Iong Stay",
"HOLIDAY", "Long Stay",
"V", "Leisure",
"UNKNOWN", "Unknown",
"Other")</f>
        <v>Other</v>
      </c>
    </row>
    <row r="70" spans="1:11" x14ac:dyDescent="0.3">
      <c r="A70" t="s">
        <v>427</v>
      </c>
      <c r="B70" t="s">
        <v>428</v>
      </c>
      <c r="C70" t="s">
        <v>21</v>
      </c>
      <c r="D70" t="s">
        <v>429</v>
      </c>
      <c r="E70" t="s">
        <v>430</v>
      </c>
      <c r="F70" t="s">
        <v>431</v>
      </c>
      <c r="G70" t="s">
        <v>432</v>
      </c>
      <c r="H70" t="s">
        <v>51</v>
      </c>
      <c r="I70">
        <f t="shared" si="1"/>
        <v>2</v>
      </c>
      <c r="J70" t="s">
        <v>44</v>
      </c>
      <c r="K70" t="str" cm="1">
        <f t="array" ref="K70">_xlfn.SWITCH(TRIM(UPPER(J70)),
"BUSINESS", "Short Stay",
"CONFERENCE", "Medium Stay",
"VACATION", "Iong Stay",
"HOLIDAY", "Long Stay",
"V", "Leisure",
"UNKNOWN", "Unknown",
"Other")</f>
        <v>Other</v>
      </c>
    </row>
    <row r="71" spans="1:11" x14ac:dyDescent="0.3">
      <c r="A71" t="s">
        <v>433</v>
      </c>
      <c r="B71" t="s">
        <v>434</v>
      </c>
      <c r="C71" t="s">
        <v>61</v>
      </c>
      <c r="D71" t="s">
        <v>435</v>
      </c>
      <c r="E71" t="s">
        <v>14</v>
      </c>
      <c r="F71" t="s">
        <v>436</v>
      </c>
      <c r="G71" t="s">
        <v>437</v>
      </c>
      <c r="H71" t="s">
        <v>438</v>
      </c>
      <c r="I71">
        <f t="shared" si="1"/>
        <v>1</v>
      </c>
      <c r="J71" t="s">
        <v>27</v>
      </c>
      <c r="K71" t="str" cm="1">
        <f t="array" ref="K71">_xlfn.SWITCH(TRIM(UPPER(J71)),
"BUSINESS", "Short Stay",
"CONFERENCE", "Medium Stay",
"VACATION", "Iong Stay",
"HOLIDAY", "Long Stay",
"V", "Leisure",
"UNKNOWN", "Unknown",
"Other")</f>
        <v>Medium Stay</v>
      </c>
    </row>
    <row r="72" spans="1:11" x14ac:dyDescent="0.3">
      <c r="A72" t="s">
        <v>439</v>
      </c>
      <c r="B72" t="s">
        <v>440</v>
      </c>
      <c r="C72" t="s">
        <v>21</v>
      </c>
      <c r="D72" t="s">
        <v>441</v>
      </c>
      <c r="E72" t="s">
        <v>69</v>
      </c>
      <c r="F72" t="s">
        <v>442</v>
      </c>
      <c r="G72" t="s">
        <v>94</v>
      </c>
      <c r="H72" t="s">
        <v>443</v>
      </c>
      <c r="I72">
        <f t="shared" si="1"/>
        <v>3</v>
      </c>
      <c r="J72" t="s">
        <v>27</v>
      </c>
      <c r="K72" t="str" cm="1">
        <f t="array" ref="K72">_xlfn.SWITCH(TRIM(UPPER(J72)),
"BUSINESS", "Short Stay",
"CONFERENCE", "Medium Stay",
"VACATION", "Iong Stay",
"HOLIDAY", "Long Stay",
"V", "Leisure",
"UNKNOWN", "Unknown",
"Other")</f>
        <v>Medium Stay</v>
      </c>
    </row>
    <row r="73" spans="1:11" x14ac:dyDescent="0.3">
      <c r="A73" t="s">
        <v>444</v>
      </c>
      <c r="B73" t="s">
        <v>445</v>
      </c>
      <c r="C73" t="s">
        <v>38</v>
      </c>
      <c r="D73" t="s">
        <v>446</v>
      </c>
      <c r="E73" t="s">
        <v>156</v>
      </c>
      <c r="F73" t="s">
        <v>447</v>
      </c>
      <c r="G73" t="s">
        <v>448</v>
      </c>
      <c r="H73" t="s">
        <v>191</v>
      </c>
      <c r="I73">
        <f t="shared" si="1"/>
        <v>2</v>
      </c>
      <c r="J73" t="s">
        <v>27</v>
      </c>
      <c r="K73" t="str" cm="1">
        <f t="array" ref="K73">_xlfn.SWITCH(TRIM(UPPER(J73)),
"BUSINESS", "Short Stay",
"CONFERENCE", "Medium Stay",
"VACATION", "Iong Stay",
"HOLIDAY", "Long Stay",
"V", "Leisure",
"UNKNOWN", "Unknown",
"Other")</f>
        <v>Medium Stay</v>
      </c>
    </row>
    <row r="74" spans="1:11" x14ac:dyDescent="0.3">
      <c r="A74" t="s">
        <v>449</v>
      </c>
      <c r="B74" t="s">
        <v>450</v>
      </c>
      <c r="C74" t="s">
        <v>21</v>
      </c>
      <c r="D74" t="s">
        <v>451</v>
      </c>
      <c r="E74" t="s">
        <v>117</v>
      </c>
      <c r="F74" t="s">
        <v>452</v>
      </c>
      <c r="G74" t="s">
        <v>453</v>
      </c>
      <c r="H74" t="s">
        <v>454</v>
      </c>
      <c r="I74">
        <f t="shared" si="1"/>
        <v>3</v>
      </c>
      <c r="J74" t="s">
        <v>27</v>
      </c>
      <c r="K74" t="str" cm="1">
        <f t="array" ref="K74">_xlfn.SWITCH(TRIM(UPPER(J74)),
"BUSINESS", "Short Stay",
"CONFERENCE", "Medium Stay",
"VACATION", "Iong Stay",
"HOLIDAY", "Long Stay",
"V", "Leisure",
"UNKNOWN", "Unknown",
"Other")</f>
        <v>Medium Stay</v>
      </c>
    </row>
    <row r="75" spans="1:11" x14ac:dyDescent="0.3">
      <c r="A75" t="s">
        <v>455</v>
      </c>
      <c r="B75" t="s">
        <v>456</v>
      </c>
      <c r="C75" t="s">
        <v>75</v>
      </c>
      <c r="D75" t="s">
        <v>457</v>
      </c>
      <c r="E75" t="s">
        <v>458</v>
      </c>
      <c r="F75" t="s">
        <v>459</v>
      </c>
      <c r="G75" t="s">
        <v>454</v>
      </c>
      <c r="H75" t="s">
        <v>460</v>
      </c>
      <c r="I75">
        <f t="shared" si="1"/>
        <v>2</v>
      </c>
      <c r="J75" t="s">
        <v>27</v>
      </c>
      <c r="K75" t="str" cm="1">
        <f t="array" ref="K75">_xlfn.SWITCH(TRIM(UPPER(J75)),
"BUSINESS", "Short Stay",
"CONFERENCE", "Medium Stay",
"VACATION", "Iong Stay",
"HOLIDAY", "Long Stay",
"V", "Leisure",
"UNKNOWN", "Unknown",
"Other")</f>
        <v>Medium Stay</v>
      </c>
    </row>
    <row r="76" spans="1:11" x14ac:dyDescent="0.3">
      <c r="A76" t="s">
        <v>461</v>
      </c>
      <c r="B76" t="s">
        <v>96</v>
      </c>
      <c r="C76" t="s">
        <v>54</v>
      </c>
      <c r="D76" t="s">
        <v>462</v>
      </c>
      <c r="E76" t="s">
        <v>458</v>
      </c>
      <c r="F76" t="s">
        <v>463</v>
      </c>
      <c r="G76" t="s">
        <v>100</v>
      </c>
      <c r="H76" t="s">
        <v>101</v>
      </c>
      <c r="I76">
        <f t="shared" si="1"/>
        <v>4</v>
      </c>
      <c r="J76" t="s">
        <v>44</v>
      </c>
      <c r="K76" t="str" cm="1">
        <f t="array" ref="K76">_xlfn.SWITCH(TRIM(UPPER(J76)),
"BUSINESS", "Short Stay",
"CONFERENCE", "Medium Stay",
"VACATION", "Iong Stay",
"HOLIDAY", "Long Stay",
"V", "Leisure",
"UNKNOWN", "Unknown",
"Other")</f>
        <v>Other</v>
      </c>
    </row>
    <row r="77" spans="1:11" x14ac:dyDescent="0.3">
      <c r="A77" t="s">
        <v>464</v>
      </c>
      <c r="B77" t="s">
        <v>465</v>
      </c>
      <c r="C77" t="s">
        <v>75</v>
      </c>
      <c r="D77" t="s">
        <v>466</v>
      </c>
      <c r="E77" t="s">
        <v>23</v>
      </c>
      <c r="F77" t="s">
        <v>467</v>
      </c>
      <c r="G77" t="s">
        <v>468</v>
      </c>
      <c r="H77" t="s">
        <v>127</v>
      </c>
      <c r="I77">
        <f t="shared" si="1"/>
        <v>3</v>
      </c>
      <c r="J77" t="s">
        <v>27</v>
      </c>
      <c r="K77" t="str" cm="1">
        <f t="array" ref="K77">_xlfn.SWITCH(TRIM(UPPER(J77)),
"BUSINESS", "Short Stay",
"CONFERENCE", "Medium Stay",
"VACATION", "Iong Stay",
"HOLIDAY", "Long Stay",
"V", "Leisure",
"UNKNOWN", "Unknown",
"Other")</f>
        <v>Medium Stay</v>
      </c>
    </row>
    <row r="78" spans="1:11" x14ac:dyDescent="0.3">
      <c r="A78" t="s">
        <v>469</v>
      </c>
      <c r="B78" t="s">
        <v>470</v>
      </c>
      <c r="C78" t="s">
        <v>30</v>
      </c>
      <c r="D78" t="s">
        <v>471</v>
      </c>
      <c r="E78" t="s">
        <v>149</v>
      </c>
      <c r="F78" t="s">
        <v>472</v>
      </c>
      <c r="G78" t="s">
        <v>473</v>
      </c>
      <c r="H78" t="s">
        <v>158</v>
      </c>
      <c r="I78">
        <f t="shared" si="1"/>
        <v>5</v>
      </c>
      <c r="J78" t="s">
        <v>121</v>
      </c>
      <c r="K78" t="str" cm="1">
        <f t="array" ref="K78">_xlfn.SWITCH(TRIM(UPPER(J78)),
"BUSINESS", "Short Stay",
"CONFERENCE", "Medium Stay",
"VACATION", "Iong Stay",
"HOLIDAY", "Long Stay",
"V", "Leisure",
"UNKNOWN", "Unknown",
"Other")</f>
        <v>Iong Stay</v>
      </c>
    </row>
    <row r="79" spans="1:11" x14ac:dyDescent="0.3">
      <c r="A79" t="s">
        <v>474</v>
      </c>
      <c r="B79" t="s">
        <v>20</v>
      </c>
      <c r="C79" t="s">
        <v>12</v>
      </c>
      <c r="D79" t="s">
        <v>475</v>
      </c>
      <c r="E79" t="s">
        <v>476</v>
      </c>
      <c r="F79" t="s">
        <v>477</v>
      </c>
      <c r="G79" t="s">
        <v>25</v>
      </c>
      <c r="H79" t="s">
        <v>112</v>
      </c>
      <c r="I79">
        <f t="shared" si="1"/>
        <v>4</v>
      </c>
      <c r="J79" t="s">
        <v>18</v>
      </c>
      <c r="K79" t="str" cm="1">
        <f t="array" ref="K79">_xlfn.SWITCH(TRIM(UPPER(J79)),
"BUSINESS", "Short Stay",
"CONFERENCE", "Medium Stay",
"VACATION", "Iong Stay",
"HOLIDAY", "Long Stay",
"V", "Leisure",
"UNKNOWN", "Unknown",
"Other")</f>
        <v>Short Stay</v>
      </c>
    </row>
    <row r="80" spans="1:11" x14ac:dyDescent="0.3">
      <c r="A80" t="s">
        <v>478</v>
      </c>
      <c r="B80" t="s">
        <v>341</v>
      </c>
      <c r="C80" t="s">
        <v>75</v>
      </c>
      <c r="D80" t="s">
        <v>62</v>
      </c>
      <c r="E80" t="s">
        <v>23</v>
      </c>
      <c r="F80" t="s">
        <v>479</v>
      </c>
      <c r="G80" t="s">
        <v>344</v>
      </c>
      <c r="H80" t="s">
        <v>480</v>
      </c>
      <c r="I80">
        <f t="shared" si="1"/>
        <v>5</v>
      </c>
      <c r="J80" t="s">
        <v>27</v>
      </c>
      <c r="K80" t="str" cm="1">
        <f t="array" ref="K80">_xlfn.SWITCH(TRIM(UPPER(J80)),
"BUSINESS", "Short Stay",
"CONFERENCE", "Medium Stay",
"VACATION", "Iong Stay",
"HOLIDAY", "Long Stay",
"V", "Leisure",
"UNKNOWN", "Unknown",
"Other")</f>
        <v>Medium Stay</v>
      </c>
    </row>
    <row r="81" spans="1:11" x14ac:dyDescent="0.3">
      <c r="A81" t="s">
        <v>481</v>
      </c>
      <c r="B81" t="s">
        <v>482</v>
      </c>
      <c r="C81" t="s">
        <v>21</v>
      </c>
      <c r="D81" t="s">
        <v>483</v>
      </c>
      <c r="E81" t="s">
        <v>430</v>
      </c>
      <c r="F81" t="s">
        <v>484</v>
      </c>
      <c r="G81" t="s">
        <v>277</v>
      </c>
      <c r="H81" t="s">
        <v>485</v>
      </c>
      <c r="I81">
        <f t="shared" si="1"/>
        <v>5</v>
      </c>
      <c r="J81" t="s">
        <v>121</v>
      </c>
      <c r="K81" t="str" cm="1">
        <f t="array" ref="K81">_xlfn.SWITCH(TRIM(UPPER(J81)),
"BUSINESS", "Short Stay",
"CONFERENCE", "Medium Stay",
"VACATION", "Iong Stay",
"HOLIDAY", "Long Stay",
"V", "Leisure",
"UNKNOWN", "Unknown",
"Other")</f>
        <v>Iong Stay</v>
      </c>
    </row>
    <row r="82" spans="1:11" x14ac:dyDescent="0.3">
      <c r="A82" t="s">
        <v>486</v>
      </c>
      <c r="B82" t="s">
        <v>487</v>
      </c>
      <c r="C82" t="s">
        <v>75</v>
      </c>
      <c r="D82" t="s">
        <v>488</v>
      </c>
      <c r="E82" t="s">
        <v>176</v>
      </c>
      <c r="F82" t="s">
        <v>489</v>
      </c>
      <c r="G82" t="s">
        <v>490</v>
      </c>
      <c r="H82" t="s">
        <v>197</v>
      </c>
      <c r="I82">
        <f t="shared" si="1"/>
        <v>1</v>
      </c>
      <c r="J82" t="s">
        <v>44</v>
      </c>
      <c r="K82" t="str" cm="1">
        <f t="array" ref="K82">_xlfn.SWITCH(TRIM(UPPER(J82)),
"BUSINESS", "Short Stay",
"CONFERENCE", "Medium Stay",
"VACATION", "Iong Stay",
"HOLIDAY", "Long Stay",
"V", "Leisure",
"UNKNOWN", "Unknown",
"Other")</f>
        <v>Other</v>
      </c>
    </row>
    <row r="83" spans="1:11" x14ac:dyDescent="0.3">
      <c r="A83" t="s">
        <v>491</v>
      </c>
      <c r="B83" t="s">
        <v>492</v>
      </c>
      <c r="C83" t="s">
        <v>83</v>
      </c>
      <c r="D83" t="s">
        <v>493</v>
      </c>
      <c r="E83" t="s">
        <v>176</v>
      </c>
      <c r="F83" t="s">
        <v>494</v>
      </c>
      <c r="G83" t="s">
        <v>495</v>
      </c>
      <c r="H83" t="s">
        <v>496</v>
      </c>
      <c r="I83">
        <f t="shared" si="1"/>
        <v>1</v>
      </c>
      <c r="J83" t="s">
        <v>18</v>
      </c>
      <c r="K83" t="str" cm="1">
        <f t="array" ref="K83">_xlfn.SWITCH(TRIM(UPPER(J83)),
"BUSINESS", "Short Stay",
"CONFERENCE", "Medium Stay",
"VACATION", "Iong Stay",
"HOLIDAY", "Long Stay",
"V", "Leisure",
"UNKNOWN", "Unknown",
"Other")</f>
        <v>Short Stay</v>
      </c>
    </row>
    <row r="84" spans="1:11" x14ac:dyDescent="0.3">
      <c r="A84" t="s">
        <v>497</v>
      </c>
      <c r="B84" t="s">
        <v>498</v>
      </c>
      <c r="C84" t="s">
        <v>174</v>
      </c>
      <c r="D84" t="s">
        <v>499</v>
      </c>
      <c r="E84" t="s">
        <v>63</v>
      </c>
      <c r="F84" t="s">
        <v>500</v>
      </c>
      <c r="G84" t="s">
        <v>501</v>
      </c>
      <c r="H84" t="s">
        <v>502</v>
      </c>
      <c r="I84">
        <f t="shared" si="1"/>
        <v>5</v>
      </c>
      <c r="J84" t="s">
        <v>44</v>
      </c>
      <c r="K84" t="str" cm="1">
        <f t="array" ref="K84">_xlfn.SWITCH(TRIM(UPPER(J84)),
"BUSINESS", "Short Stay",
"CONFERENCE", "Medium Stay",
"VACATION", "Iong Stay",
"HOLIDAY", "Long Stay",
"V", "Leisure",
"UNKNOWN", "Unknown",
"Other")</f>
        <v>Other</v>
      </c>
    </row>
    <row r="85" spans="1:11" x14ac:dyDescent="0.3">
      <c r="A85" t="s">
        <v>503</v>
      </c>
      <c r="B85" t="s">
        <v>504</v>
      </c>
      <c r="C85" t="s">
        <v>75</v>
      </c>
      <c r="D85" t="s">
        <v>505</v>
      </c>
      <c r="E85" t="s">
        <v>458</v>
      </c>
      <c r="F85" t="s">
        <v>506</v>
      </c>
      <c r="G85" t="s">
        <v>289</v>
      </c>
      <c r="H85" t="s">
        <v>93</v>
      </c>
      <c r="I85">
        <f t="shared" si="1"/>
        <v>1</v>
      </c>
      <c r="J85" t="s">
        <v>18</v>
      </c>
      <c r="K85" t="str" cm="1">
        <f t="array" ref="K85">_xlfn.SWITCH(TRIM(UPPER(J85)),
"BUSINESS", "Short Stay",
"CONFERENCE", "Medium Stay",
"VACATION", "Iong Stay",
"HOLIDAY", "Long Stay",
"V", "Leisure",
"UNKNOWN", "Unknown",
"Other")</f>
        <v>Short Stay</v>
      </c>
    </row>
    <row r="86" spans="1:11" x14ac:dyDescent="0.3">
      <c r="A86" t="s">
        <v>507</v>
      </c>
      <c r="B86" t="s">
        <v>508</v>
      </c>
      <c r="C86" t="s">
        <v>61</v>
      </c>
      <c r="D86" t="s">
        <v>509</v>
      </c>
      <c r="E86" t="s">
        <v>77</v>
      </c>
      <c r="F86" t="s">
        <v>510</v>
      </c>
      <c r="G86" t="s">
        <v>511</v>
      </c>
      <c r="H86" t="s">
        <v>512</v>
      </c>
      <c r="I86">
        <f t="shared" si="1"/>
        <v>4</v>
      </c>
      <c r="J86" t="s">
        <v>27</v>
      </c>
      <c r="K86" t="str" cm="1">
        <f t="array" ref="K86">_xlfn.SWITCH(TRIM(UPPER(J86)),
"BUSINESS", "Short Stay",
"CONFERENCE", "Medium Stay",
"VACATION", "Iong Stay",
"HOLIDAY", "Long Stay",
"V", "Leisure",
"UNKNOWN", "Unknown",
"Other")</f>
        <v>Medium Stay</v>
      </c>
    </row>
    <row r="87" spans="1:11" x14ac:dyDescent="0.3">
      <c r="A87" t="s">
        <v>513</v>
      </c>
      <c r="B87" t="s">
        <v>514</v>
      </c>
      <c r="C87" t="s">
        <v>12</v>
      </c>
      <c r="D87" t="s">
        <v>515</v>
      </c>
      <c r="E87" t="s">
        <v>430</v>
      </c>
      <c r="F87" t="s">
        <v>516</v>
      </c>
      <c r="G87" t="s">
        <v>517</v>
      </c>
      <c r="H87" t="s">
        <v>518</v>
      </c>
      <c r="I87">
        <f t="shared" si="1"/>
        <v>1</v>
      </c>
      <c r="J87" t="s">
        <v>44</v>
      </c>
      <c r="K87" t="str" cm="1">
        <f t="array" ref="K87">_xlfn.SWITCH(TRIM(UPPER(J87)),
"BUSINESS", "Short Stay",
"CONFERENCE", "Medium Stay",
"VACATION", "Iong Stay",
"HOLIDAY", "Long Stay",
"V", "Leisure",
"UNKNOWN", "Unknown",
"Other")</f>
        <v>Other</v>
      </c>
    </row>
    <row r="88" spans="1:11" x14ac:dyDescent="0.3">
      <c r="A88" t="s">
        <v>519</v>
      </c>
      <c r="B88" t="s">
        <v>520</v>
      </c>
      <c r="C88" t="s">
        <v>75</v>
      </c>
      <c r="D88" t="s">
        <v>521</v>
      </c>
      <c r="E88" t="s">
        <v>149</v>
      </c>
      <c r="F88" t="s">
        <v>522</v>
      </c>
      <c r="G88" t="s">
        <v>523</v>
      </c>
      <c r="H88" t="s">
        <v>524</v>
      </c>
      <c r="I88">
        <f t="shared" si="1"/>
        <v>1</v>
      </c>
      <c r="J88" t="s">
        <v>18</v>
      </c>
      <c r="K88" t="str" cm="1">
        <f t="array" ref="K88">_xlfn.SWITCH(TRIM(UPPER(J88)),
"BUSINESS", "Short Stay",
"CONFERENCE", "Medium Stay",
"VACATION", "Iong Stay",
"HOLIDAY", "Long Stay",
"V", "Leisure",
"UNKNOWN", "Unknown",
"Other")</f>
        <v>Short Stay</v>
      </c>
    </row>
    <row r="89" spans="1:11" x14ac:dyDescent="0.3">
      <c r="A89" t="s">
        <v>525</v>
      </c>
      <c r="B89" t="s">
        <v>526</v>
      </c>
      <c r="C89" t="s">
        <v>21</v>
      </c>
      <c r="D89" t="s">
        <v>527</v>
      </c>
      <c r="E89" t="s">
        <v>314</v>
      </c>
      <c r="F89" t="s">
        <v>528</v>
      </c>
      <c r="G89" t="s">
        <v>345</v>
      </c>
      <c r="H89" t="s">
        <v>138</v>
      </c>
      <c r="I89">
        <f t="shared" si="1"/>
        <v>5</v>
      </c>
      <c r="J89" t="s">
        <v>27</v>
      </c>
      <c r="K89" t="str" cm="1">
        <f t="array" ref="K89">_xlfn.SWITCH(TRIM(UPPER(J89)),
"BUSINESS", "Short Stay",
"CONFERENCE", "Medium Stay",
"VACATION", "Iong Stay",
"HOLIDAY", "Long Stay",
"V", "Leisure",
"UNKNOWN", "Unknown",
"Other")</f>
        <v>Medium Stay</v>
      </c>
    </row>
    <row r="90" spans="1:11" x14ac:dyDescent="0.3">
      <c r="A90" t="s">
        <v>529</v>
      </c>
      <c r="B90" t="s">
        <v>530</v>
      </c>
      <c r="C90" t="s">
        <v>97</v>
      </c>
      <c r="D90" t="s">
        <v>531</v>
      </c>
      <c r="E90" t="s">
        <v>85</v>
      </c>
      <c r="F90" t="s">
        <v>532</v>
      </c>
      <c r="G90" t="s">
        <v>512</v>
      </c>
      <c r="H90" t="s">
        <v>533</v>
      </c>
      <c r="I90">
        <f t="shared" si="1"/>
        <v>1</v>
      </c>
      <c r="J90" t="s">
        <v>121</v>
      </c>
      <c r="K90" t="str" cm="1">
        <f t="array" ref="K90">_xlfn.SWITCH(TRIM(UPPER(J90)),
"BUSINESS", "Short Stay",
"CONFERENCE", "Medium Stay",
"VACATION", "Iong Stay",
"HOLIDAY", "Long Stay",
"V", "Leisure",
"UNKNOWN", "Unknown",
"Other")</f>
        <v>Iong Stay</v>
      </c>
    </row>
    <row r="91" spans="1:11" x14ac:dyDescent="0.3">
      <c r="A91" t="s">
        <v>534</v>
      </c>
      <c r="B91" t="s">
        <v>535</v>
      </c>
      <c r="C91" t="s">
        <v>97</v>
      </c>
      <c r="D91" t="s">
        <v>536</v>
      </c>
      <c r="E91" t="s">
        <v>23</v>
      </c>
      <c r="F91" t="s">
        <v>537</v>
      </c>
      <c r="G91" t="s">
        <v>538</v>
      </c>
      <c r="H91" t="s">
        <v>539</v>
      </c>
      <c r="I91">
        <f t="shared" si="1"/>
        <v>5</v>
      </c>
      <c r="J91" t="s">
        <v>121</v>
      </c>
      <c r="K91" t="str" cm="1">
        <f t="array" ref="K91">_xlfn.SWITCH(TRIM(UPPER(J91)),
"BUSINESS", "Short Stay",
"CONFERENCE", "Medium Stay",
"VACATION", "Iong Stay",
"HOLIDAY", "Long Stay",
"V", "Leisure",
"UNKNOWN", "Unknown",
"Other")</f>
        <v>Iong Stay</v>
      </c>
    </row>
    <row r="92" spans="1:11" x14ac:dyDescent="0.3">
      <c r="A92" t="s">
        <v>540</v>
      </c>
      <c r="B92" t="s">
        <v>541</v>
      </c>
      <c r="C92" t="s">
        <v>75</v>
      </c>
      <c r="D92" t="s">
        <v>542</v>
      </c>
      <c r="E92" t="s">
        <v>201</v>
      </c>
      <c r="F92" t="s">
        <v>543</v>
      </c>
      <c r="G92" t="s">
        <v>17</v>
      </c>
      <c r="H92" t="s">
        <v>485</v>
      </c>
      <c r="I92">
        <f t="shared" si="1"/>
        <v>3</v>
      </c>
      <c r="J92" t="s">
        <v>44</v>
      </c>
      <c r="K92" t="str" cm="1">
        <f t="array" ref="K92">_xlfn.SWITCH(TRIM(UPPER(J92)),
"BUSINESS", "Short Stay",
"CONFERENCE", "Medium Stay",
"VACATION", "Iong Stay",
"HOLIDAY", "Long Stay",
"V", "Leisure",
"UNKNOWN", "Unknown",
"Other")</f>
        <v>Other</v>
      </c>
    </row>
    <row r="93" spans="1:11" x14ac:dyDescent="0.3">
      <c r="A93" t="s">
        <v>544</v>
      </c>
      <c r="B93" t="s">
        <v>412</v>
      </c>
      <c r="C93" t="s">
        <v>30</v>
      </c>
      <c r="D93" t="s">
        <v>545</v>
      </c>
      <c r="E93" t="s">
        <v>546</v>
      </c>
      <c r="F93" t="s">
        <v>547</v>
      </c>
      <c r="G93" t="s">
        <v>415</v>
      </c>
      <c r="H93" t="s">
        <v>548</v>
      </c>
      <c r="I93">
        <f t="shared" si="1"/>
        <v>5</v>
      </c>
      <c r="J93" t="s">
        <v>18</v>
      </c>
      <c r="K93" t="str" cm="1">
        <f t="array" ref="K93">_xlfn.SWITCH(TRIM(UPPER(J93)),
"BUSINESS", "Short Stay",
"CONFERENCE", "Medium Stay",
"VACATION", "Iong Stay",
"HOLIDAY", "Long Stay",
"V", "Leisure",
"UNKNOWN", "Unknown",
"Other")</f>
        <v>Short Stay</v>
      </c>
    </row>
    <row r="94" spans="1:11" x14ac:dyDescent="0.3">
      <c r="A94" t="s">
        <v>549</v>
      </c>
      <c r="B94" t="s">
        <v>550</v>
      </c>
      <c r="C94" t="s">
        <v>54</v>
      </c>
      <c r="D94" t="s">
        <v>551</v>
      </c>
      <c r="E94" t="s">
        <v>430</v>
      </c>
      <c r="F94" t="s">
        <v>552</v>
      </c>
      <c r="G94" t="s">
        <v>553</v>
      </c>
      <c r="H94" t="s">
        <v>554</v>
      </c>
      <c r="I94">
        <f t="shared" si="1"/>
        <v>1</v>
      </c>
      <c r="J94" t="s">
        <v>27</v>
      </c>
      <c r="K94" t="str" cm="1">
        <f t="array" ref="K94">_xlfn.SWITCH(TRIM(UPPER(J94)),
"BUSINESS", "Short Stay",
"CONFERENCE", "Medium Stay",
"VACATION", "Iong Stay",
"HOLIDAY", "Long Stay",
"V", "Leisure",
"UNKNOWN", "Unknown",
"Other")</f>
        <v>Medium Stay</v>
      </c>
    </row>
    <row r="95" spans="1:11" x14ac:dyDescent="0.3">
      <c r="A95" t="s">
        <v>555</v>
      </c>
      <c r="B95" t="s">
        <v>556</v>
      </c>
      <c r="C95" t="s">
        <v>174</v>
      </c>
      <c r="D95" t="s">
        <v>557</v>
      </c>
      <c r="E95" t="s">
        <v>546</v>
      </c>
      <c r="F95" t="s">
        <v>558</v>
      </c>
      <c r="G95" t="s">
        <v>559</v>
      </c>
      <c r="H95" t="s">
        <v>65</v>
      </c>
      <c r="I95">
        <f t="shared" si="1"/>
        <v>1</v>
      </c>
      <c r="J95" t="s">
        <v>27</v>
      </c>
      <c r="K95" t="str" cm="1">
        <f t="array" ref="K95">_xlfn.SWITCH(TRIM(UPPER(J95)),
"BUSINESS", "Short Stay",
"CONFERENCE", "Medium Stay",
"VACATION", "Iong Stay",
"HOLIDAY", "Long Stay",
"V", "Leisure",
"UNKNOWN", "Unknown",
"Other")</f>
        <v>Medium Stay</v>
      </c>
    </row>
    <row r="96" spans="1:11" x14ac:dyDescent="0.3">
      <c r="A96" t="s">
        <v>560</v>
      </c>
      <c r="B96" t="s">
        <v>561</v>
      </c>
      <c r="C96" t="s">
        <v>174</v>
      </c>
      <c r="D96" t="s">
        <v>381</v>
      </c>
      <c r="E96" t="s">
        <v>476</v>
      </c>
      <c r="F96" t="s">
        <v>562</v>
      </c>
      <c r="G96" t="s">
        <v>563</v>
      </c>
      <c r="H96" t="s">
        <v>80</v>
      </c>
      <c r="I96">
        <f t="shared" si="1"/>
        <v>1</v>
      </c>
      <c r="J96" t="s">
        <v>18</v>
      </c>
      <c r="K96" t="str" cm="1">
        <f t="array" ref="K96">_xlfn.SWITCH(TRIM(UPPER(J96)),
"BUSINESS", "Short Stay",
"CONFERENCE", "Medium Stay",
"VACATION", "Iong Stay",
"HOLIDAY", "Long Stay",
"V", "Leisure",
"UNKNOWN", "Unknown",
"Other")</f>
        <v>Short Stay</v>
      </c>
    </row>
    <row r="97" spans="1:11" x14ac:dyDescent="0.3">
      <c r="A97" t="s">
        <v>564</v>
      </c>
      <c r="B97" t="s">
        <v>565</v>
      </c>
      <c r="C97" t="s">
        <v>12</v>
      </c>
      <c r="D97" t="s">
        <v>566</v>
      </c>
      <c r="E97" t="s">
        <v>85</v>
      </c>
      <c r="F97" t="s">
        <v>567</v>
      </c>
      <c r="G97" t="s">
        <v>568</v>
      </c>
      <c r="H97" t="s">
        <v>553</v>
      </c>
      <c r="I97">
        <f t="shared" si="1"/>
        <v>3</v>
      </c>
      <c r="J97" t="s">
        <v>44</v>
      </c>
      <c r="K97" t="str" cm="1">
        <f t="array" ref="K97">_xlfn.SWITCH(TRIM(UPPER(J97)),
"BUSINESS", "Short Stay",
"CONFERENCE", "Medium Stay",
"VACATION", "Iong Stay",
"HOLIDAY", "Long Stay",
"V", "Leisure",
"UNKNOWN", "Unknown",
"Other")</f>
        <v>Other</v>
      </c>
    </row>
    <row r="98" spans="1:11" x14ac:dyDescent="0.3">
      <c r="A98" t="s">
        <v>569</v>
      </c>
      <c r="B98" t="s">
        <v>135</v>
      </c>
      <c r="C98" t="s">
        <v>61</v>
      </c>
      <c r="D98" t="s">
        <v>570</v>
      </c>
      <c r="E98" t="s">
        <v>176</v>
      </c>
      <c r="F98" t="s">
        <v>571</v>
      </c>
      <c r="G98" t="s">
        <v>138</v>
      </c>
      <c r="H98" t="s">
        <v>572</v>
      </c>
      <c r="I98">
        <f t="shared" si="1"/>
        <v>2</v>
      </c>
      <c r="J98" t="s">
        <v>27</v>
      </c>
      <c r="K98" t="str" cm="1">
        <f t="array" ref="K98">_xlfn.SWITCH(TRIM(UPPER(J98)),
"BUSINESS", "Short Stay",
"CONFERENCE", "Medium Stay",
"VACATION", "Iong Stay",
"HOLIDAY", "Long Stay",
"V", "Leisure",
"UNKNOWN", "Unknown",
"Other")</f>
        <v>Medium Stay</v>
      </c>
    </row>
    <row r="99" spans="1:11" x14ac:dyDescent="0.3">
      <c r="A99" t="s">
        <v>573</v>
      </c>
      <c r="B99" t="s">
        <v>574</v>
      </c>
      <c r="C99" t="s">
        <v>61</v>
      </c>
      <c r="D99" t="s">
        <v>575</v>
      </c>
      <c r="E99" t="s">
        <v>77</v>
      </c>
      <c r="F99" t="s">
        <v>576</v>
      </c>
      <c r="G99" t="s">
        <v>577</v>
      </c>
      <c r="H99" t="s">
        <v>578</v>
      </c>
      <c r="I99">
        <f t="shared" si="1"/>
        <v>3</v>
      </c>
      <c r="J99" t="s">
        <v>44</v>
      </c>
      <c r="K99" t="str" cm="1">
        <f t="array" ref="K99">_xlfn.SWITCH(TRIM(UPPER(J99)),
"BUSINESS", "Short Stay",
"CONFERENCE", "Medium Stay",
"VACATION", "Iong Stay",
"HOLIDAY", "Long Stay",
"V", "Leisure",
"UNKNOWN", "Unknown",
"Other")</f>
        <v>Other</v>
      </c>
    </row>
    <row r="100" spans="1:11" x14ac:dyDescent="0.3">
      <c r="A100" t="s">
        <v>579</v>
      </c>
      <c r="B100" t="s">
        <v>580</v>
      </c>
      <c r="C100" t="s">
        <v>12</v>
      </c>
      <c r="D100" t="s">
        <v>581</v>
      </c>
      <c r="E100" t="s">
        <v>23</v>
      </c>
      <c r="F100" t="s">
        <v>582</v>
      </c>
      <c r="G100" t="s">
        <v>583</v>
      </c>
      <c r="H100" t="s">
        <v>138</v>
      </c>
      <c r="I100">
        <f t="shared" si="1"/>
        <v>1</v>
      </c>
      <c r="J100" t="s">
        <v>18</v>
      </c>
      <c r="K100" t="str" cm="1">
        <f t="array" ref="K100">_xlfn.SWITCH(TRIM(UPPER(J100)),
"BUSINESS", "Short Stay",
"CONFERENCE", "Medium Stay",
"VACATION", "Iong Stay",
"HOLIDAY", "Long Stay",
"V", "Leisure",
"UNKNOWN", "Unknown",
"Other")</f>
        <v>Short Stay</v>
      </c>
    </row>
    <row r="101" spans="1:11" x14ac:dyDescent="0.3">
      <c r="A101" t="s">
        <v>584</v>
      </c>
      <c r="B101" t="s">
        <v>585</v>
      </c>
      <c r="C101" t="s">
        <v>83</v>
      </c>
      <c r="D101" t="s">
        <v>586</v>
      </c>
      <c r="E101" t="s">
        <v>176</v>
      </c>
      <c r="F101" t="s">
        <v>587</v>
      </c>
      <c r="G101" t="s">
        <v>588</v>
      </c>
      <c r="H101" t="s">
        <v>164</v>
      </c>
      <c r="I101">
        <f t="shared" si="1"/>
        <v>3</v>
      </c>
      <c r="J101" t="s">
        <v>121</v>
      </c>
      <c r="K101" t="str" cm="1">
        <f t="array" ref="K101">_xlfn.SWITCH(TRIM(UPPER(J101)),
"BUSINESS", "Short Stay",
"CONFERENCE", "Medium Stay",
"VACATION", "Iong Stay",
"HOLIDAY", "Long Stay",
"V", "Leisure",
"UNKNOWN", "Unknown",
"Other")</f>
        <v>Iong Stay</v>
      </c>
    </row>
    <row r="102" spans="1:11" x14ac:dyDescent="0.3">
      <c r="A102" t="s">
        <v>589</v>
      </c>
      <c r="B102" t="s">
        <v>590</v>
      </c>
      <c r="C102" t="s">
        <v>83</v>
      </c>
      <c r="D102" t="s">
        <v>591</v>
      </c>
      <c r="E102" t="s">
        <v>77</v>
      </c>
      <c r="F102" t="s">
        <v>592</v>
      </c>
      <c r="G102" t="s">
        <v>593</v>
      </c>
      <c r="H102" t="s">
        <v>594</v>
      </c>
      <c r="I102">
        <f t="shared" si="1"/>
        <v>1</v>
      </c>
      <c r="J102" t="s">
        <v>121</v>
      </c>
      <c r="K102" t="str" cm="1">
        <f t="array" ref="K102">_xlfn.SWITCH(TRIM(UPPER(J102)),
"BUSINESS", "Short Stay",
"CONFERENCE", "Medium Stay",
"VACATION", "Iong Stay",
"HOLIDAY", "Long Stay",
"V", "Leisure",
"UNKNOWN", "Unknown",
"Other")</f>
        <v>Iong Stay</v>
      </c>
    </row>
    <row r="103" spans="1:11" x14ac:dyDescent="0.3">
      <c r="A103" t="s">
        <v>595</v>
      </c>
      <c r="B103" t="s">
        <v>596</v>
      </c>
      <c r="C103" t="s">
        <v>30</v>
      </c>
      <c r="D103" t="s">
        <v>597</v>
      </c>
      <c r="E103" t="s">
        <v>63</v>
      </c>
      <c r="F103" t="s">
        <v>598</v>
      </c>
      <c r="G103" t="s">
        <v>599</v>
      </c>
      <c r="H103" t="s">
        <v>600</v>
      </c>
      <c r="I103">
        <f t="shared" si="1"/>
        <v>1</v>
      </c>
      <c r="J103" t="s">
        <v>44</v>
      </c>
      <c r="K103" t="str" cm="1">
        <f t="array" ref="K103">_xlfn.SWITCH(TRIM(UPPER(J103)),
"BUSINESS", "Short Stay",
"CONFERENCE", "Medium Stay",
"VACATION", "Iong Stay",
"HOLIDAY", "Long Stay",
"V", "Leisure",
"UNKNOWN", "Unknown",
"Other")</f>
        <v>Other</v>
      </c>
    </row>
    <row r="104" spans="1:11" x14ac:dyDescent="0.3">
      <c r="A104" t="s">
        <v>601</v>
      </c>
      <c r="B104" t="s">
        <v>395</v>
      </c>
      <c r="C104" t="s">
        <v>97</v>
      </c>
      <c r="D104" t="s">
        <v>602</v>
      </c>
      <c r="E104" t="s">
        <v>40</v>
      </c>
      <c r="F104" t="s">
        <v>603</v>
      </c>
      <c r="G104" t="s">
        <v>398</v>
      </c>
      <c r="H104" t="s">
        <v>604</v>
      </c>
      <c r="I104">
        <f t="shared" si="1"/>
        <v>5</v>
      </c>
      <c r="J104" t="s">
        <v>18</v>
      </c>
      <c r="K104" t="str" cm="1">
        <f t="array" ref="K104">_xlfn.SWITCH(TRIM(UPPER(J104)),
"BUSINESS", "Short Stay",
"CONFERENCE", "Medium Stay",
"VACATION", "Iong Stay",
"HOLIDAY", "Long Stay",
"V", "Leisure",
"UNKNOWN", "Unknown",
"Other")</f>
        <v>Short Stay</v>
      </c>
    </row>
    <row r="105" spans="1:11" x14ac:dyDescent="0.3">
      <c r="A105" t="s">
        <v>605</v>
      </c>
      <c r="B105" t="s">
        <v>606</v>
      </c>
      <c r="C105" t="s">
        <v>12</v>
      </c>
      <c r="D105" t="s">
        <v>607</v>
      </c>
      <c r="E105" t="s">
        <v>40</v>
      </c>
      <c r="F105" t="s">
        <v>608</v>
      </c>
      <c r="G105" t="s">
        <v>604</v>
      </c>
      <c r="H105" t="s">
        <v>244</v>
      </c>
      <c r="I105">
        <f t="shared" si="1"/>
        <v>5</v>
      </c>
      <c r="J105" t="s">
        <v>27</v>
      </c>
      <c r="K105" t="str" cm="1">
        <f t="array" ref="K105">_xlfn.SWITCH(TRIM(UPPER(J105)),
"BUSINESS", "Short Stay",
"CONFERENCE", "Medium Stay",
"VACATION", "Iong Stay",
"HOLIDAY", "Long Stay",
"V", "Leisure",
"UNKNOWN", "Unknown",
"Other")</f>
        <v>Medium Stay</v>
      </c>
    </row>
    <row r="106" spans="1:11" x14ac:dyDescent="0.3">
      <c r="A106" t="s">
        <v>609</v>
      </c>
      <c r="B106" t="s">
        <v>161</v>
      </c>
      <c r="C106" t="s">
        <v>30</v>
      </c>
      <c r="D106" t="s">
        <v>610</v>
      </c>
      <c r="E106" t="s">
        <v>476</v>
      </c>
      <c r="F106" t="s">
        <v>611</v>
      </c>
      <c r="G106" t="s">
        <v>164</v>
      </c>
      <c r="H106" t="s">
        <v>165</v>
      </c>
      <c r="I106">
        <f t="shared" si="1"/>
        <v>4</v>
      </c>
      <c r="J106" t="s">
        <v>121</v>
      </c>
      <c r="K106" t="str" cm="1">
        <f t="array" ref="K106">_xlfn.SWITCH(TRIM(UPPER(J106)),
"BUSINESS", "Short Stay",
"CONFERENCE", "Medium Stay",
"VACATION", "Iong Stay",
"HOLIDAY", "Long Stay",
"V", "Leisure",
"UNKNOWN", "Unknown",
"Other")</f>
        <v>Iong Stay</v>
      </c>
    </row>
    <row r="107" spans="1:11" x14ac:dyDescent="0.3">
      <c r="A107" t="s">
        <v>612</v>
      </c>
      <c r="B107" t="s">
        <v>535</v>
      </c>
      <c r="C107" t="s">
        <v>21</v>
      </c>
      <c r="D107" t="s">
        <v>613</v>
      </c>
      <c r="E107" t="s">
        <v>117</v>
      </c>
      <c r="F107" t="s">
        <v>614</v>
      </c>
      <c r="G107" t="s">
        <v>538</v>
      </c>
      <c r="H107" t="s">
        <v>615</v>
      </c>
      <c r="I107">
        <f t="shared" si="1"/>
        <v>4</v>
      </c>
      <c r="J107" t="s">
        <v>27</v>
      </c>
      <c r="K107" t="str" cm="1">
        <f t="array" ref="K107">_xlfn.SWITCH(TRIM(UPPER(J107)),
"BUSINESS", "Short Stay",
"CONFERENCE", "Medium Stay",
"VACATION", "Iong Stay",
"HOLIDAY", "Long Stay",
"V", "Leisure",
"UNKNOWN", "Unknown",
"Other")</f>
        <v>Medium Stay</v>
      </c>
    </row>
    <row r="108" spans="1:11" x14ac:dyDescent="0.3">
      <c r="A108" t="s">
        <v>616</v>
      </c>
      <c r="B108" t="s">
        <v>617</v>
      </c>
      <c r="C108" t="s">
        <v>75</v>
      </c>
      <c r="D108" t="s">
        <v>618</v>
      </c>
      <c r="E108" t="s">
        <v>201</v>
      </c>
      <c r="F108" t="s">
        <v>619</v>
      </c>
      <c r="G108" t="s">
        <v>620</v>
      </c>
      <c r="H108" t="s">
        <v>621</v>
      </c>
      <c r="I108">
        <f t="shared" si="1"/>
        <v>1</v>
      </c>
      <c r="J108" t="s">
        <v>27</v>
      </c>
      <c r="K108" t="str" cm="1">
        <f t="array" ref="K108">_xlfn.SWITCH(TRIM(UPPER(J108)),
"BUSINESS", "Short Stay",
"CONFERENCE", "Medium Stay",
"VACATION", "Iong Stay",
"HOLIDAY", "Long Stay",
"V", "Leisure",
"UNKNOWN", "Unknown",
"Other")</f>
        <v>Medium Stay</v>
      </c>
    </row>
    <row r="109" spans="1:11" x14ac:dyDescent="0.3">
      <c r="A109" t="s">
        <v>622</v>
      </c>
      <c r="B109" t="s">
        <v>623</v>
      </c>
      <c r="C109" t="s">
        <v>61</v>
      </c>
      <c r="D109" t="s">
        <v>320</v>
      </c>
      <c r="E109" t="s">
        <v>458</v>
      </c>
      <c r="F109" t="s">
        <v>624</v>
      </c>
      <c r="G109" t="s">
        <v>625</v>
      </c>
      <c r="H109" t="s">
        <v>626</v>
      </c>
      <c r="I109">
        <f t="shared" si="1"/>
        <v>1</v>
      </c>
      <c r="J109" t="s">
        <v>44</v>
      </c>
      <c r="K109" t="str" cm="1">
        <f t="array" ref="K109">_xlfn.SWITCH(TRIM(UPPER(J109)),
"BUSINESS", "Short Stay",
"CONFERENCE", "Medium Stay",
"VACATION", "Iong Stay",
"HOLIDAY", "Long Stay",
"V", "Leisure",
"UNKNOWN", "Unknown",
"Other")</f>
        <v>Other</v>
      </c>
    </row>
    <row r="110" spans="1:11" x14ac:dyDescent="0.3">
      <c r="A110" t="s">
        <v>627</v>
      </c>
      <c r="B110" t="s">
        <v>428</v>
      </c>
      <c r="C110" t="s">
        <v>12</v>
      </c>
      <c r="D110" t="s">
        <v>628</v>
      </c>
      <c r="E110" t="s">
        <v>201</v>
      </c>
      <c r="F110" t="s">
        <v>629</v>
      </c>
      <c r="G110" t="s">
        <v>432</v>
      </c>
      <c r="H110" t="s">
        <v>51</v>
      </c>
      <c r="I110">
        <f t="shared" si="1"/>
        <v>2</v>
      </c>
      <c r="J110" t="s">
        <v>18</v>
      </c>
      <c r="K110" t="str" cm="1">
        <f t="array" ref="K110">_xlfn.SWITCH(TRIM(UPPER(J110)),
"BUSINESS", "Short Stay",
"CONFERENCE", "Medium Stay",
"VACATION", "Iong Stay",
"HOLIDAY", "Long Stay",
"V", "Leisure",
"UNKNOWN", "Unknown",
"Other")</f>
        <v>Short Stay</v>
      </c>
    </row>
    <row r="111" spans="1:11" x14ac:dyDescent="0.3">
      <c r="A111" t="s">
        <v>630</v>
      </c>
      <c r="B111" t="s">
        <v>631</v>
      </c>
      <c r="C111" t="s">
        <v>12</v>
      </c>
      <c r="D111" t="s">
        <v>632</v>
      </c>
      <c r="E111" t="s">
        <v>546</v>
      </c>
      <c r="F111" t="s">
        <v>633</v>
      </c>
      <c r="G111" t="s">
        <v>634</v>
      </c>
      <c r="H111" t="s">
        <v>635</v>
      </c>
      <c r="I111">
        <f t="shared" si="1"/>
        <v>4</v>
      </c>
      <c r="J111" t="s">
        <v>44</v>
      </c>
      <c r="K111" t="str" cm="1">
        <f t="array" ref="K111">_xlfn.SWITCH(TRIM(UPPER(J111)),
"BUSINESS", "Short Stay",
"CONFERENCE", "Medium Stay",
"VACATION", "Iong Stay",
"HOLIDAY", "Long Stay",
"V", "Leisure",
"UNKNOWN", "Unknown",
"Other")</f>
        <v>Other</v>
      </c>
    </row>
    <row r="112" spans="1:11" x14ac:dyDescent="0.3">
      <c r="A112" t="s">
        <v>636</v>
      </c>
      <c r="B112" t="s">
        <v>212</v>
      </c>
      <c r="C112" t="s">
        <v>75</v>
      </c>
      <c r="D112" t="s">
        <v>637</v>
      </c>
      <c r="E112" t="s">
        <v>314</v>
      </c>
      <c r="F112" t="s">
        <v>638</v>
      </c>
      <c r="G112" t="s">
        <v>165</v>
      </c>
      <c r="H112" t="s">
        <v>409</v>
      </c>
      <c r="I112">
        <f t="shared" si="1"/>
        <v>2</v>
      </c>
      <c r="J112" t="s">
        <v>121</v>
      </c>
      <c r="K112" t="str" cm="1">
        <f t="array" ref="K112">_xlfn.SWITCH(TRIM(UPPER(J112)),
"BUSINESS", "Short Stay",
"CONFERENCE", "Medium Stay",
"VACATION", "Iong Stay",
"HOLIDAY", "Long Stay",
"V", "Leisure",
"UNKNOWN", "Unknown",
"Other")</f>
        <v>Iong Stay</v>
      </c>
    </row>
    <row r="113" spans="1:11" x14ac:dyDescent="0.3">
      <c r="A113" t="s">
        <v>639</v>
      </c>
      <c r="B113" t="s">
        <v>96</v>
      </c>
      <c r="C113" t="s">
        <v>54</v>
      </c>
      <c r="D113" t="s">
        <v>640</v>
      </c>
      <c r="E113" t="s">
        <v>546</v>
      </c>
      <c r="F113" t="s">
        <v>641</v>
      </c>
      <c r="G113" t="s">
        <v>100</v>
      </c>
      <c r="H113" t="s">
        <v>448</v>
      </c>
      <c r="I113">
        <f t="shared" si="1"/>
        <v>1</v>
      </c>
      <c r="J113" t="s">
        <v>44</v>
      </c>
      <c r="K113" t="str" cm="1">
        <f t="array" ref="K113">_xlfn.SWITCH(TRIM(UPPER(J113)),
"BUSINESS", "Short Stay",
"CONFERENCE", "Medium Stay",
"VACATION", "Iong Stay",
"HOLIDAY", "Long Stay",
"V", "Leisure",
"UNKNOWN", "Unknown",
"Other")</f>
        <v>Other</v>
      </c>
    </row>
    <row r="114" spans="1:11" x14ac:dyDescent="0.3">
      <c r="A114" t="s">
        <v>642</v>
      </c>
      <c r="B114" t="s">
        <v>643</v>
      </c>
      <c r="C114" t="s">
        <v>12</v>
      </c>
      <c r="D114" t="s">
        <v>236</v>
      </c>
      <c r="E114" t="s">
        <v>149</v>
      </c>
      <c r="F114" t="s">
        <v>644</v>
      </c>
      <c r="G114" t="s">
        <v>645</v>
      </c>
      <c r="H114" t="s">
        <v>646</v>
      </c>
      <c r="I114">
        <f t="shared" si="1"/>
        <v>3</v>
      </c>
      <c r="J114" t="s">
        <v>27</v>
      </c>
      <c r="K114" t="str" cm="1">
        <f t="array" ref="K114">_xlfn.SWITCH(TRIM(UPPER(J114)),
"BUSINESS", "Short Stay",
"CONFERENCE", "Medium Stay",
"VACATION", "Iong Stay",
"HOLIDAY", "Long Stay",
"V", "Leisure",
"UNKNOWN", "Unknown",
"Other")</f>
        <v>Medium Stay</v>
      </c>
    </row>
    <row r="115" spans="1:11" x14ac:dyDescent="0.3">
      <c r="A115" t="s">
        <v>647</v>
      </c>
      <c r="B115" t="s">
        <v>648</v>
      </c>
      <c r="C115" t="s">
        <v>30</v>
      </c>
      <c r="D115" t="s">
        <v>649</v>
      </c>
      <c r="E115" t="s">
        <v>14</v>
      </c>
      <c r="F115" t="s">
        <v>650</v>
      </c>
      <c r="G115" t="s">
        <v>572</v>
      </c>
      <c r="H115" t="s">
        <v>139</v>
      </c>
      <c r="I115">
        <f t="shared" si="1"/>
        <v>2</v>
      </c>
      <c r="J115" t="s">
        <v>44</v>
      </c>
      <c r="K115" t="str" cm="1">
        <f t="array" ref="K115">_xlfn.SWITCH(TRIM(UPPER(J115)),
"BUSINESS", "Short Stay",
"CONFERENCE", "Medium Stay",
"VACATION", "Iong Stay",
"HOLIDAY", "Long Stay",
"V", "Leisure",
"UNKNOWN", "Unknown",
"Other")</f>
        <v>Other</v>
      </c>
    </row>
    <row r="116" spans="1:11" x14ac:dyDescent="0.3">
      <c r="A116" t="s">
        <v>651</v>
      </c>
      <c r="B116" t="s">
        <v>652</v>
      </c>
      <c r="C116" t="s">
        <v>54</v>
      </c>
      <c r="D116" t="s">
        <v>653</v>
      </c>
      <c r="E116" t="s">
        <v>176</v>
      </c>
      <c r="F116" t="s">
        <v>654</v>
      </c>
      <c r="G116" t="s">
        <v>127</v>
      </c>
      <c r="H116" t="s">
        <v>210</v>
      </c>
      <c r="I116">
        <f t="shared" si="1"/>
        <v>4</v>
      </c>
      <c r="J116" t="s">
        <v>27</v>
      </c>
      <c r="K116" t="str" cm="1">
        <f t="array" ref="K116">_xlfn.SWITCH(TRIM(UPPER(J116)),
"BUSINESS", "Short Stay",
"CONFERENCE", "Medium Stay",
"VACATION", "Iong Stay",
"HOLIDAY", "Long Stay",
"V", "Leisure",
"UNKNOWN", "Unknown",
"Other")</f>
        <v>Medium Stay</v>
      </c>
    </row>
    <row r="117" spans="1:11" x14ac:dyDescent="0.3">
      <c r="A117" t="s">
        <v>655</v>
      </c>
      <c r="B117" t="s">
        <v>561</v>
      </c>
      <c r="C117" t="s">
        <v>30</v>
      </c>
      <c r="D117" t="s">
        <v>656</v>
      </c>
      <c r="E117" t="s">
        <v>156</v>
      </c>
      <c r="F117" t="s">
        <v>657</v>
      </c>
      <c r="G117" t="s">
        <v>563</v>
      </c>
      <c r="H117" t="s">
        <v>658</v>
      </c>
      <c r="I117">
        <f t="shared" si="1"/>
        <v>5</v>
      </c>
      <c r="J117" t="s">
        <v>121</v>
      </c>
      <c r="K117" t="str" cm="1">
        <f t="array" ref="K117">_xlfn.SWITCH(TRIM(UPPER(J117)),
"BUSINESS", "Short Stay",
"CONFERENCE", "Medium Stay",
"VACATION", "Iong Stay",
"HOLIDAY", "Long Stay",
"V", "Leisure",
"UNKNOWN", "Unknown",
"Other")</f>
        <v>Iong Stay</v>
      </c>
    </row>
    <row r="118" spans="1:11" x14ac:dyDescent="0.3">
      <c r="A118" t="s">
        <v>659</v>
      </c>
      <c r="B118" t="s">
        <v>660</v>
      </c>
      <c r="C118" t="s">
        <v>97</v>
      </c>
      <c r="D118" t="s">
        <v>661</v>
      </c>
      <c r="E118" t="s">
        <v>546</v>
      </c>
      <c r="F118" t="s">
        <v>662</v>
      </c>
      <c r="G118" t="s">
        <v>663</v>
      </c>
      <c r="H118" t="s">
        <v>368</v>
      </c>
      <c r="I118">
        <f t="shared" si="1"/>
        <v>4</v>
      </c>
      <c r="J118" t="s">
        <v>27</v>
      </c>
      <c r="K118" t="str" cm="1">
        <f t="array" ref="K118">_xlfn.SWITCH(TRIM(UPPER(J118)),
"BUSINESS", "Short Stay",
"CONFERENCE", "Medium Stay",
"VACATION", "Iong Stay",
"HOLIDAY", "Long Stay",
"V", "Leisure",
"UNKNOWN", "Unknown",
"Other")</f>
        <v>Medium Stay</v>
      </c>
    </row>
    <row r="119" spans="1:11" x14ac:dyDescent="0.3">
      <c r="A119" t="s">
        <v>664</v>
      </c>
      <c r="B119" t="s">
        <v>665</v>
      </c>
      <c r="C119" t="s">
        <v>54</v>
      </c>
      <c r="D119" t="s">
        <v>666</v>
      </c>
      <c r="E119" t="s">
        <v>476</v>
      </c>
      <c r="F119" t="s">
        <v>667</v>
      </c>
      <c r="G119" t="s">
        <v>668</v>
      </c>
      <c r="H119" t="s">
        <v>57</v>
      </c>
      <c r="I119">
        <f t="shared" si="1"/>
        <v>2</v>
      </c>
      <c r="J119" t="s">
        <v>27</v>
      </c>
      <c r="K119" t="str" cm="1">
        <f t="array" ref="K119">_xlfn.SWITCH(TRIM(UPPER(J119)),
"BUSINESS", "Short Stay",
"CONFERENCE", "Medium Stay",
"VACATION", "Iong Stay",
"HOLIDAY", "Long Stay",
"V", "Leisure",
"UNKNOWN", "Unknown",
"Other")</f>
        <v>Medium Stay</v>
      </c>
    </row>
    <row r="120" spans="1:11" x14ac:dyDescent="0.3">
      <c r="A120" t="s">
        <v>669</v>
      </c>
      <c r="B120" t="s">
        <v>300</v>
      </c>
      <c r="C120" t="s">
        <v>38</v>
      </c>
      <c r="D120" t="s">
        <v>670</v>
      </c>
      <c r="E120" t="s">
        <v>156</v>
      </c>
      <c r="F120" t="s">
        <v>671</v>
      </c>
      <c r="G120" t="s">
        <v>303</v>
      </c>
      <c r="H120" t="s">
        <v>672</v>
      </c>
      <c r="I120">
        <f t="shared" si="1"/>
        <v>2</v>
      </c>
      <c r="J120" t="s">
        <v>121</v>
      </c>
      <c r="K120" t="str" cm="1">
        <f t="array" ref="K120">_xlfn.SWITCH(TRIM(UPPER(J120)),
"BUSINESS", "Short Stay",
"CONFERENCE", "Medium Stay",
"VACATION", "Iong Stay",
"HOLIDAY", "Long Stay",
"V", "Leisure",
"UNKNOWN", "Unknown",
"Other")</f>
        <v>Iong Stay</v>
      </c>
    </row>
    <row r="121" spans="1:11" x14ac:dyDescent="0.3">
      <c r="A121" t="s">
        <v>673</v>
      </c>
      <c r="B121" t="s">
        <v>674</v>
      </c>
      <c r="C121" t="s">
        <v>97</v>
      </c>
      <c r="D121" t="s">
        <v>675</v>
      </c>
      <c r="E121" t="s">
        <v>63</v>
      </c>
      <c r="F121" t="s">
        <v>676</v>
      </c>
      <c r="G121" t="s">
        <v>677</v>
      </c>
      <c r="H121" t="s">
        <v>184</v>
      </c>
      <c r="I121">
        <f t="shared" si="1"/>
        <v>2</v>
      </c>
      <c r="J121" t="s">
        <v>27</v>
      </c>
      <c r="K121" t="str" cm="1">
        <f t="array" ref="K121">_xlfn.SWITCH(TRIM(UPPER(J121)),
"BUSINESS", "Short Stay",
"CONFERENCE", "Medium Stay",
"VACATION", "Iong Stay",
"HOLIDAY", "Long Stay",
"V", "Leisure",
"UNKNOWN", "Unknown",
"Other")</f>
        <v>Medium Stay</v>
      </c>
    </row>
    <row r="122" spans="1:11" x14ac:dyDescent="0.3">
      <c r="A122" t="s">
        <v>678</v>
      </c>
      <c r="B122" t="s">
        <v>11</v>
      </c>
      <c r="C122" t="s">
        <v>54</v>
      </c>
      <c r="D122" t="s">
        <v>679</v>
      </c>
      <c r="E122" t="s">
        <v>214</v>
      </c>
      <c r="F122" t="s">
        <v>680</v>
      </c>
      <c r="G122" t="s">
        <v>16</v>
      </c>
      <c r="H122" t="s">
        <v>277</v>
      </c>
      <c r="I122">
        <f t="shared" si="1"/>
        <v>2</v>
      </c>
      <c r="J122" t="s">
        <v>27</v>
      </c>
      <c r="K122" t="str" cm="1">
        <f t="array" ref="K122">_xlfn.SWITCH(TRIM(UPPER(J122)),
"BUSINESS", "Short Stay",
"CONFERENCE", "Medium Stay",
"VACATION", "Iong Stay",
"HOLIDAY", "Long Stay",
"V", "Leisure",
"UNKNOWN", "Unknown",
"Other")</f>
        <v>Medium Stay</v>
      </c>
    </row>
    <row r="123" spans="1:11" x14ac:dyDescent="0.3">
      <c r="A123" t="s">
        <v>681</v>
      </c>
      <c r="B123" t="s">
        <v>682</v>
      </c>
      <c r="C123" t="s">
        <v>30</v>
      </c>
      <c r="D123" t="s">
        <v>683</v>
      </c>
      <c r="E123" t="s">
        <v>40</v>
      </c>
      <c r="F123" t="s">
        <v>684</v>
      </c>
      <c r="G123" t="s">
        <v>685</v>
      </c>
      <c r="H123" t="s">
        <v>686</v>
      </c>
      <c r="I123">
        <f t="shared" si="1"/>
        <v>5</v>
      </c>
      <c r="J123" t="s">
        <v>27</v>
      </c>
      <c r="K123" t="str" cm="1">
        <f t="array" ref="K123">_xlfn.SWITCH(TRIM(UPPER(J123)),
"BUSINESS", "Short Stay",
"CONFERENCE", "Medium Stay",
"VACATION", "Iong Stay",
"HOLIDAY", "Long Stay",
"V", "Leisure",
"UNKNOWN", "Unknown",
"Other")</f>
        <v>Medium Stay</v>
      </c>
    </row>
    <row r="124" spans="1:11" x14ac:dyDescent="0.3">
      <c r="A124" t="s">
        <v>687</v>
      </c>
      <c r="B124" t="s">
        <v>688</v>
      </c>
      <c r="C124" t="s">
        <v>12</v>
      </c>
      <c r="D124" t="s">
        <v>689</v>
      </c>
      <c r="E124" t="s">
        <v>430</v>
      </c>
      <c r="F124" t="s">
        <v>690</v>
      </c>
      <c r="G124" t="s">
        <v>298</v>
      </c>
      <c r="H124" t="s">
        <v>691</v>
      </c>
      <c r="I124">
        <f t="shared" si="1"/>
        <v>1</v>
      </c>
      <c r="J124" t="s">
        <v>44</v>
      </c>
      <c r="K124" t="str" cm="1">
        <f t="array" ref="K124">_xlfn.SWITCH(TRIM(UPPER(J124)),
"BUSINESS", "Short Stay",
"CONFERENCE", "Medium Stay",
"VACATION", "Iong Stay",
"HOLIDAY", "Long Stay",
"V", "Leisure",
"UNKNOWN", "Unknown",
"Other")</f>
        <v>Other</v>
      </c>
    </row>
    <row r="125" spans="1:11" x14ac:dyDescent="0.3">
      <c r="A125" t="s">
        <v>692</v>
      </c>
      <c r="B125" t="s">
        <v>82</v>
      </c>
      <c r="C125" t="s">
        <v>174</v>
      </c>
      <c r="D125" t="s">
        <v>693</v>
      </c>
      <c r="E125" t="s">
        <v>176</v>
      </c>
      <c r="F125" t="s">
        <v>694</v>
      </c>
      <c r="G125" t="s">
        <v>87</v>
      </c>
      <c r="H125" t="s">
        <v>695</v>
      </c>
      <c r="I125">
        <f t="shared" si="1"/>
        <v>2</v>
      </c>
      <c r="J125" t="s">
        <v>121</v>
      </c>
      <c r="K125" t="str" cm="1">
        <f t="array" ref="K125">_xlfn.SWITCH(TRIM(UPPER(J125)),
"BUSINESS", "Short Stay",
"CONFERENCE", "Medium Stay",
"VACATION", "Iong Stay",
"HOLIDAY", "Long Stay",
"V", "Leisure",
"UNKNOWN", "Unknown",
"Other")</f>
        <v>Iong Stay</v>
      </c>
    </row>
    <row r="126" spans="1:11" x14ac:dyDescent="0.3">
      <c r="A126" t="s">
        <v>696</v>
      </c>
      <c r="B126" t="s">
        <v>697</v>
      </c>
      <c r="C126" t="s">
        <v>174</v>
      </c>
      <c r="D126" t="s">
        <v>698</v>
      </c>
      <c r="E126" t="s">
        <v>117</v>
      </c>
      <c r="F126" t="s">
        <v>699</v>
      </c>
      <c r="G126" t="s">
        <v>700</v>
      </c>
      <c r="H126" t="s">
        <v>593</v>
      </c>
      <c r="I126">
        <f t="shared" si="1"/>
        <v>5</v>
      </c>
      <c r="J126" t="s">
        <v>121</v>
      </c>
      <c r="K126" t="str" cm="1">
        <f t="array" ref="K126">_xlfn.SWITCH(TRIM(UPPER(J126)),
"BUSINESS", "Short Stay",
"CONFERENCE", "Medium Stay",
"VACATION", "Iong Stay",
"HOLIDAY", "Long Stay",
"V", "Leisure",
"UNKNOWN", "Unknown",
"Other")</f>
        <v>Iong Stay</v>
      </c>
    </row>
    <row r="127" spans="1:11" x14ac:dyDescent="0.3">
      <c r="A127" t="s">
        <v>701</v>
      </c>
      <c r="B127" t="s">
        <v>702</v>
      </c>
      <c r="C127" t="s">
        <v>21</v>
      </c>
      <c r="D127" t="s">
        <v>703</v>
      </c>
      <c r="E127" t="s">
        <v>85</v>
      </c>
      <c r="F127" t="s">
        <v>704</v>
      </c>
      <c r="G127" t="s">
        <v>705</v>
      </c>
      <c r="H127" t="s">
        <v>706</v>
      </c>
      <c r="I127">
        <f t="shared" si="1"/>
        <v>3</v>
      </c>
      <c r="J127" t="s">
        <v>18</v>
      </c>
      <c r="K127" t="str" cm="1">
        <f t="array" ref="K127">_xlfn.SWITCH(TRIM(UPPER(J127)),
"BUSINESS", "Short Stay",
"CONFERENCE", "Medium Stay",
"VACATION", "Iong Stay",
"HOLIDAY", "Long Stay",
"V", "Leisure",
"UNKNOWN", "Unknown",
"Other")</f>
        <v>Short Stay</v>
      </c>
    </row>
    <row r="128" spans="1:11" x14ac:dyDescent="0.3">
      <c r="A128" t="s">
        <v>707</v>
      </c>
      <c r="B128" t="s">
        <v>708</v>
      </c>
      <c r="C128" t="s">
        <v>75</v>
      </c>
      <c r="D128" t="s">
        <v>709</v>
      </c>
      <c r="E128" t="s">
        <v>14</v>
      </c>
      <c r="F128" t="s">
        <v>710</v>
      </c>
      <c r="G128" t="s">
        <v>658</v>
      </c>
      <c r="H128" t="s">
        <v>583</v>
      </c>
      <c r="I128">
        <f t="shared" si="1"/>
        <v>1</v>
      </c>
      <c r="J128" t="s">
        <v>121</v>
      </c>
      <c r="K128" t="str" cm="1">
        <f t="array" ref="K128">_xlfn.SWITCH(TRIM(UPPER(J128)),
"BUSINESS", "Short Stay",
"CONFERENCE", "Medium Stay",
"VACATION", "Iong Stay",
"HOLIDAY", "Long Stay",
"V", "Leisure",
"UNKNOWN", "Unknown",
"Other")</f>
        <v>Iong Stay</v>
      </c>
    </row>
    <row r="129" spans="1:11" x14ac:dyDescent="0.3">
      <c r="A129" t="s">
        <v>711</v>
      </c>
      <c r="B129" t="s">
        <v>712</v>
      </c>
      <c r="C129" t="s">
        <v>75</v>
      </c>
      <c r="D129" t="s">
        <v>713</v>
      </c>
      <c r="E129" t="s">
        <v>14</v>
      </c>
      <c r="F129" t="s">
        <v>714</v>
      </c>
      <c r="G129" t="s">
        <v>715</v>
      </c>
      <c r="H129" t="s">
        <v>362</v>
      </c>
      <c r="I129">
        <f t="shared" si="1"/>
        <v>2</v>
      </c>
      <c r="J129" t="s">
        <v>121</v>
      </c>
      <c r="K129" t="str" cm="1">
        <f t="array" ref="K129">_xlfn.SWITCH(TRIM(UPPER(J129)),
"BUSINESS", "Short Stay",
"CONFERENCE", "Medium Stay",
"VACATION", "Iong Stay",
"HOLIDAY", "Long Stay",
"V", "Leisure",
"UNKNOWN", "Unknown",
"Other")</f>
        <v>Iong Stay</v>
      </c>
    </row>
    <row r="130" spans="1:11" x14ac:dyDescent="0.3">
      <c r="A130" t="s">
        <v>716</v>
      </c>
      <c r="B130" t="s">
        <v>717</v>
      </c>
      <c r="C130" t="s">
        <v>38</v>
      </c>
      <c r="D130" t="s">
        <v>675</v>
      </c>
      <c r="E130" t="s">
        <v>546</v>
      </c>
      <c r="F130" t="s">
        <v>718</v>
      </c>
      <c r="G130" t="s">
        <v>719</v>
      </c>
      <c r="H130" t="s">
        <v>720</v>
      </c>
      <c r="I130">
        <f t="shared" si="1"/>
        <v>3</v>
      </c>
      <c r="J130" t="s">
        <v>44</v>
      </c>
      <c r="K130" t="str" cm="1">
        <f t="array" ref="K130">_xlfn.SWITCH(TRIM(UPPER(J130)),
"BUSINESS", "Short Stay",
"CONFERENCE", "Medium Stay",
"VACATION", "Iong Stay",
"HOLIDAY", "Long Stay",
"V", "Leisure",
"UNKNOWN", "Unknown",
"Other")</f>
        <v>Other</v>
      </c>
    </row>
    <row r="131" spans="1:11" x14ac:dyDescent="0.3">
      <c r="A131" t="s">
        <v>721</v>
      </c>
      <c r="B131" t="s">
        <v>722</v>
      </c>
      <c r="C131" t="s">
        <v>174</v>
      </c>
      <c r="D131" t="s">
        <v>723</v>
      </c>
      <c r="E131" t="s">
        <v>117</v>
      </c>
      <c r="F131" t="s">
        <v>724</v>
      </c>
      <c r="G131" t="s">
        <v>725</v>
      </c>
      <c r="H131" t="s">
        <v>726</v>
      </c>
      <c r="I131">
        <f t="shared" ref="I131:I194" si="2">H131-G131</f>
        <v>2</v>
      </c>
      <c r="J131" t="s">
        <v>27</v>
      </c>
      <c r="K131" t="str" cm="1">
        <f t="array" ref="K131">_xlfn.SWITCH(TRIM(UPPER(J131)),
"BUSINESS", "Short Stay",
"CONFERENCE", "Medium Stay",
"VACATION", "Iong Stay",
"HOLIDAY", "Long Stay",
"V", "Leisure",
"UNKNOWN", "Unknown",
"Other")</f>
        <v>Medium Stay</v>
      </c>
    </row>
    <row r="132" spans="1:11" x14ac:dyDescent="0.3">
      <c r="A132" t="s">
        <v>727</v>
      </c>
      <c r="B132" t="s">
        <v>728</v>
      </c>
      <c r="C132" t="s">
        <v>61</v>
      </c>
      <c r="D132" t="s">
        <v>274</v>
      </c>
      <c r="E132" t="s">
        <v>69</v>
      </c>
      <c r="F132" t="s">
        <v>729</v>
      </c>
      <c r="G132" t="s">
        <v>730</v>
      </c>
      <c r="H132" t="s">
        <v>731</v>
      </c>
      <c r="I132">
        <f t="shared" si="2"/>
        <v>3</v>
      </c>
      <c r="J132" t="s">
        <v>18</v>
      </c>
      <c r="K132" t="str" cm="1">
        <f t="array" ref="K132">_xlfn.SWITCH(TRIM(UPPER(J132)),
"BUSINESS", "Short Stay",
"CONFERENCE", "Medium Stay",
"VACATION", "Iong Stay",
"HOLIDAY", "Long Stay",
"V", "Leisure",
"UNKNOWN", "Unknown",
"Other")</f>
        <v>Short Stay</v>
      </c>
    </row>
    <row r="133" spans="1:11" x14ac:dyDescent="0.3">
      <c r="A133" t="s">
        <v>732</v>
      </c>
      <c r="B133" t="s">
        <v>306</v>
      </c>
      <c r="C133" t="s">
        <v>61</v>
      </c>
      <c r="D133" t="s">
        <v>733</v>
      </c>
      <c r="E133" t="s">
        <v>201</v>
      </c>
      <c r="F133" t="s">
        <v>734</v>
      </c>
      <c r="G133" t="s">
        <v>309</v>
      </c>
      <c r="H133" t="s">
        <v>735</v>
      </c>
      <c r="I133">
        <f t="shared" si="2"/>
        <v>1</v>
      </c>
      <c r="J133" t="s">
        <v>18</v>
      </c>
      <c r="K133" t="str" cm="1">
        <f t="array" ref="K133">_xlfn.SWITCH(TRIM(UPPER(J133)),
"BUSINESS", "Short Stay",
"CONFERENCE", "Medium Stay",
"VACATION", "Iong Stay",
"HOLIDAY", "Long Stay",
"V", "Leisure",
"UNKNOWN", "Unknown",
"Other")</f>
        <v>Short Stay</v>
      </c>
    </row>
    <row r="134" spans="1:11" x14ac:dyDescent="0.3">
      <c r="A134" t="s">
        <v>736</v>
      </c>
      <c r="B134" t="s">
        <v>530</v>
      </c>
      <c r="C134" t="s">
        <v>30</v>
      </c>
      <c r="D134" t="s">
        <v>737</v>
      </c>
      <c r="E134" t="s">
        <v>40</v>
      </c>
      <c r="F134" t="s">
        <v>738</v>
      </c>
      <c r="G134" t="s">
        <v>512</v>
      </c>
      <c r="H134" t="s">
        <v>739</v>
      </c>
      <c r="I134">
        <f t="shared" si="2"/>
        <v>2</v>
      </c>
      <c r="J134" t="s">
        <v>27</v>
      </c>
      <c r="K134" t="str" cm="1">
        <f t="array" ref="K134">_xlfn.SWITCH(TRIM(UPPER(J134)),
"BUSINESS", "Short Stay",
"CONFERENCE", "Medium Stay",
"VACATION", "Iong Stay",
"HOLIDAY", "Long Stay",
"V", "Leisure",
"UNKNOWN", "Unknown",
"Other")</f>
        <v>Medium Stay</v>
      </c>
    </row>
    <row r="135" spans="1:11" x14ac:dyDescent="0.3">
      <c r="A135" t="s">
        <v>740</v>
      </c>
      <c r="B135" t="s">
        <v>741</v>
      </c>
      <c r="C135" t="s">
        <v>38</v>
      </c>
      <c r="D135" t="s">
        <v>742</v>
      </c>
      <c r="E135" t="s">
        <v>201</v>
      </c>
      <c r="F135" t="s">
        <v>743</v>
      </c>
      <c r="G135" t="s">
        <v>744</v>
      </c>
      <c r="H135" t="s">
        <v>677</v>
      </c>
      <c r="I135">
        <f t="shared" si="2"/>
        <v>4</v>
      </c>
      <c r="J135" t="s">
        <v>44</v>
      </c>
      <c r="K135" t="str" cm="1">
        <f t="array" ref="K135">_xlfn.SWITCH(TRIM(UPPER(J135)),
"BUSINESS", "Short Stay",
"CONFERENCE", "Medium Stay",
"VACATION", "Iong Stay",
"HOLIDAY", "Long Stay",
"V", "Leisure",
"UNKNOWN", "Unknown",
"Other")</f>
        <v>Other</v>
      </c>
    </row>
    <row r="136" spans="1:11" x14ac:dyDescent="0.3">
      <c r="A136" t="s">
        <v>745</v>
      </c>
      <c r="B136" t="s">
        <v>746</v>
      </c>
      <c r="C136" t="s">
        <v>174</v>
      </c>
      <c r="D136" t="s">
        <v>747</v>
      </c>
      <c r="E136" t="s">
        <v>40</v>
      </c>
      <c r="F136" t="s">
        <v>748</v>
      </c>
      <c r="G136" t="s">
        <v>749</v>
      </c>
      <c r="H136" t="s">
        <v>239</v>
      </c>
      <c r="I136">
        <f t="shared" si="2"/>
        <v>4</v>
      </c>
      <c r="J136" t="s">
        <v>27</v>
      </c>
      <c r="K136" t="str" cm="1">
        <f t="array" ref="K136">_xlfn.SWITCH(TRIM(UPPER(J136)),
"BUSINESS", "Short Stay",
"CONFERENCE", "Medium Stay",
"VACATION", "Iong Stay",
"HOLIDAY", "Long Stay",
"V", "Leisure",
"UNKNOWN", "Unknown",
"Other")</f>
        <v>Medium Stay</v>
      </c>
    </row>
    <row r="137" spans="1:11" x14ac:dyDescent="0.3">
      <c r="A137" t="s">
        <v>750</v>
      </c>
      <c r="B137" t="s">
        <v>273</v>
      </c>
      <c r="C137" t="s">
        <v>21</v>
      </c>
      <c r="D137" t="s">
        <v>751</v>
      </c>
      <c r="E137" t="s">
        <v>77</v>
      </c>
      <c r="F137" t="s">
        <v>752</v>
      </c>
      <c r="G137" t="s">
        <v>276</v>
      </c>
      <c r="H137" t="s">
        <v>753</v>
      </c>
      <c r="I137">
        <f t="shared" si="2"/>
        <v>5</v>
      </c>
      <c r="J137" t="s">
        <v>18</v>
      </c>
      <c r="K137" t="str" cm="1">
        <f t="array" ref="K137">_xlfn.SWITCH(TRIM(UPPER(J137)),
"BUSINESS", "Short Stay",
"CONFERENCE", "Medium Stay",
"VACATION", "Iong Stay",
"HOLIDAY", "Long Stay",
"V", "Leisure",
"UNKNOWN", "Unknown",
"Other")</f>
        <v>Short Stay</v>
      </c>
    </row>
    <row r="138" spans="1:11" x14ac:dyDescent="0.3">
      <c r="A138" t="s">
        <v>754</v>
      </c>
      <c r="B138" t="s">
        <v>755</v>
      </c>
      <c r="C138" t="s">
        <v>174</v>
      </c>
      <c r="D138" t="s">
        <v>756</v>
      </c>
      <c r="E138" t="s">
        <v>69</v>
      </c>
      <c r="F138" t="s">
        <v>757</v>
      </c>
      <c r="G138" t="s">
        <v>758</v>
      </c>
      <c r="H138" t="s">
        <v>759</v>
      </c>
      <c r="I138">
        <f t="shared" si="2"/>
        <v>2</v>
      </c>
      <c r="J138" t="s">
        <v>121</v>
      </c>
      <c r="K138" t="str" cm="1">
        <f t="array" ref="K138">_xlfn.SWITCH(TRIM(UPPER(J138)),
"BUSINESS", "Short Stay",
"CONFERENCE", "Medium Stay",
"VACATION", "Iong Stay",
"HOLIDAY", "Long Stay",
"V", "Leisure",
"UNKNOWN", "Unknown",
"Other")</f>
        <v>Iong Stay</v>
      </c>
    </row>
    <row r="139" spans="1:11" x14ac:dyDescent="0.3">
      <c r="A139" t="s">
        <v>760</v>
      </c>
      <c r="B139" t="s">
        <v>761</v>
      </c>
      <c r="C139" t="s">
        <v>21</v>
      </c>
      <c r="D139" t="s">
        <v>762</v>
      </c>
      <c r="E139" t="s">
        <v>214</v>
      </c>
      <c r="F139" t="s">
        <v>763</v>
      </c>
      <c r="G139" t="s">
        <v>399</v>
      </c>
      <c r="H139" t="s">
        <v>764</v>
      </c>
      <c r="I139">
        <f t="shared" si="2"/>
        <v>4</v>
      </c>
      <c r="J139" t="s">
        <v>18</v>
      </c>
      <c r="K139" t="str" cm="1">
        <f t="array" ref="K139">_xlfn.SWITCH(TRIM(UPPER(J139)),
"BUSINESS", "Short Stay",
"CONFERENCE", "Medium Stay",
"VACATION", "Iong Stay",
"HOLIDAY", "Long Stay",
"V", "Leisure",
"UNKNOWN", "Unknown",
"Other")</f>
        <v>Short Stay</v>
      </c>
    </row>
    <row r="140" spans="1:11" x14ac:dyDescent="0.3">
      <c r="A140" t="s">
        <v>765</v>
      </c>
      <c r="B140" t="s">
        <v>766</v>
      </c>
      <c r="C140" t="s">
        <v>75</v>
      </c>
      <c r="D140" t="s">
        <v>767</v>
      </c>
      <c r="E140" t="s">
        <v>32</v>
      </c>
      <c r="F140" t="s">
        <v>768</v>
      </c>
      <c r="G140" t="s">
        <v>769</v>
      </c>
      <c r="H140" t="s">
        <v>770</v>
      </c>
      <c r="I140">
        <f t="shared" si="2"/>
        <v>5</v>
      </c>
      <c r="J140" t="s">
        <v>18</v>
      </c>
      <c r="K140" t="str" cm="1">
        <f t="array" ref="K140">_xlfn.SWITCH(TRIM(UPPER(J140)),
"BUSINESS", "Short Stay",
"CONFERENCE", "Medium Stay",
"VACATION", "Iong Stay",
"HOLIDAY", "Long Stay",
"V", "Leisure",
"UNKNOWN", "Unknown",
"Other")</f>
        <v>Short Stay</v>
      </c>
    </row>
    <row r="141" spans="1:11" x14ac:dyDescent="0.3">
      <c r="A141" t="s">
        <v>771</v>
      </c>
      <c r="B141" t="s">
        <v>772</v>
      </c>
      <c r="C141" t="s">
        <v>54</v>
      </c>
      <c r="D141" t="s">
        <v>773</v>
      </c>
      <c r="E141" t="s">
        <v>176</v>
      </c>
      <c r="F141" t="s">
        <v>774</v>
      </c>
      <c r="G141" t="s">
        <v>775</v>
      </c>
      <c r="H141" t="s">
        <v>190</v>
      </c>
      <c r="I141">
        <f t="shared" si="2"/>
        <v>2</v>
      </c>
      <c r="J141" t="s">
        <v>18</v>
      </c>
      <c r="K141" t="str" cm="1">
        <f t="array" ref="K141">_xlfn.SWITCH(TRIM(UPPER(J141)),
"BUSINESS", "Short Stay",
"CONFERENCE", "Medium Stay",
"VACATION", "Iong Stay",
"HOLIDAY", "Long Stay",
"V", "Leisure",
"UNKNOWN", "Unknown",
"Other")</f>
        <v>Short Stay</v>
      </c>
    </row>
    <row r="142" spans="1:11" x14ac:dyDescent="0.3">
      <c r="A142" t="s">
        <v>776</v>
      </c>
      <c r="B142" t="s">
        <v>777</v>
      </c>
      <c r="C142" t="s">
        <v>21</v>
      </c>
      <c r="D142" t="s">
        <v>778</v>
      </c>
      <c r="E142" t="s">
        <v>48</v>
      </c>
      <c r="F142" t="s">
        <v>779</v>
      </c>
      <c r="G142" t="s">
        <v>780</v>
      </c>
      <c r="H142" t="s">
        <v>781</v>
      </c>
      <c r="I142">
        <f t="shared" si="2"/>
        <v>4</v>
      </c>
      <c r="J142" t="s">
        <v>27</v>
      </c>
      <c r="K142" t="str" cm="1">
        <f t="array" ref="K142">_xlfn.SWITCH(TRIM(UPPER(J142)),
"BUSINESS", "Short Stay",
"CONFERENCE", "Medium Stay",
"VACATION", "Iong Stay",
"HOLIDAY", "Long Stay",
"V", "Leisure",
"UNKNOWN", "Unknown",
"Other")</f>
        <v>Medium Stay</v>
      </c>
    </row>
    <row r="143" spans="1:11" x14ac:dyDescent="0.3">
      <c r="A143" t="s">
        <v>782</v>
      </c>
      <c r="B143" t="s">
        <v>783</v>
      </c>
      <c r="C143" t="s">
        <v>30</v>
      </c>
      <c r="D143" t="s">
        <v>784</v>
      </c>
      <c r="E143" t="s">
        <v>14</v>
      </c>
      <c r="F143" t="s">
        <v>785</v>
      </c>
      <c r="G143" t="s">
        <v>786</v>
      </c>
      <c r="H143" t="s">
        <v>735</v>
      </c>
      <c r="I143">
        <f t="shared" si="2"/>
        <v>5</v>
      </c>
      <c r="J143" t="s">
        <v>27</v>
      </c>
      <c r="K143" t="str" cm="1">
        <f t="array" ref="K143">_xlfn.SWITCH(TRIM(UPPER(J143)),
"BUSINESS", "Short Stay",
"CONFERENCE", "Medium Stay",
"VACATION", "Iong Stay",
"HOLIDAY", "Long Stay",
"V", "Leisure",
"UNKNOWN", "Unknown",
"Other")</f>
        <v>Medium Stay</v>
      </c>
    </row>
    <row r="144" spans="1:11" x14ac:dyDescent="0.3">
      <c r="A144" t="s">
        <v>787</v>
      </c>
      <c r="B144" t="s">
        <v>788</v>
      </c>
      <c r="C144" t="s">
        <v>75</v>
      </c>
      <c r="D144" t="s">
        <v>789</v>
      </c>
      <c r="E144" t="s">
        <v>176</v>
      </c>
      <c r="F144" t="s">
        <v>790</v>
      </c>
      <c r="G144" t="s">
        <v>791</v>
      </c>
      <c r="H144" t="s">
        <v>317</v>
      </c>
      <c r="I144">
        <f t="shared" si="2"/>
        <v>5</v>
      </c>
      <c r="J144" t="s">
        <v>121</v>
      </c>
      <c r="K144" t="str" cm="1">
        <f t="array" ref="K144">_xlfn.SWITCH(TRIM(UPPER(J144)),
"BUSINESS", "Short Stay",
"CONFERENCE", "Medium Stay",
"VACATION", "Iong Stay",
"HOLIDAY", "Long Stay",
"V", "Leisure",
"UNKNOWN", "Unknown",
"Other")</f>
        <v>Iong Stay</v>
      </c>
    </row>
    <row r="145" spans="1:11" x14ac:dyDescent="0.3">
      <c r="A145" t="s">
        <v>792</v>
      </c>
      <c r="B145" t="s">
        <v>793</v>
      </c>
      <c r="C145" t="s">
        <v>54</v>
      </c>
      <c r="D145" t="s">
        <v>794</v>
      </c>
      <c r="E145" t="s">
        <v>77</v>
      </c>
      <c r="F145" t="s">
        <v>795</v>
      </c>
      <c r="G145" t="s">
        <v>796</v>
      </c>
      <c r="H145" t="s">
        <v>797</v>
      </c>
      <c r="I145">
        <f t="shared" si="2"/>
        <v>3</v>
      </c>
      <c r="J145" t="s">
        <v>121</v>
      </c>
      <c r="K145" t="str" cm="1">
        <f t="array" ref="K145">_xlfn.SWITCH(TRIM(UPPER(J145)),
"BUSINESS", "Short Stay",
"CONFERENCE", "Medium Stay",
"VACATION", "Iong Stay",
"HOLIDAY", "Long Stay",
"V", "Leisure",
"UNKNOWN", "Unknown",
"Other")</f>
        <v>Iong Stay</v>
      </c>
    </row>
    <row r="146" spans="1:11" x14ac:dyDescent="0.3">
      <c r="A146" t="s">
        <v>798</v>
      </c>
      <c r="B146" t="s">
        <v>799</v>
      </c>
      <c r="C146" t="s">
        <v>12</v>
      </c>
      <c r="D146" t="s">
        <v>800</v>
      </c>
      <c r="E146" t="s">
        <v>40</v>
      </c>
      <c r="F146" t="s">
        <v>801</v>
      </c>
      <c r="G146" t="s">
        <v>802</v>
      </c>
      <c r="H146" t="s">
        <v>803</v>
      </c>
      <c r="I146">
        <f t="shared" si="2"/>
        <v>4</v>
      </c>
      <c r="J146" t="s">
        <v>121</v>
      </c>
      <c r="K146" t="str" cm="1">
        <f t="array" ref="K146">_xlfn.SWITCH(TRIM(UPPER(J146)),
"BUSINESS", "Short Stay",
"CONFERENCE", "Medium Stay",
"VACATION", "Iong Stay",
"HOLIDAY", "Long Stay",
"V", "Leisure",
"UNKNOWN", "Unknown",
"Other")</f>
        <v>Iong Stay</v>
      </c>
    </row>
    <row r="147" spans="1:11" x14ac:dyDescent="0.3">
      <c r="A147" t="s">
        <v>804</v>
      </c>
      <c r="B147" t="s">
        <v>805</v>
      </c>
      <c r="C147" t="s">
        <v>21</v>
      </c>
      <c r="D147" t="s">
        <v>806</v>
      </c>
      <c r="E147" t="s">
        <v>176</v>
      </c>
      <c r="F147" t="s">
        <v>807</v>
      </c>
      <c r="G147" t="s">
        <v>502</v>
      </c>
      <c r="H147" t="s">
        <v>191</v>
      </c>
      <c r="I147">
        <f t="shared" si="2"/>
        <v>4</v>
      </c>
      <c r="J147" t="s">
        <v>18</v>
      </c>
      <c r="K147" t="str" cm="1">
        <f t="array" ref="K147">_xlfn.SWITCH(TRIM(UPPER(J147)),
"BUSINESS", "Short Stay",
"CONFERENCE", "Medium Stay",
"VACATION", "Iong Stay",
"HOLIDAY", "Long Stay",
"V", "Leisure",
"UNKNOWN", "Unknown",
"Other")</f>
        <v>Short Stay</v>
      </c>
    </row>
    <row r="148" spans="1:11" x14ac:dyDescent="0.3">
      <c r="A148" t="s">
        <v>808</v>
      </c>
      <c r="B148" t="s">
        <v>809</v>
      </c>
      <c r="C148" t="s">
        <v>97</v>
      </c>
      <c r="D148" t="s">
        <v>810</v>
      </c>
      <c r="E148" t="s">
        <v>546</v>
      </c>
      <c r="F148" t="s">
        <v>811</v>
      </c>
      <c r="G148" t="s">
        <v>812</v>
      </c>
      <c r="H148" t="s">
        <v>813</v>
      </c>
      <c r="I148">
        <f t="shared" si="2"/>
        <v>1</v>
      </c>
      <c r="J148" t="s">
        <v>44</v>
      </c>
      <c r="K148" t="str" cm="1">
        <f t="array" ref="K148">_xlfn.SWITCH(TRIM(UPPER(J148)),
"BUSINESS", "Short Stay",
"CONFERENCE", "Medium Stay",
"VACATION", "Iong Stay",
"HOLIDAY", "Long Stay",
"V", "Leisure",
"UNKNOWN", "Unknown",
"Other")</f>
        <v>Other</v>
      </c>
    </row>
    <row r="149" spans="1:11" x14ac:dyDescent="0.3">
      <c r="A149" t="s">
        <v>814</v>
      </c>
      <c r="B149" t="s">
        <v>341</v>
      </c>
      <c r="C149" t="s">
        <v>61</v>
      </c>
      <c r="D149" t="s">
        <v>815</v>
      </c>
      <c r="E149" t="s">
        <v>546</v>
      </c>
      <c r="F149" t="s">
        <v>816</v>
      </c>
      <c r="G149" t="s">
        <v>344</v>
      </c>
      <c r="H149" t="s">
        <v>563</v>
      </c>
      <c r="I149">
        <f t="shared" si="2"/>
        <v>2</v>
      </c>
      <c r="J149" t="s">
        <v>121</v>
      </c>
      <c r="K149" t="str" cm="1">
        <f t="array" ref="K149">_xlfn.SWITCH(TRIM(UPPER(J149)),
"BUSINESS", "Short Stay",
"CONFERENCE", "Medium Stay",
"VACATION", "Iong Stay",
"HOLIDAY", "Long Stay",
"V", "Leisure",
"UNKNOWN", "Unknown",
"Other")</f>
        <v>Iong Stay</v>
      </c>
    </row>
    <row r="150" spans="1:11" x14ac:dyDescent="0.3">
      <c r="A150" t="s">
        <v>817</v>
      </c>
      <c r="B150" t="s">
        <v>818</v>
      </c>
      <c r="C150" t="s">
        <v>61</v>
      </c>
      <c r="D150" t="s">
        <v>819</v>
      </c>
      <c r="E150" t="s">
        <v>546</v>
      </c>
      <c r="F150" t="s">
        <v>820</v>
      </c>
      <c r="G150" t="s">
        <v>821</v>
      </c>
      <c r="H150" t="s">
        <v>563</v>
      </c>
      <c r="I150">
        <f t="shared" si="2"/>
        <v>3</v>
      </c>
      <c r="J150" t="s">
        <v>27</v>
      </c>
      <c r="K150" t="str" cm="1">
        <f t="array" ref="K150">_xlfn.SWITCH(TRIM(UPPER(J150)),
"BUSINESS", "Short Stay",
"CONFERENCE", "Medium Stay",
"VACATION", "Iong Stay",
"HOLIDAY", "Long Stay",
"V", "Leisure",
"UNKNOWN", "Unknown",
"Other")</f>
        <v>Medium Stay</v>
      </c>
    </row>
    <row r="151" spans="1:11" x14ac:dyDescent="0.3">
      <c r="A151" t="s">
        <v>822</v>
      </c>
      <c r="B151" t="s">
        <v>823</v>
      </c>
      <c r="C151" t="s">
        <v>21</v>
      </c>
      <c r="D151" t="s">
        <v>824</v>
      </c>
      <c r="E151" t="s">
        <v>85</v>
      </c>
      <c r="F151" t="s">
        <v>825</v>
      </c>
      <c r="G151" t="s">
        <v>826</v>
      </c>
      <c r="H151" t="s">
        <v>25</v>
      </c>
      <c r="I151">
        <f t="shared" si="2"/>
        <v>5</v>
      </c>
      <c r="J151" t="s">
        <v>27</v>
      </c>
      <c r="K151" t="str" cm="1">
        <f t="array" ref="K151">_xlfn.SWITCH(TRIM(UPPER(J151)),
"BUSINESS", "Short Stay",
"CONFERENCE", "Medium Stay",
"VACATION", "Iong Stay",
"HOLIDAY", "Long Stay",
"V", "Leisure",
"UNKNOWN", "Unknown",
"Other")</f>
        <v>Medium Stay</v>
      </c>
    </row>
    <row r="152" spans="1:11" x14ac:dyDescent="0.3">
      <c r="A152" t="s">
        <v>827</v>
      </c>
      <c r="B152" t="s">
        <v>67</v>
      </c>
      <c r="C152" t="s">
        <v>12</v>
      </c>
      <c r="D152" t="s">
        <v>828</v>
      </c>
      <c r="E152" t="s">
        <v>117</v>
      </c>
      <c r="F152" t="s">
        <v>829</v>
      </c>
      <c r="G152" t="s">
        <v>71</v>
      </c>
      <c r="H152" t="s">
        <v>25</v>
      </c>
      <c r="I152">
        <f t="shared" si="2"/>
        <v>4</v>
      </c>
      <c r="J152" t="s">
        <v>121</v>
      </c>
      <c r="K152" t="str" cm="1">
        <f t="array" ref="K152">_xlfn.SWITCH(TRIM(UPPER(J152)),
"BUSINESS", "Short Stay",
"CONFERENCE", "Medium Stay",
"VACATION", "Iong Stay",
"HOLIDAY", "Long Stay",
"V", "Leisure",
"UNKNOWN", "Unknown",
"Other")</f>
        <v>Iong Stay</v>
      </c>
    </row>
    <row r="153" spans="1:11" x14ac:dyDescent="0.3">
      <c r="A153" t="s">
        <v>830</v>
      </c>
      <c r="B153" t="s">
        <v>831</v>
      </c>
      <c r="C153" t="s">
        <v>38</v>
      </c>
      <c r="D153" t="s">
        <v>832</v>
      </c>
      <c r="E153" t="s">
        <v>458</v>
      </c>
      <c r="F153" t="s">
        <v>833</v>
      </c>
      <c r="G153" t="s">
        <v>369</v>
      </c>
      <c r="H153" t="s">
        <v>730</v>
      </c>
      <c r="I153">
        <f t="shared" si="2"/>
        <v>4</v>
      </c>
      <c r="J153" t="s">
        <v>18</v>
      </c>
      <c r="K153" t="str" cm="1">
        <f t="array" ref="K153">_xlfn.SWITCH(TRIM(UPPER(J153)),
"BUSINESS", "Short Stay",
"CONFERENCE", "Medium Stay",
"VACATION", "Iong Stay",
"HOLIDAY", "Long Stay",
"V", "Leisure",
"UNKNOWN", "Unknown",
"Other")</f>
        <v>Short Stay</v>
      </c>
    </row>
    <row r="154" spans="1:11" x14ac:dyDescent="0.3">
      <c r="A154" t="s">
        <v>834</v>
      </c>
      <c r="B154" t="s">
        <v>835</v>
      </c>
      <c r="C154" t="s">
        <v>12</v>
      </c>
      <c r="D154" t="s">
        <v>836</v>
      </c>
      <c r="E154" t="s">
        <v>14</v>
      </c>
      <c r="F154" t="s">
        <v>837</v>
      </c>
      <c r="G154" t="s">
        <v>838</v>
      </c>
      <c r="H154" t="s">
        <v>839</v>
      </c>
      <c r="I154">
        <f t="shared" si="2"/>
        <v>3</v>
      </c>
      <c r="J154" t="s">
        <v>44</v>
      </c>
      <c r="K154" t="str" cm="1">
        <f t="array" ref="K154">_xlfn.SWITCH(TRIM(UPPER(J154)),
"BUSINESS", "Short Stay",
"CONFERENCE", "Medium Stay",
"VACATION", "Iong Stay",
"HOLIDAY", "Long Stay",
"V", "Leisure",
"UNKNOWN", "Unknown",
"Other")</f>
        <v>Other</v>
      </c>
    </row>
    <row r="155" spans="1:11" x14ac:dyDescent="0.3">
      <c r="A155" t="s">
        <v>840</v>
      </c>
      <c r="B155" t="s">
        <v>841</v>
      </c>
      <c r="C155" t="s">
        <v>30</v>
      </c>
      <c r="D155" t="s">
        <v>842</v>
      </c>
      <c r="E155" t="s">
        <v>314</v>
      </c>
      <c r="F155" t="s">
        <v>843</v>
      </c>
      <c r="G155" t="s">
        <v>844</v>
      </c>
      <c r="H155" t="s">
        <v>399</v>
      </c>
      <c r="I155">
        <f t="shared" si="2"/>
        <v>1</v>
      </c>
      <c r="J155" t="s">
        <v>27</v>
      </c>
      <c r="K155" t="str" cm="1">
        <f t="array" ref="K155">_xlfn.SWITCH(TRIM(UPPER(J155)),
"BUSINESS", "Short Stay",
"CONFERENCE", "Medium Stay",
"VACATION", "Iong Stay",
"HOLIDAY", "Long Stay",
"V", "Leisure",
"UNKNOWN", "Unknown",
"Other")</f>
        <v>Medium Stay</v>
      </c>
    </row>
    <row r="156" spans="1:11" x14ac:dyDescent="0.3">
      <c r="A156" t="s">
        <v>845</v>
      </c>
      <c r="B156" t="s">
        <v>846</v>
      </c>
      <c r="C156" t="s">
        <v>30</v>
      </c>
      <c r="D156" t="s">
        <v>847</v>
      </c>
      <c r="E156" t="s">
        <v>69</v>
      </c>
      <c r="F156" t="s">
        <v>848</v>
      </c>
      <c r="G156" t="s">
        <v>849</v>
      </c>
      <c r="H156" t="s">
        <v>190</v>
      </c>
      <c r="I156">
        <f t="shared" si="2"/>
        <v>3</v>
      </c>
      <c r="J156" t="s">
        <v>18</v>
      </c>
      <c r="K156" t="str" cm="1">
        <f t="array" ref="K156">_xlfn.SWITCH(TRIM(UPPER(J156)),
"BUSINESS", "Short Stay",
"CONFERENCE", "Medium Stay",
"VACATION", "Iong Stay",
"HOLIDAY", "Long Stay",
"V", "Leisure",
"UNKNOWN", "Unknown",
"Other")</f>
        <v>Short Stay</v>
      </c>
    </row>
    <row r="157" spans="1:11" x14ac:dyDescent="0.3">
      <c r="A157" t="s">
        <v>850</v>
      </c>
      <c r="B157" t="s">
        <v>851</v>
      </c>
      <c r="C157" t="s">
        <v>83</v>
      </c>
      <c r="D157" t="s">
        <v>852</v>
      </c>
      <c r="E157" t="s">
        <v>430</v>
      </c>
      <c r="F157" t="s">
        <v>853</v>
      </c>
      <c r="G157" t="s">
        <v>204</v>
      </c>
      <c r="H157" t="s">
        <v>539</v>
      </c>
      <c r="I157">
        <f t="shared" si="2"/>
        <v>4</v>
      </c>
      <c r="J157" t="s">
        <v>44</v>
      </c>
      <c r="K157" t="str" cm="1">
        <f t="array" ref="K157">_xlfn.SWITCH(TRIM(UPPER(J157)),
"BUSINESS", "Short Stay",
"CONFERENCE", "Medium Stay",
"VACATION", "Iong Stay",
"HOLIDAY", "Long Stay",
"V", "Leisure",
"UNKNOWN", "Unknown",
"Other")</f>
        <v>Other</v>
      </c>
    </row>
    <row r="158" spans="1:11" x14ac:dyDescent="0.3">
      <c r="A158" t="s">
        <v>854</v>
      </c>
      <c r="B158" t="s">
        <v>406</v>
      </c>
      <c r="C158" t="s">
        <v>21</v>
      </c>
      <c r="D158" t="s">
        <v>505</v>
      </c>
      <c r="E158" t="s">
        <v>149</v>
      </c>
      <c r="F158" t="s">
        <v>855</v>
      </c>
      <c r="G158" t="s">
        <v>409</v>
      </c>
      <c r="H158" t="s">
        <v>856</v>
      </c>
      <c r="I158">
        <f t="shared" si="2"/>
        <v>1</v>
      </c>
      <c r="J158" t="s">
        <v>44</v>
      </c>
      <c r="K158" t="str" cm="1">
        <f t="array" ref="K158">_xlfn.SWITCH(TRIM(UPPER(J158)),
"BUSINESS", "Short Stay",
"CONFERENCE", "Medium Stay",
"VACATION", "Iong Stay",
"HOLIDAY", "Long Stay",
"V", "Leisure",
"UNKNOWN", "Unknown",
"Other")</f>
        <v>Other</v>
      </c>
    </row>
    <row r="159" spans="1:11" x14ac:dyDescent="0.3">
      <c r="A159" t="s">
        <v>857</v>
      </c>
      <c r="B159" t="s">
        <v>858</v>
      </c>
      <c r="C159" t="s">
        <v>38</v>
      </c>
      <c r="D159" t="s">
        <v>859</v>
      </c>
      <c r="E159" t="s">
        <v>63</v>
      </c>
      <c r="F159" t="s">
        <v>860</v>
      </c>
      <c r="G159" t="s">
        <v>861</v>
      </c>
      <c r="H159" t="s">
        <v>764</v>
      </c>
      <c r="I159">
        <f t="shared" si="2"/>
        <v>2</v>
      </c>
      <c r="J159" t="s">
        <v>18</v>
      </c>
      <c r="K159" t="str" cm="1">
        <f t="array" ref="K159">_xlfn.SWITCH(TRIM(UPPER(J159)),
"BUSINESS", "Short Stay",
"CONFERENCE", "Medium Stay",
"VACATION", "Iong Stay",
"HOLIDAY", "Long Stay",
"V", "Leisure",
"UNKNOWN", "Unknown",
"Other")</f>
        <v>Short Stay</v>
      </c>
    </row>
    <row r="160" spans="1:11" x14ac:dyDescent="0.3">
      <c r="A160" t="s">
        <v>862</v>
      </c>
      <c r="B160" t="s">
        <v>863</v>
      </c>
      <c r="C160" t="s">
        <v>174</v>
      </c>
      <c r="D160" t="s">
        <v>864</v>
      </c>
      <c r="E160" t="s">
        <v>117</v>
      </c>
      <c r="F160" t="s">
        <v>865</v>
      </c>
      <c r="G160" t="s">
        <v>548</v>
      </c>
      <c r="H160" t="s">
        <v>563</v>
      </c>
      <c r="I160">
        <f t="shared" si="2"/>
        <v>5</v>
      </c>
      <c r="J160" t="s">
        <v>44</v>
      </c>
      <c r="K160" t="str" cm="1">
        <f t="array" ref="K160">_xlfn.SWITCH(TRIM(UPPER(J160)),
"BUSINESS", "Short Stay",
"CONFERENCE", "Medium Stay",
"VACATION", "Iong Stay",
"HOLIDAY", "Long Stay",
"V", "Leisure",
"UNKNOWN", "Unknown",
"Other")</f>
        <v>Other</v>
      </c>
    </row>
    <row r="161" spans="1:11" x14ac:dyDescent="0.3">
      <c r="A161" t="s">
        <v>866</v>
      </c>
      <c r="B161" t="s">
        <v>574</v>
      </c>
      <c r="C161" t="s">
        <v>83</v>
      </c>
      <c r="D161" t="s">
        <v>867</v>
      </c>
      <c r="E161" t="s">
        <v>32</v>
      </c>
      <c r="F161" t="s">
        <v>868</v>
      </c>
      <c r="G161" t="s">
        <v>577</v>
      </c>
      <c r="H161" t="s">
        <v>869</v>
      </c>
      <c r="I161">
        <f t="shared" si="2"/>
        <v>2</v>
      </c>
      <c r="J161" t="s">
        <v>27</v>
      </c>
      <c r="K161" t="str" cm="1">
        <f t="array" ref="K161">_xlfn.SWITCH(TRIM(UPPER(J161)),
"BUSINESS", "Short Stay",
"CONFERENCE", "Medium Stay",
"VACATION", "Iong Stay",
"HOLIDAY", "Long Stay",
"V", "Leisure",
"UNKNOWN", "Unknown",
"Other")</f>
        <v>Medium Stay</v>
      </c>
    </row>
    <row r="162" spans="1:11" x14ac:dyDescent="0.3">
      <c r="A162" t="s">
        <v>870</v>
      </c>
      <c r="B162" t="s">
        <v>831</v>
      </c>
      <c r="C162" t="s">
        <v>97</v>
      </c>
      <c r="D162" t="s">
        <v>871</v>
      </c>
      <c r="E162" t="s">
        <v>546</v>
      </c>
      <c r="F162" t="s">
        <v>872</v>
      </c>
      <c r="G162" t="s">
        <v>369</v>
      </c>
      <c r="H162" t="s">
        <v>730</v>
      </c>
      <c r="I162">
        <f t="shared" si="2"/>
        <v>4</v>
      </c>
      <c r="J162" t="s">
        <v>27</v>
      </c>
      <c r="K162" t="str" cm="1">
        <f t="array" ref="K162">_xlfn.SWITCH(TRIM(UPPER(J162)),
"BUSINESS", "Short Stay",
"CONFERENCE", "Medium Stay",
"VACATION", "Iong Stay",
"HOLIDAY", "Long Stay",
"V", "Leisure",
"UNKNOWN", "Unknown",
"Other")</f>
        <v>Medium Stay</v>
      </c>
    </row>
    <row r="163" spans="1:11" x14ac:dyDescent="0.3">
      <c r="A163" t="s">
        <v>873</v>
      </c>
      <c r="B163" t="s">
        <v>874</v>
      </c>
      <c r="C163" t="s">
        <v>12</v>
      </c>
      <c r="D163" t="s">
        <v>875</v>
      </c>
      <c r="E163" t="s">
        <v>458</v>
      </c>
      <c r="F163" t="s">
        <v>876</v>
      </c>
      <c r="G163" t="s">
        <v>378</v>
      </c>
      <c r="H163" t="s">
        <v>877</v>
      </c>
      <c r="I163">
        <f t="shared" si="2"/>
        <v>1</v>
      </c>
      <c r="J163" t="s">
        <v>27</v>
      </c>
      <c r="K163" t="str" cm="1">
        <f t="array" ref="K163">_xlfn.SWITCH(TRIM(UPPER(J163)),
"BUSINESS", "Short Stay",
"CONFERENCE", "Medium Stay",
"VACATION", "Iong Stay",
"HOLIDAY", "Long Stay",
"V", "Leisure",
"UNKNOWN", "Unknown",
"Other")</f>
        <v>Medium Stay</v>
      </c>
    </row>
    <row r="164" spans="1:11" x14ac:dyDescent="0.3">
      <c r="A164" t="s">
        <v>878</v>
      </c>
      <c r="B164" t="s">
        <v>879</v>
      </c>
      <c r="C164" t="s">
        <v>61</v>
      </c>
      <c r="D164" t="s">
        <v>819</v>
      </c>
      <c r="E164" t="s">
        <v>430</v>
      </c>
      <c r="F164" t="s">
        <v>880</v>
      </c>
      <c r="G164" t="s">
        <v>179</v>
      </c>
      <c r="H164" t="s">
        <v>152</v>
      </c>
      <c r="I164">
        <f t="shared" si="2"/>
        <v>5</v>
      </c>
      <c r="J164" t="s">
        <v>121</v>
      </c>
      <c r="K164" t="str" cm="1">
        <f t="array" ref="K164">_xlfn.SWITCH(TRIM(UPPER(J164)),
"BUSINESS", "Short Stay",
"CONFERENCE", "Medium Stay",
"VACATION", "Iong Stay",
"HOLIDAY", "Long Stay",
"V", "Leisure",
"UNKNOWN", "Unknown",
"Other")</f>
        <v>Iong Stay</v>
      </c>
    </row>
    <row r="165" spans="1:11" x14ac:dyDescent="0.3">
      <c r="A165" t="s">
        <v>881</v>
      </c>
      <c r="B165" t="s">
        <v>882</v>
      </c>
      <c r="C165" t="s">
        <v>12</v>
      </c>
      <c r="D165" t="s">
        <v>883</v>
      </c>
      <c r="E165" t="s">
        <v>40</v>
      </c>
      <c r="F165" t="s">
        <v>884</v>
      </c>
      <c r="G165" t="s">
        <v>885</v>
      </c>
      <c r="H165" t="s">
        <v>421</v>
      </c>
      <c r="I165">
        <f t="shared" si="2"/>
        <v>3</v>
      </c>
      <c r="J165" t="s">
        <v>121</v>
      </c>
      <c r="K165" t="str" cm="1">
        <f t="array" ref="K165">_xlfn.SWITCH(TRIM(UPPER(J165)),
"BUSINESS", "Short Stay",
"CONFERENCE", "Medium Stay",
"VACATION", "Iong Stay",
"HOLIDAY", "Long Stay",
"V", "Leisure",
"UNKNOWN", "Unknown",
"Other")</f>
        <v>Iong Stay</v>
      </c>
    </row>
    <row r="166" spans="1:11" x14ac:dyDescent="0.3">
      <c r="A166" t="s">
        <v>886</v>
      </c>
      <c r="B166" t="s">
        <v>29</v>
      </c>
      <c r="C166" t="s">
        <v>38</v>
      </c>
      <c r="D166" t="s">
        <v>784</v>
      </c>
      <c r="E166" t="s">
        <v>23</v>
      </c>
      <c r="F166" t="s">
        <v>887</v>
      </c>
      <c r="G166" t="s">
        <v>34</v>
      </c>
      <c r="H166" t="s">
        <v>749</v>
      </c>
      <c r="I166">
        <f t="shared" si="2"/>
        <v>5</v>
      </c>
      <c r="J166" t="s">
        <v>27</v>
      </c>
      <c r="K166" t="str" cm="1">
        <f t="array" ref="K166">_xlfn.SWITCH(TRIM(UPPER(J166)),
"BUSINESS", "Short Stay",
"CONFERENCE", "Medium Stay",
"VACATION", "Iong Stay",
"HOLIDAY", "Long Stay",
"V", "Leisure",
"UNKNOWN", "Unknown",
"Other")</f>
        <v>Medium Stay</v>
      </c>
    </row>
    <row r="167" spans="1:11" x14ac:dyDescent="0.3">
      <c r="A167" t="s">
        <v>888</v>
      </c>
      <c r="B167" t="s">
        <v>487</v>
      </c>
      <c r="C167" t="s">
        <v>61</v>
      </c>
      <c r="D167" t="s">
        <v>889</v>
      </c>
      <c r="E167" t="s">
        <v>14</v>
      </c>
      <c r="F167" t="s">
        <v>890</v>
      </c>
      <c r="G167" t="s">
        <v>490</v>
      </c>
      <c r="H167" t="s">
        <v>197</v>
      </c>
      <c r="I167">
        <f t="shared" si="2"/>
        <v>1</v>
      </c>
      <c r="J167" t="s">
        <v>121</v>
      </c>
      <c r="K167" t="str" cm="1">
        <f t="array" ref="K167">_xlfn.SWITCH(TRIM(UPPER(J167)),
"BUSINESS", "Short Stay",
"CONFERENCE", "Medium Stay",
"VACATION", "Iong Stay",
"HOLIDAY", "Long Stay",
"V", "Leisure",
"UNKNOWN", "Unknown",
"Other")</f>
        <v>Iong Stay</v>
      </c>
    </row>
    <row r="168" spans="1:11" x14ac:dyDescent="0.3">
      <c r="A168" t="s">
        <v>891</v>
      </c>
      <c r="B168" t="s">
        <v>892</v>
      </c>
      <c r="C168" t="s">
        <v>21</v>
      </c>
      <c r="D168" t="s">
        <v>893</v>
      </c>
      <c r="E168" t="s">
        <v>32</v>
      </c>
      <c r="F168" t="s">
        <v>894</v>
      </c>
      <c r="G168" t="s">
        <v>895</v>
      </c>
      <c r="H168" t="s">
        <v>568</v>
      </c>
      <c r="I168">
        <f t="shared" si="2"/>
        <v>4</v>
      </c>
      <c r="J168" t="s">
        <v>121</v>
      </c>
      <c r="K168" t="str" cm="1">
        <f t="array" ref="K168">_xlfn.SWITCH(TRIM(UPPER(J168)),
"BUSINESS", "Short Stay",
"CONFERENCE", "Medium Stay",
"VACATION", "Iong Stay",
"HOLIDAY", "Long Stay",
"V", "Leisure",
"UNKNOWN", "Unknown",
"Other")</f>
        <v>Iong Stay</v>
      </c>
    </row>
    <row r="169" spans="1:11" x14ac:dyDescent="0.3">
      <c r="A169" t="s">
        <v>896</v>
      </c>
      <c r="B169" t="s">
        <v>450</v>
      </c>
      <c r="C169" t="s">
        <v>38</v>
      </c>
      <c r="D169" t="s">
        <v>897</v>
      </c>
      <c r="E169" t="s">
        <v>14</v>
      </c>
      <c r="F169" t="s">
        <v>898</v>
      </c>
      <c r="G169" t="s">
        <v>453</v>
      </c>
      <c r="H169" t="s">
        <v>454</v>
      </c>
      <c r="I169">
        <f t="shared" si="2"/>
        <v>3</v>
      </c>
      <c r="J169" t="s">
        <v>18</v>
      </c>
      <c r="K169" t="str" cm="1">
        <f t="array" ref="K169">_xlfn.SWITCH(TRIM(UPPER(J169)),
"BUSINESS", "Short Stay",
"CONFERENCE", "Medium Stay",
"VACATION", "Iong Stay",
"HOLIDAY", "Long Stay",
"V", "Leisure",
"UNKNOWN", "Unknown",
"Other")</f>
        <v>Short Stay</v>
      </c>
    </row>
    <row r="170" spans="1:11" x14ac:dyDescent="0.3">
      <c r="A170" t="s">
        <v>899</v>
      </c>
      <c r="B170" t="s">
        <v>900</v>
      </c>
      <c r="C170" t="s">
        <v>30</v>
      </c>
      <c r="D170" t="s">
        <v>901</v>
      </c>
      <c r="E170" t="s">
        <v>156</v>
      </c>
      <c r="F170" t="s">
        <v>902</v>
      </c>
      <c r="G170" t="s">
        <v>903</v>
      </c>
      <c r="H170" t="s">
        <v>304</v>
      </c>
      <c r="I170">
        <f t="shared" si="2"/>
        <v>1</v>
      </c>
      <c r="J170" t="s">
        <v>18</v>
      </c>
      <c r="K170" t="str" cm="1">
        <f t="array" ref="K170">_xlfn.SWITCH(TRIM(UPPER(J170)),
"BUSINESS", "Short Stay",
"CONFERENCE", "Medium Stay",
"VACATION", "Iong Stay",
"HOLIDAY", "Long Stay",
"V", "Leisure",
"UNKNOWN", "Unknown",
"Other")</f>
        <v>Short Stay</v>
      </c>
    </row>
    <row r="171" spans="1:11" x14ac:dyDescent="0.3">
      <c r="A171" t="s">
        <v>904</v>
      </c>
      <c r="B171" t="s">
        <v>905</v>
      </c>
      <c r="C171" t="s">
        <v>38</v>
      </c>
      <c r="D171" t="s">
        <v>906</v>
      </c>
      <c r="E171" t="s">
        <v>63</v>
      </c>
      <c r="F171" t="s">
        <v>907</v>
      </c>
      <c r="G171" t="s">
        <v>539</v>
      </c>
      <c r="H171" t="s">
        <v>908</v>
      </c>
      <c r="I171">
        <f t="shared" si="2"/>
        <v>2</v>
      </c>
      <c r="J171" t="s">
        <v>121</v>
      </c>
      <c r="K171" t="str" cm="1">
        <f t="array" ref="K171">_xlfn.SWITCH(TRIM(UPPER(J171)),
"BUSINESS", "Short Stay",
"CONFERENCE", "Medium Stay",
"VACATION", "Iong Stay",
"HOLIDAY", "Long Stay",
"V", "Leisure",
"UNKNOWN", "Unknown",
"Other")</f>
        <v>Iong Stay</v>
      </c>
    </row>
    <row r="172" spans="1:11" x14ac:dyDescent="0.3">
      <c r="A172" t="s">
        <v>909</v>
      </c>
      <c r="B172" t="s">
        <v>910</v>
      </c>
      <c r="C172" t="s">
        <v>75</v>
      </c>
      <c r="D172" t="s">
        <v>911</v>
      </c>
      <c r="E172" t="s">
        <v>430</v>
      </c>
      <c r="F172" t="s">
        <v>912</v>
      </c>
      <c r="G172" t="s">
        <v>913</v>
      </c>
      <c r="H172" t="s">
        <v>856</v>
      </c>
      <c r="I172">
        <f t="shared" si="2"/>
        <v>4</v>
      </c>
      <c r="J172" t="s">
        <v>121</v>
      </c>
      <c r="K172" t="str" cm="1">
        <f t="array" ref="K172">_xlfn.SWITCH(TRIM(UPPER(J172)),
"BUSINESS", "Short Stay",
"CONFERENCE", "Medium Stay",
"VACATION", "Iong Stay",
"HOLIDAY", "Long Stay",
"V", "Leisure",
"UNKNOWN", "Unknown",
"Other")</f>
        <v>Iong Stay</v>
      </c>
    </row>
    <row r="173" spans="1:11" x14ac:dyDescent="0.3">
      <c r="A173" t="s">
        <v>914</v>
      </c>
      <c r="B173" t="s">
        <v>359</v>
      </c>
      <c r="C173" t="s">
        <v>30</v>
      </c>
      <c r="D173" t="s">
        <v>419</v>
      </c>
      <c r="E173" t="s">
        <v>476</v>
      </c>
      <c r="F173" t="s">
        <v>915</v>
      </c>
      <c r="G173" t="s">
        <v>362</v>
      </c>
      <c r="H173" t="s">
        <v>363</v>
      </c>
      <c r="I173">
        <f t="shared" si="2"/>
        <v>1</v>
      </c>
      <c r="J173" t="s">
        <v>18</v>
      </c>
      <c r="K173" t="str" cm="1">
        <f t="array" ref="K173">_xlfn.SWITCH(TRIM(UPPER(J173)),
"BUSINESS", "Short Stay",
"CONFERENCE", "Medium Stay",
"VACATION", "Iong Stay",
"HOLIDAY", "Long Stay",
"V", "Leisure",
"UNKNOWN", "Unknown",
"Other")</f>
        <v>Short Stay</v>
      </c>
    </row>
    <row r="174" spans="1:11" x14ac:dyDescent="0.3">
      <c r="A174" t="s">
        <v>916</v>
      </c>
      <c r="B174" t="s">
        <v>330</v>
      </c>
      <c r="C174" t="s">
        <v>12</v>
      </c>
      <c r="D174" t="s">
        <v>917</v>
      </c>
      <c r="E174" t="s">
        <v>476</v>
      </c>
      <c r="F174" t="s">
        <v>918</v>
      </c>
      <c r="G174" t="s">
        <v>333</v>
      </c>
      <c r="H174" t="s">
        <v>919</v>
      </c>
      <c r="I174">
        <f t="shared" si="2"/>
        <v>5</v>
      </c>
      <c r="J174" t="s">
        <v>44</v>
      </c>
      <c r="K174" t="str" cm="1">
        <f t="array" ref="K174">_xlfn.SWITCH(TRIM(UPPER(J174)),
"BUSINESS", "Short Stay",
"CONFERENCE", "Medium Stay",
"VACATION", "Iong Stay",
"HOLIDAY", "Long Stay",
"V", "Leisure",
"UNKNOWN", "Unknown",
"Other")</f>
        <v>Other</v>
      </c>
    </row>
    <row r="175" spans="1:11" x14ac:dyDescent="0.3">
      <c r="A175" t="s">
        <v>920</v>
      </c>
      <c r="B175" t="s">
        <v>921</v>
      </c>
      <c r="C175" t="s">
        <v>30</v>
      </c>
      <c r="D175" t="s">
        <v>922</v>
      </c>
      <c r="E175" t="s">
        <v>176</v>
      </c>
      <c r="F175" t="s">
        <v>923</v>
      </c>
      <c r="G175" t="s">
        <v>594</v>
      </c>
      <c r="H175" t="s">
        <v>924</v>
      </c>
      <c r="I175">
        <f t="shared" si="2"/>
        <v>3</v>
      </c>
      <c r="J175" t="s">
        <v>18</v>
      </c>
      <c r="K175" t="str" cm="1">
        <f t="array" ref="K175">_xlfn.SWITCH(TRIM(UPPER(J175)),
"BUSINESS", "Short Stay",
"CONFERENCE", "Medium Stay",
"VACATION", "Iong Stay",
"HOLIDAY", "Long Stay",
"V", "Leisure",
"UNKNOWN", "Unknown",
"Other")</f>
        <v>Short Stay</v>
      </c>
    </row>
    <row r="176" spans="1:11" x14ac:dyDescent="0.3">
      <c r="A176" t="s">
        <v>925</v>
      </c>
      <c r="B176" t="s">
        <v>660</v>
      </c>
      <c r="C176" t="s">
        <v>12</v>
      </c>
      <c r="D176" t="s">
        <v>926</v>
      </c>
      <c r="E176" t="s">
        <v>77</v>
      </c>
      <c r="F176" t="s">
        <v>927</v>
      </c>
      <c r="G176" t="s">
        <v>663</v>
      </c>
      <c r="H176" t="s">
        <v>368</v>
      </c>
      <c r="I176">
        <f t="shared" si="2"/>
        <v>4</v>
      </c>
      <c r="J176" t="s">
        <v>18</v>
      </c>
      <c r="K176" t="str" cm="1">
        <f t="array" ref="K176">_xlfn.SWITCH(TRIM(UPPER(J176)),
"BUSINESS", "Short Stay",
"CONFERENCE", "Medium Stay",
"VACATION", "Iong Stay",
"HOLIDAY", "Long Stay",
"V", "Leisure",
"UNKNOWN", "Unknown",
"Other")</f>
        <v>Short Stay</v>
      </c>
    </row>
    <row r="177" spans="1:11" x14ac:dyDescent="0.3">
      <c r="A177" t="s">
        <v>928</v>
      </c>
      <c r="B177" t="s">
        <v>67</v>
      </c>
      <c r="C177" t="s">
        <v>38</v>
      </c>
      <c r="D177" t="s">
        <v>929</v>
      </c>
      <c r="E177" t="s">
        <v>40</v>
      </c>
      <c r="F177" t="s">
        <v>930</v>
      </c>
      <c r="G177" t="s">
        <v>71</v>
      </c>
      <c r="H177" t="s">
        <v>931</v>
      </c>
      <c r="I177">
        <f t="shared" si="2"/>
        <v>5</v>
      </c>
      <c r="J177" t="s">
        <v>44</v>
      </c>
      <c r="K177" t="str" cm="1">
        <f t="array" ref="K177">_xlfn.SWITCH(TRIM(UPPER(J177)),
"BUSINESS", "Short Stay",
"CONFERENCE", "Medium Stay",
"VACATION", "Iong Stay",
"HOLIDAY", "Long Stay",
"V", "Leisure",
"UNKNOWN", "Unknown",
"Other")</f>
        <v>Other</v>
      </c>
    </row>
    <row r="178" spans="1:11" x14ac:dyDescent="0.3">
      <c r="A178" t="s">
        <v>932</v>
      </c>
      <c r="B178" t="s">
        <v>933</v>
      </c>
      <c r="C178" t="s">
        <v>21</v>
      </c>
      <c r="D178" t="s">
        <v>934</v>
      </c>
      <c r="E178" t="s">
        <v>23</v>
      </c>
      <c r="F178" t="s">
        <v>935</v>
      </c>
      <c r="G178" t="s">
        <v>936</v>
      </c>
      <c r="H178" t="s">
        <v>937</v>
      </c>
      <c r="I178">
        <f t="shared" si="2"/>
        <v>2</v>
      </c>
      <c r="J178" t="s">
        <v>44</v>
      </c>
      <c r="K178" t="str" cm="1">
        <f t="array" ref="K178">_xlfn.SWITCH(TRIM(UPPER(J178)),
"BUSINESS", "Short Stay",
"CONFERENCE", "Medium Stay",
"VACATION", "Iong Stay",
"HOLIDAY", "Long Stay",
"V", "Leisure",
"UNKNOWN", "Unknown",
"Other")</f>
        <v>Other</v>
      </c>
    </row>
    <row r="179" spans="1:11" x14ac:dyDescent="0.3">
      <c r="A179" t="s">
        <v>938</v>
      </c>
      <c r="B179" t="s">
        <v>805</v>
      </c>
      <c r="C179" t="s">
        <v>97</v>
      </c>
      <c r="D179" t="s">
        <v>939</v>
      </c>
      <c r="E179" t="s">
        <v>40</v>
      </c>
      <c r="F179" t="s">
        <v>940</v>
      </c>
      <c r="G179" t="s">
        <v>502</v>
      </c>
      <c r="H179" t="s">
        <v>941</v>
      </c>
      <c r="I179">
        <f t="shared" si="2"/>
        <v>3</v>
      </c>
      <c r="J179" t="s">
        <v>121</v>
      </c>
      <c r="K179" t="str" cm="1">
        <f t="array" ref="K179">_xlfn.SWITCH(TRIM(UPPER(J179)),
"BUSINESS", "Short Stay",
"CONFERENCE", "Medium Stay",
"VACATION", "Iong Stay",
"HOLIDAY", "Long Stay",
"V", "Leisure",
"UNKNOWN", "Unknown",
"Other")</f>
        <v>Iong Stay</v>
      </c>
    </row>
    <row r="180" spans="1:11" x14ac:dyDescent="0.3">
      <c r="A180" t="s">
        <v>942</v>
      </c>
      <c r="B180" t="s">
        <v>943</v>
      </c>
      <c r="C180" t="s">
        <v>38</v>
      </c>
      <c r="D180" t="s">
        <v>944</v>
      </c>
      <c r="E180" t="s">
        <v>40</v>
      </c>
      <c r="F180" t="s">
        <v>945</v>
      </c>
      <c r="G180" t="s">
        <v>339</v>
      </c>
      <c r="H180" t="s">
        <v>946</v>
      </c>
      <c r="I180">
        <f t="shared" si="2"/>
        <v>4</v>
      </c>
      <c r="J180" t="s">
        <v>121</v>
      </c>
      <c r="K180" t="str" cm="1">
        <f t="array" ref="K180">_xlfn.SWITCH(TRIM(UPPER(J180)),
"BUSINESS", "Short Stay",
"CONFERENCE", "Medium Stay",
"VACATION", "Iong Stay",
"HOLIDAY", "Long Stay",
"V", "Leisure",
"UNKNOWN", "Unknown",
"Other")</f>
        <v>Iong Stay</v>
      </c>
    </row>
    <row r="181" spans="1:11" x14ac:dyDescent="0.3">
      <c r="A181" t="s">
        <v>947</v>
      </c>
      <c r="B181" t="s">
        <v>445</v>
      </c>
      <c r="C181" t="s">
        <v>75</v>
      </c>
      <c r="D181" t="s">
        <v>698</v>
      </c>
      <c r="E181" t="s">
        <v>201</v>
      </c>
      <c r="F181" t="s">
        <v>948</v>
      </c>
      <c r="G181" t="s">
        <v>448</v>
      </c>
      <c r="H181" t="s">
        <v>191</v>
      </c>
      <c r="I181">
        <f t="shared" si="2"/>
        <v>2</v>
      </c>
      <c r="J181" t="s">
        <v>18</v>
      </c>
      <c r="K181" t="str" cm="1">
        <f t="array" ref="K181">_xlfn.SWITCH(TRIM(UPPER(J181)),
"BUSINESS", "Short Stay",
"CONFERENCE", "Medium Stay",
"VACATION", "Iong Stay",
"HOLIDAY", "Long Stay",
"V", "Leisure",
"UNKNOWN", "Unknown",
"Other")</f>
        <v>Short Stay</v>
      </c>
    </row>
    <row r="182" spans="1:11" x14ac:dyDescent="0.3">
      <c r="A182" t="s">
        <v>949</v>
      </c>
      <c r="B182" t="s">
        <v>708</v>
      </c>
      <c r="C182" t="s">
        <v>97</v>
      </c>
      <c r="D182" t="s">
        <v>929</v>
      </c>
      <c r="E182" t="s">
        <v>546</v>
      </c>
      <c r="F182" t="s">
        <v>950</v>
      </c>
      <c r="G182" t="s">
        <v>658</v>
      </c>
      <c r="H182" t="s">
        <v>951</v>
      </c>
      <c r="I182">
        <f t="shared" si="2"/>
        <v>5</v>
      </c>
      <c r="J182" t="s">
        <v>18</v>
      </c>
      <c r="K182" t="str" cm="1">
        <f t="array" ref="K182">_xlfn.SWITCH(TRIM(UPPER(J182)),
"BUSINESS", "Short Stay",
"CONFERENCE", "Medium Stay",
"VACATION", "Iong Stay",
"HOLIDAY", "Long Stay",
"V", "Leisure",
"UNKNOWN", "Unknown",
"Other")</f>
        <v>Short Stay</v>
      </c>
    </row>
    <row r="183" spans="1:11" x14ac:dyDescent="0.3">
      <c r="A183" t="s">
        <v>952</v>
      </c>
      <c r="B183" t="s">
        <v>46</v>
      </c>
      <c r="C183" t="s">
        <v>30</v>
      </c>
      <c r="D183" t="s">
        <v>953</v>
      </c>
      <c r="E183" t="s">
        <v>430</v>
      </c>
      <c r="F183" t="s">
        <v>954</v>
      </c>
      <c r="G183" t="s">
        <v>50</v>
      </c>
      <c r="H183" t="s">
        <v>260</v>
      </c>
      <c r="I183">
        <f t="shared" si="2"/>
        <v>5</v>
      </c>
      <c r="J183" t="s">
        <v>121</v>
      </c>
      <c r="K183" t="str" cm="1">
        <f t="array" ref="K183">_xlfn.SWITCH(TRIM(UPPER(J183)),
"BUSINESS", "Short Stay",
"CONFERENCE", "Medium Stay",
"VACATION", "Iong Stay",
"HOLIDAY", "Long Stay",
"V", "Leisure",
"UNKNOWN", "Unknown",
"Other")</f>
        <v>Iong Stay</v>
      </c>
    </row>
    <row r="184" spans="1:11" x14ac:dyDescent="0.3">
      <c r="A184" t="s">
        <v>955</v>
      </c>
      <c r="B184" t="s">
        <v>617</v>
      </c>
      <c r="C184" t="s">
        <v>61</v>
      </c>
      <c r="D184" t="s">
        <v>956</v>
      </c>
      <c r="E184" t="s">
        <v>214</v>
      </c>
      <c r="F184" t="s">
        <v>957</v>
      </c>
      <c r="G184" t="s">
        <v>620</v>
      </c>
      <c r="H184" t="s">
        <v>958</v>
      </c>
      <c r="I184">
        <f t="shared" si="2"/>
        <v>2</v>
      </c>
      <c r="J184" t="s">
        <v>27</v>
      </c>
      <c r="K184" t="str" cm="1">
        <f t="array" ref="K184">_xlfn.SWITCH(TRIM(UPPER(J184)),
"BUSINESS", "Short Stay",
"CONFERENCE", "Medium Stay",
"VACATION", "Iong Stay",
"HOLIDAY", "Long Stay",
"V", "Leisure",
"UNKNOWN", "Unknown",
"Other")</f>
        <v>Medium Stay</v>
      </c>
    </row>
    <row r="185" spans="1:11" x14ac:dyDescent="0.3">
      <c r="A185" t="s">
        <v>959</v>
      </c>
      <c r="B185" t="s">
        <v>960</v>
      </c>
      <c r="C185" t="s">
        <v>174</v>
      </c>
      <c r="D185" t="s">
        <v>961</v>
      </c>
      <c r="E185" t="s">
        <v>23</v>
      </c>
      <c r="F185" t="s">
        <v>962</v>
      </c>
      <c r="G185" t="s">
        <v>963</v>
      </c>
      <c r="H185" t="s">
        <v>677</v>
      </c>
      <c r="I185">
        <f t="shared" si="2"/>
        <v>2</v>
      </c>
      <c r="J185" t="s">
        <v>121</v>
      </c>
      <c r="K185" t="str" cm="1">
        <f t="array" ref="K185">_xlfn.SWITCH(TRIM(UPPER(J185)),
"BUSINESS", "Short Stay",
"CONFERENCE", "Medium Stay",
"VACATION", "Iong Stay",
"HOLIDAY", "Long Stay",
"V", "Leisure",
"UNKNOWN", "Unknown",
"Other")</f>
        <v>Iong Stay</v>
      </c>
    </row>
    <row r="186" spans="1:11" x14ac:dyDescent="0.3">
      <c r="A186" t="s">
        <v>964</v>
      </c>
      <c r="B186" t="s">
        <v>257</v>
      </c>
      <c r="C186" t="s">
        <v>30</v>
      </c>
      <c r="D186" t="s">
        <v>965</v>
      </c>
      <c r="E186" t="s">
        <v>32</v>
      </c>
      <c r="F186" t="s">
        <v>966</v>
      </c>
      <c r="G186" t="s">
        <v>260</v>
      </c>
      <c r="H186" t="s">
        <v>159</v>
      </c>
      <c r="I186">
        <f t="shared" si="2"/>
        <v>2</v>
      </c>
      <c r="J186" t="s">
        <v>18</v>
      </c>
      <c r="K186" t="str" cm="1">
        <f t="array" ref="K186">_xlfn.SWITCH(TRIM(UPPER(J186)),
"BUSINESS", "Short Stay",
"CONFERENCE", "Medium Stay",
"VACATION", "Iong Stay",
"HOLIDAY", "Long Stay",
"V", "Leisure",
"UNKNOWN", "Unknown",
"Other")</f>
        <v>Short Stay</v>
      </c>
    </row>
    <row r="187" spans="1:11" x14ac:dyDescent="0.3">
      <c r="A187" t="s">
        <v>967</v>
      </c>
      <c r="B187" t="s">
        <v>968</v>
      </c>
      <c r="C187" t="s">
        <v>54</v>
      </c>
      <c r="D187" t="s">
        <v>969</v>
      </c>
      <c r="E187" t="s">
        <v>546</v>
      </c>
      <c r="F187" t="s">
        <v>970</v>
      </c>
      <c r="G187" t="s">
        <v>971</v>
      </c>
      <c r="H187" t="s">
        <v>861</v>
      </c>
      <c r="I187">
        <f t="shared" si="2"/>
        <v>4</v>
      </c>
      <c r="J187" t="s">
        <v>44</v>
      </c>
      <c r="K187" t="str" cm="1">
        <f t="array" ref="K187">_xlfn.SWITCH(TRIM(UPPER(J187)),
"BUSINESS", "Short Stay",
"CONFERENCE", "Medium Stay",
"VACATION", "Iong Stay",
"HOLIDAY", "Long Stay",
"V", "Leisure",
"UNKNOWN", "Unknown",
"Other")</f>
        <v>Other</v>
      </c>
    </row>
    <row r="188" spans="1:11" x14ac:dyDescent="0.3">
      <c r="A188" t="s">
        <v>972</v>
      </c>
      <c r="B188" t="s">
        <v>973</v>
      </c>
      <c r="C188" t="s">
        <v>30</v>
      </c>
      <c r="D188" t="s">
        <v>91</v>
      </c>
      <c r="E188" t="s">
        <v>85</v>
      </c>
      <c r="F188" t="s">
        <v>974</v>
      </c>
      <c r="G188" t="s">
        <v>626</v>
      </c>
      <c r="H188" t="s">
        <v>126</v>
      </c>
      <c r="I188">
        <f t="shared" si="2"/>
        <v>2</v>
      </c>
      <c r="J188" t="s">
        <v>18</v>
      </c>
      <c r="K188" t="str" cm="1">
        <f t="array" ref="K188">_xlfn.SWITCH(TRIM(UPPER(J188)),
"BUSINESS", "Short Stay",
"CONFERENCE", "Medium Stay",
"VACATION", "Iong Stay",
"HOLIDAY", "Long Stay",
"V", "Leisure",
"UNKNOWN", "Unknown",
"Other")</f>
        <v>Short Stay</v>
      </c>
    </row>
    <row r="189" spans="1:11" x14ac:dyDescent="0.3">
      <c r="A189" t="s">
        <v>975</v>
      </c>
      <c r="B189" t="s">
        <v>976</v>
      </c>
      <c r="C189" t="s">
        <v>61</v>
      </c>
      <c r="D189" t="s">
        <v>977</v>
      </c>
      <c r="E189" t="s">
        <v>458</v>
      </c>
      <c r="F189" t="s">
        <v>978</v>
      </c>
      <c r="G189" t="s">
        <v>496</v>
      </c>
      <c r="H189" t="s">
        <v>363</v>
      </c>
      <c r="I189">
        <f t="shared" si="2"/>
        <v>5</v>
      </c>
      <c r="J189" t="s">
        <v>44</v>
      </c>
      <c r="K189" t="str" cm="1">
        <f t="array" ref="K189">_xlfn.SWITCH(TRIM(UPPER(J189)),
"BUSINESS", "Short Stay",
"CONFERENCE", "Medium Stay",
"VACATION", "Iong Stay",
"HOLIDAY", "Long Stay",
"V", "Leisure",
"UNKNOWN", "Unknown",
"Other")</f>
        <v>Other</v>
      </c>
    </row>
    <row r="190" spans="1:11" x14ac:dyDescent="0.3">
      <c r="A190" t="s">
        <v>979</v>
      </c>
      <c r="B190" t="s">
        <v>980</v>
      </c>
      <c r="C190" t="s">
        <v>21</v>
      </c>
      <c r="D190" t="s">
        <v>981</v>
      </c>
      <c r="E190" t="s">
        <v>458</v>
      </c>
      <c r="F190" t="s">
        <v>982</v>
      </c>
      <c r="G190" t="s">
        <v>983</v>
      </c>
      <c r="H190" t="s">
        <v>984</v>
      </c>
      <c r="I190">
        <f t="shared" si="2"/>
        <v>2</v>
      </c>
      <c r="J190" t="s">
        <v>121</v>
      </c>
      <c r="K190" t="str" cm="1">
        <f t="array" ref="K190">_xlfn.SWITCH(TRIM(UPPER(J190)),
"BUSINESS", "Short Stay",
"CONFERENCE", "Medium Stay",
"VACATION", "Iong Stay",
"HOLIDAY", "Long Stay",
"V", "Leisure",
"UNKNOWN", "Unknown",
"Other")</f>
        <v>Iong Stay</v>
      </c>
    </row>
    <row r="191" spans="1:11" x14ac:dyDescent="0.3">
      <c r="A191" t="s">
        <v>985</v>
      </c>
      <c r="B191" t="s">
        <v>986</v>
      </c>
      <c r="C191" t="s">
        <v>83</v>
      </c>
      <c r="D191" t="s">
        <v>987</v>
      </c>
      <c r="E191" t="s">
        <v>314</v>
      </c>
      <c r="F191" t="s">
        <v>988</v>
      </c>
      <c r="G191" t="s">
        <v>770</v>
      </c>
      <c r="H191" t="s">
        <v>989</v>
      </c>
      <c r="I191">
        <f t="shared" si="2"/>
        <v>3</v>
      </c>
      <c r="J191" t="s">
        <v>121</v>
      </c>
      <c r="K191" t="str" cm="1">
        <f t="array" ref="K191">_xlfn.SWITCH(TRIM(UPPER(J191)),
"BUSINESS", "Short Stay",
"CONFERENCE", "Medium Stay",
"VACATION", "Iong Stay",
"HOLIDAY", "Long Stay",
"V", "Leisure",
"UNKNOWN", "Unknown",
"Other")</f>
        <v>Iong Stay</v>
      </c>
    </row>
    <row r="192" spans="1:11" x14ac:dyDescent="0.3">
      <c r="A192" t="s">
        <v>990</v>
      </c>
      <c r="B192" t="s">
        <v>991</v>
      </c>
      <c r="C192" t="s">
        <v>54</v>
      </c>
      <c r="D192" t="s">
        <v>992</v>
      </c>
      <c r="E192" t="s">
        <v>40</v>
      </c>
      <c r="F192" t="s">
        <v>993</v>
      </c>
      <c r="G192" t="s">
        <v>994</v>
      </c>
      <c r="H192" t="s">
        <v>238</v>
      </c>
      <c r="I192">
        <f t="shared" si="2"/>
        <v>2</v>
      </c>
      <c r="J192" t="s">
        <v>44</v>
      </c>
      <c r="K192" t="str" cm="1">
        <f t="array" ref="K192">_xlfn.SWITCH(TRIM(UPPER(J192)),
"BUSINESS", "Short Stay",
"CONFERENCE", "Medium Stay",
"VACATION", "Iong Stay",
"HOLIDAY", "Long Stay",
"V", "Leisure",
"UNKNOWN", "Unknown",
"Other")</f>
        <v>Other</v>
      </c>
    </row>
    <row r="193" spans="1:11" x14ac:dyDescent="0.3">
      <c r="A193" t="s">
        <v>995</v>
      </c>
      <c r="B193" t="s">
        <v>996</v>
      </c>
      <c r="C193" t="s">
        <v>54</v>
      </c>
      <c r="D193" t="s">
        <v>649</v>
      </c>
      <c r="E193" t="s">
        <v>69</v>
      </c>
      <c r="F193" t="s">
        <v>997</v>
      </c>
      <c r="G193" t="s">
        <v>998</v>
      </c>
      <c r="H193" t="s">
        <v>999</v>
      </c>
      <c r="I193">
        <f t="shared" si="2"/>
        <v>1</v>
      </c>
      <c r="J193" t="s">
        <v>18</v>
      </c>
      <c r="K193" t="str" cm="1">
        <f t="array" ref="K193">_xlfn.SWITCH(TRIM(UPPER(J193)),
"BUSINESS", "Short Stay",
"CONFERENCE", "Medium Stay",
"VACATION", "Iong Stay",
"HOLIDAY", "Long Stay",
"V", "Leisure",
"UNKNOWN", "Unknown",
"Other")</f>
        <v>Short Stay</v>
      </c>
    </row>
    <row r="194" spans="1:11" x14ac:dyDescent="0.3">
      <c r="A194" t="s">
        <v>1000</v>
      </c>
      <c r="B194" t="s">
        <v>1001</v>
      </c>
      <c r="C194" t="s">
        <v>38</v>
      </c>
      <c r="D194" t="s">
        <v>466</v>
      </c>
      <c r="E194" t="s">
        <v>430</v>
      </c>
      <c r="F194" t="s">
        <v>1002</v>
      </c>
      <c r="G194" t="s">
        <v>233</v>
      </c>
      <c r="H194" t="s">
        <v>196</v>
      </c>
      <c r="I194">
        <f t="shared" si="2"/>
        <v>1</v>
      </c>
      <c r="J194" t="s">
        <v>27</v>
      </c>
      <c r="K194" t="str" cm="1">
        <f t="array" ref="K194">_xlfn.SWITCH(TRIM(UPPER(J194)),
"BUSINESS", "Short Stay",
"CONFERENCE", "Medium Stay",
"VACATION", "Iong Stay",
"HOLIDAY", "Long Stay",
"V", "Leisure",
"UNKNOWN", "Unknown",
"Other")</f>
        <v>Medium Stay</v>
      </c>
    </row>
    <row r="195" spans="1:11" x14ac:dyDescent="0.3">
      <c r="A195" t="s">
        <v>1003</v>
      </c>
      <c r="B195" t="s">
        <v>1004</v>
      </c>
      <c r="C195" t="s">
        <v>30</v>
      </c>
      <c r="D195" t="s">
        <v>1005</v>
      </c>
      <c r="E195" t="s">
        <v>85</v>
      </c>
      <c r="F195" t="s">
        <v>1006</v>
      </c>
      <c r="G195" t="s">
        <v>317</v>
      </c>
      <c r="H195" t="s">
        <v>1007</v>
      </c>
      <c r="I195">
        <f t="shared" ref="I195:I258" si="3">H195-G195</f>
        <v>4</v>
      </c>
      <c r="J195" t="s">
        <v>121</v>
      </c>
      <c r="K195" t="str" cm="1">
        <f t="array" ref="K195">_xlfn.SWITCH(TRIM(UPPER(J195)),
"BUSINESS", "Short Stay",
"CONFERENCE", "Medium Stay",
"VACATION", "Iong Stay",
"HOLIDAY", "Long Stay",
"V", "Leisure",
"UNKNOWN", "Unknown",
"Other")</f>
        <v>Iong Stay</v>
      </c>
    </row>
    <row r="196" spans="1:11" x14ac:dyDescent="0.3">
      <c r="A196" t="s">
        <v>1008</v>
      </c>
      <c r="B196" t="s">
        <v>1009</v>
      </c>
      <c r="C196" t="s">
        <v>21</v>
      </c>
      <c r="D196" t="s">
        <v>1010</v>
      </c>
      <c r="E196" t="s">
        <v>40</v>
      </c>
      <c r="F196" t="s">
        <v>1011</v>
      </c>
      <c r="G196" t="s">
        <v>1012</v>
      </c>
      <c r="H196" t="s">
        <v>216</v>
      </c>
      <c r="I196">
        <f t="shared" si="3"/>
        <v>3</v>
      </c>
      <c r="J196" t="s">
        <v>27</v>
      </c>
      <c r="K196" t="str" cm="1">
        <f t="array" ref="K196">_xlfn.SWITCH(TRIM(UPPER(J196)),
"BUSINESS", "Short Stay",
"CONFERENCE", "Medium Stay",
"VACATION", "Iong Stay",
"HOLIDAY", "Long Stay",
"V", "Leisure",
"UNKNOWN", "Unknown",
"Other")</f>
        <v>Medium Stay</v>
      </c>
    </row>
    <row r="197" spans="1:11" x14ac:dyDescent="0.3">
      <c r="A197" t="s">
        <v>1013</v>
      </c>
      <c r="B197" t="s">
        <v>123</v>
      </c>
      <c r="C197" t="s">
        <v>75</v>
      </c>
      <c r="D197" t="s">
        <v>1014</v>
      </c>
      <c r="E197" t="s">
        <v>117</v>
      </c>
      <c r="F197" t="s">
        <v>1015</v>
      </c>
      <c r="G197" t="s">
        <v>126</v>
      </c>
      <c r="H197" t="s">
        <v>421</v>
      </c>
      <c r="I197">
        <f t="shared" si="3"/>
        <v>4</v>
      </c>
      <c r="J197" t="s">
        <v>27</v>
      </c>
      <c r="K197" t="str" cm="1">
        <f t="array" ref="K197">_xlfn.SWITCH(TRIM(UPPER(J197)),
"BUSINESS", "Short Stay",
"CONFERENCE", "Medium Stay",
"VACATION", "Iong Stay",
"HOLIDAY", "Long Stay",
"V", "Leisure",
"UNKNOWN", "Unknown",
"Other")</f>
        <v>Medium Stay</v>
      </c>
    </row>
    <row r="198" spans="1:11" x14ac:dyDescent="0.3">
      <c r="A198" t="s">
        <v>1016</v>
      </c>
      <c r="B198" t="s">
        <v>1017</v>
      </c>
      <c r="C198" t="s">
        <v>174</v>
      </c>
      <c r="D198" t="s">
        <v>1018</v>
      </c>
      <c r="E198" t="s">
        <v>32</v>
      </c>
      <c r="F198" t="s">
        <v>1019</v>
      </c>
      <c r="G198" t="s">
        <v>1020</v>
      </c>
      <c r="H198" t="s">
        <v>303</v>
      </c>
      <c r="I198">
        <f t="shared" si="3"/>
        <v>1</v>
      </c>
      <c r="J198" t="s">
        <v>18</v>
      </c>
      <c r="K198" t="str" cm="1">
        <f t="array" ref="K198">_xlfn.SWITCH(TRIM(UPPER(J198)),
"BUSINESS", "Short Stay",
"CONFERENCE", "Medium Stay",
"VACATION", "Iong Stay",
"HOLIDAY", "Long Stay",
"V", "Leisure",
"UNKNOWN", "Unknown",
"Other")</f>
        <v>Short Stay</v>
      </c>
    </row>
    <row r="199" spans="1:11" x14ac:dyDescent="0.3">
      <c r="A199" t="s">
        <v>1021</v>
      </c>
      <c r="B199" t="s">
        <v>1022</v>
      </c>
      <c r="C199" t="s">
        <v>174</v>
      </c>
      <c r="D199" t="s">
        <v>1023</v>
      </c>
      <c r="E199" t="s">
        <v>85</v>
      </c>
      <c r="F199" t="s">
        <v>1024</v>
      </c>
      <c r="G199" t="s">
        <v>1025</v>
      </c>
      <c r="H199" t="s">
        <v>1026</v>
      </c>
      <c r="I199">
        <f t="shared" si="3"/>
        <v>2</v>
      </c>
      <c r="J199" t="s">
        <v>44</v>
      </c>
      <c r="K199" t="str" cm="1">
        <f t="array" ref="K199">_xlfn.SWITCH(TRIM(UPPER(J199)),
"BUSINESS", "Short Stay",
"CONFERENCE", "Medium Stay",
"VACATION", "Iong Stay",
"HOLIDAY", "Long Stay",
"V", "Leisure",
"UNKNOWN", "Unknown",
"Other")</f>
        <v>Other</v>
      </c>
    </row>
    <row r="200" spans="1:11" x14ac:dyDescent="0.3">
      <c r="A200" t="s">
        <v>1027</v>
      </c>
      <c r="B200" t="s">
        <v>1028</v>
      </c>
      <c r="C200" t="s">
        <v>61</v>
      </c>
      <c r="D200" t="s">
        <v>462</v>
      </c>
      <c r="E200" t="s">
        <v>476</v>
      </c>
      <c r="F200" t="s">
        <v>1029</v>
      </c>
      <c r="G200" t="s">
        <v>1030</v>
      </c>
      <c r="H200" t="s">
        <v>415</v>
      </c>
      <c r="I200">
        <f t="shared" si="3"/>
        <v>5</v>
      </c>
      <c r="J200" t="s">
        <v>27</v>
      </c>
      <c r="K200" t="str" cm="1">
        <f t="array" ref="K200">_xlfn.SWITCH(TRIM(UPPER(J200)),
"BUSINESS", "Short Stay",
"CONFERENCE", "Medium Stay",
"VACATION", "Iong Stay",
"HOLIDAY", "Long Stay",
"V", "Leisure",
"UNKNOWN", "Unknown",
"Other")</f>
        <v>Medium Stay</v>
      </c>
    </row>
    <row r="201" spans="1:11" x14ac:dyDescent="0.3">
      <c r="A201" t="s">
        <v>1031</v>
      </c>
      <c r="B201" t="s">
        <v>1032</v>
      </c>
      <c r="C201" t="s">
        <v>97</v>
      </c>
      <c r="D201" t="s">
        <v>1033</v>
      </c>
      <c r="E201" t="s">
        <v>63</v>
      </c>
      <c r="F201" t="s">
        <v>1034</v>
      </c>
      <c r="G201" t="s">
        <v>1035</v>
      </c>
      <c r="H201" t="s">
        <v>677</v>
      </c>
      <c r="I201">
        <f t="shared" si="3"/>
        <v>5</v>
      </c>
      <c r="J201" t="s">
        <v>44</v>
      </c>
      <c r="K201" t="str" cm="1">
        <f t="array" ref="K201">_xlfn.SWITCH(TRIM(UPPER(J201)),
"BUSINESS", "Short Stay",
"CONFERENCE", "Medium Stay",
"VACATION", "Iong Stay",
"HOLIDAY", "Long Stay",
"V", "Leisure",
"UNKNOWN", "Unknown",
"Other")</f>
        <v>Other</v>
      </c>
    </row>
    <row r="202" spans="1:11" x14ac:dyDescent="0.3">
      <c r="A202" t="s">
        <v>1036</v>
      </c>
      <c r="B202" t="s">
        <v>285</v>
      </c>
      <c r="C202" t="s">
        <v>61</v>
      </c>
      <c r="D202" t="s">
        <v>1037</v>
      </c>
      <c r="E202" t="s">
        <v>149</v>
      </c>
      <c r="F202" t="s">
        <v>1038</v>
      </c>
      <c r="G202" t="s">
        <v>288</v>
      </c>
      <c r="H202" t="s">
        <v>368</v>
      </c>
      <c r="I202">
        <f t="shared" si="3"/>
        <v>3</v>
      </c>
      <c r="J202" t="s">
        <v>121</v>
      </c>
      <c r="K202" t="str" cm="1">
        <f t="array" ref="K202">_xlfn.SWITCH(TRIM(UPPER(J202)),
"BUSINESS", "Short Stay",
"CONFERENCE", "Medium Stay",
"VACATION", "Iong Stay",
"HOLIDAY", "Long Stay",
"V", "Leisure",
"UNKNOWN", "Unknown",
"Other")</f>
        <v>Iong Stay</v>
      </c>
    </row>
    <row r="203" spans="1:11" x14ac:dyDescent="0.3">
      <c r="A203" t="s">
        <v>1039</v>
      </c>
      <c r="B203" t="s">
        <v>1040</v>
      </c>
      <c r="C203" t="s">
        <v>75</v>
      </c>
      <c r="D203" t="s">
        <v>1041</v>
      </c>
      <c r="E203" t="s">
        <v>176</v>
      </c>
      <c r="F203" t="s">
        <v>1042</v>
      </c>
      <c r="G203" t="s">
        <v>1043</v>
      </c>
      <c r="H203" t="s">
        <v>877</v>
      </c>
      <c r="I203">
        <f t="shared" si="3"/>
        <v>4</v>
      </c>
      <c r="J203" t="s">
        <v>44</v>
      </c>
      <c r="K203" t="str" cm="1">
        <f t="array" ref="K203">_xlfn.SWITCH(TRIM(UPPER(J203)),
"BUSINESS", "Short Stay",
"CONFERENCE", "Medium Stay",
"VACATION", "Iong Stay",
"HOLIDAY", "Long Stay",
"V", "Leisure",
"UNKNOWN", "Unknown",
"Other")</f>
        <v>Other</v>
      </c>
    </row>
    <row r="204" spans="1:11" x14ac:dyDescent="0.3">
      <c r="A204" t="s">
        <v>1044</v>
      </c>
      <c r="B204" t="s">
        <v>1045</v>
      </c>
      <c r="C204" t="s">
        <v>12</v>
      </c>
      <c r="D204" t="s">
        <v>1046</v>
      </c>
      <c r="E204" t="s">
        <v>40</v>
      </c>
      <c r="F204" t="s">
        <v>1047</v>
      </c>
      <c r="G204" t="s">
        <v>1048</v>
      </c>
      <c r="H204" t="s">
        <v>139</v>
      </c>
      <c r="I204">
        <f t="shared" si="3"/>
        <v>3</v>
      </c>
      <c r="J204" t="s">
        <v>44</v>
      </c>
      <c r="K204" t="str" cm="1">
        <f t="array" ref="K204">_xlfn.SWITCH(TRIM(UPPER(J204)),
"BUSINESS", "Short Stay",
"CONFERENCE", "Medium Stay",
"VACATION", "Iong Stay",
"HOLIDAY", "Long Stay",
"V", "Leisure",
"UNKNOWN", "Unknown",
"Other")</f>
        <v>Other</v>
      </c>
    </row>
    <row r="205" spans="1:11" x14ac:dyDescent="0.3">
      <c r="A205" t="s">
        <v>1049</v>
      </c>
      <c r="B205" t="s">
        <v>1050</v>
      </c>
      <c r="C205" t="s">
        <v>97</v>
      </c>
      <c r="D205" t="s">
        <v>1051</v>
      </c>
      <c r="E205" t="s">
        <v>69</v>
      </c>
      <c r="F205" t="s">
        <v>1052</v>
      </c>
      <c r="G205" t="s">
        <v>1053</v>
      </c>
      <c r="H205" t="s">
        <v>813</v>
      </c>
      <c r="I205">
        <f t="shared" si="3"/>
        <v>2</v>
      </c>
      <c r="J205" t="s">
        <v>44</v>
      </c>
      <c r="K205" t="str" cm="1">
        <f t="array" ref="K205">_xlfn.SWITCH(TRIM(UPPER(J205)),
"BUSINESS", "Short Stay",
"CONFERENCE", "Medium Stay",
"VACATION", "Iong Stay",
"HOLIDAY", "Long Stay",
"V", "Leisure",
"UNKNOWN", "Unknown",
"Other")</f>
        <v>Other</v>
      </c>
    </row>
    <row r="206" spans="1:11" x14ac:dyDescent="0.3">
      <c r="A206" t="s">
        <v>1054</v>
      </c>
      <c r="B206" t="s">
        <v>1055</v>
      </c>
      <c r="C206" t="s">
        <v>12</v>
      </c>
      <c r="D206" t="s">
        <v>1056</v>
      </c>
      <c r="E206" t="s">
        <v>77</v>
      </c>
      <c r="F206" t="s">
        <v>1057</v>
      </c>
      <c r="G206" t="s">
        <v>310</v>
      </c>
      <c r="H206" t="s">
        <v>1058</v>
      </c>
      <c r="I206">
        <f t="shared" si="3"/>
        <v>2</v>
      </c>
      <c r="J206" t="s">
        <v>27</v>
      </c>
      <c r="K206" t="str" cm="1">
        <f t="array" ref="K206">_xlfn.SWITCH(TRIM(UPPER(J206)),
"BUSINESS", "Short Stay",
"CONFERENCE", "Medium Stay",
"VACATION", "Iong Stay",
"HOLIDAY", "Long Stay",
"V", "Leisure",
"UNKNOWN", "Unknown",
"Other")</f>
        <v>Medium Stay</v>
      </c>
    </row>
    <row r="207" spans="1:11" x14ac:dyDescent="0.3">
      <c r="A207" t="s">
        <v>1059</v>
      </c>
      <c r="B207" t="s">
        <v>504</v>
      </c>
      <c r="C207" t="s">
        <v>21</v>
      </c>
      <c r="D207" t="s">
        <v>1060</v>
      </c>
      <c r="E207" t="s">
        <v>201</v>
      </c>
      <c r="F207" t="s">
        <v>1061</v>
      </c>
      <c r="G207" t="s">
        <v>289</v>
      </c>
      <c r="H207" t="s">
        <v>93</v>
      </c>
      <c r="I207">
        <f t="shared" si="3"/>
        <v>1</v>
      </c>
      <c r="J207" t="s">
        <v>44</v>
      </c>
      <c r="K207" t="str" cm="1">
        <f t="array" ref="K207">_xlfn.SWITCH(TRIM(UPPER(J207)),
"BUSINESS", "Short Stay",
"CONFERENCE", "Medium Stay",
"VACATION", "Iong Stay",
"HOLIDAY", "Long Stay",
"V", "Leisure",
"UNKNOWN", "Unknown",
"Other")</f>
        <v>Other</v>
      </c>
    </row>
    <row r="208" spans="1:11" x14ac:dyDescent="0.3">
      <c r="A208" t="s">
        <v>1062</v>
      </c>
      <c r="B208" t="s">
        <v>1063</v>
      </c>
      <c r="C208" t="s">
        <v>75</v>
      </c>
      <c r="D208" t="s">
        <v>1064</v>
      </c>
      <c r="E208" t="s">
        <v>117</v>
      </c>
      <c r="F208" t="s">
        <v>1065</v>
      </c>
      <c r="G208" t="s">
        <v>1066</v>
      </c>
      <c r="H208" t="s">
        <v>197</v>
      </c>
      <c r="I208">
        <f t="shared" si="3"/>
        <v>2</v>
      </c>
      <c r="J208" t="s">
        <v>18</v>
      </c>
      <c r="K208" t="str" cm="1">
        <f t="array" ref="K208">_xlfn.SWITCH(TRIM(UPPER(J208)),
"BUSINESS", "Short Stay",
"CONFERENCE", "Medium Stay",
"VACATION", "Iong Stay",
"HOLIDAY", "Long Stay",
"V", "Leisure",
"UNKNOWN", "Unknown",
"Other")</f>
        <v>Short Stay</v>
      </c>
    </row>
    <row r="209" spans="1:11" x14ac:dyDescent="0.3">
      <c r="A209" t="s">
        <v>1067</v>
      </c>
      <c r="B209" t="s">
        <v>46</v>
      </c>
      <c r="C209" t="s">
        <v>83</v>
      </c>
      <c r="D209" t="s">
        <v>1068</v>
      </c>
      <c r="E209" t="s">
        <v>63</v>
      </c>
      <c r="F209" t="s">
        <v>1069</v>
      </c>
      <c r="G209" t="s">
        <v>50</v>
      </c>
      <c r="H209" t="s">
        <v>51</v>
      </c>
      <c r="I209">
        <f t="shared" si="3"/>
        <v>1</v>
      </c>
      <c r="J209" t="s">
        <v>18</v>
      </c>
      <c r="K209" t="str" cm="1">
        <f t="array" ref="K209">_xlfn.SWITCH(TRIM(UPPER(J209)),
"BUSINESS", "Short Stay",
"CONFERENCE", "Medium Stay",
"VACATION", "Iong Stay",
"HOLIDAY", "Long Stay",
"V", "Leisure",
"UNKNOWN", "Unknown",
"Other")</f>
        <v>Short Stay</v>
      </c>
    </row>
    <row r="210" spans="1:11" x14ac:dyDescent="0.3">
      <c r="A210" t="s">
        <v>1070</v>
      </c>
      <c r="B210" t="s">
        <v>1071</v>
      </c>
      <c r="C210" t="s">
        <v>30</v>
      </c>
      <c r="D210" t="s">
        <v>236</v>
      </c>
      <c r="E210" t="s">
        <v>48</v>
      </c>
      <c r="F210" t="s">
        <v>1072</v>
      </c>
      <c r="G210" t="s">
        <v>1073</v>
      </c>
      <c r="H210" t="s">
        <v>373</v>
      </c>
      <c r="I210">
        <f t="shared" si="3"/>
        <v>1</v>
      </c>
      <c r="J210" t="s">
        <v>44</v>
      </c>
      <c r="K210" t="str" cm="1">
        <f t="array" ref="K210">_xlfn.SWITCH(TRIM(UPPER(J210)),
"BUSINESS", "Short Stay",
"CONFERENCE", "Medium Stay",
"VACATION", "Iong Stay",
"HOLIDAY", "Long Stay",
"V", "Leisure",
"UNKNOWN", "Unknown",
"Other")</f>
        <v>Other</v>
      </c>
    </row>
    <row r="211" spans="1:11" x14ac:dyDescent="0.3">
      <c r="A211" t="s">
        <v>1074</v>
      </c>
      <c r="B211" t="s">
        <v>1075</v>
      </c>
      <c r="C211" t="s">
        <v>12</v>
      </c>
      <c r="D211" t="s">
        <v>1076</v>
      </c>
      <c r="E211" t="s">
        <v>40</v>
      </c>
      <c r="F211" t="s">
        <v>1077</v>
      </c>
      <c r="G211" t="s">
        <v>1078</v>
      </c>
      <c r="H211" t="s">
        <v>265</v>
      </c>
      <c r="I211">
        <f t="shared" si="3"/>
        <v>2</v>
      </c>
      <c r="J211" t="s">
        <v>18</v>
      </c>
      <c r="K211" t="str" cm="1">
        <f t="array" ref="K211">_xlfn.SWITCH(TRIM(UPPER(J211)),
"BUSINESS", "Short Stay",
"CONFERENCE", "Medium Stay",
"VACATION", "Iong Stay",
"HOLIDAY", "Long Stay",
"V", "Leisure",
"UNKNOWN", "Unknown",
"Other")</f>
        <v>Short Stay</v>
      </c>
    </row>
    <row r="212" spans="1:11" x14ac:dyDescent="0.3">
      <c r="A212" t="s">
        <v>1079</v>
      </c>
      <c r="B212" t="s">
        <v>154</v>
      </c>
      <c r="C212" t="s">
        <v>30</v>
      </c>
      <c r="D212" t="s">
        <v>1080</v>
      </c>
      <c r="E212" t="s">
        <v>77</v>
      </c>
      <c r="F212" t="s">
        <v>1081</v>
      </c>
      <c r="G212" t="s">
        <v>158</v>
      </c>
      <c r="H212" t="s">
        <v>260</v>
      </c>
      <c r="I212">
        <f t="shared" si="3"/>
        <v>2</v>
      </c>
      <c r="J212" t="s">
        <v>18</v>
      </c>
      <c r="K212" t="str" cm="1">
        <f t="array" ref="K212">_xlfn.SWITCH(TRIM(UPPER(J212)),
"BUSINESS", "Short Stay",
"CONFERENCE", "Medium Stay",
"VACATION", "Iong Stay",
"HOLIDAY", "Long Stay",
"V", "Leisure",
"UNKNOWN", "Unknown",
"Other")</f>
        <v>Short Stay</v>
      </c>
    </row>
    <row r="213" spans="1:11" x14ac:dyDescent="0.3">
      <c r="A213" t="s">
        <v>1082</v>
      </c>
      <c r="B213" t="s">
        <v>1083</v>
      </c>
      <c r="C213" t="s">
        <v>83</v>
      </c>
      <c r="D213" t="s">
        <v>55</v>
      </c>
      <c r="E213" t="s">
        <v>85</v>
      </c>
      <c r="F213" t="s">
        <v>1084</v>
      </c>
      <c r="G213" t="s">
        <v>554</v>
      </c>
      <c r="H213" t="s">
        <v>1085</v>
      </c>
      <c r="I213">
        <f t="shared" si="3"/>
        <v>1</v>
      </c>
      <c r="J213" t="s">
        <v>44</v>
      </c>
      <c r="K213" t="str" cm="1">
        <f t="array" ref="K213">_xlfn.SWITCH(TRIM(UPPER(J213)),
"BUSINESS", "Short Stay",
"CONFERENCE", "Medium Stay",
"VACATION", "Iong Stay",
"HOLIDAY", "Long Stay",
"V", "Leisure",
"UNKNOWN", "Unknown",
"Other")</f>
        <v>Other</v>
      </c>
    </row>
    <row r="214" spans="1:11" x14ac:dyDescent="0.3">
      <c r="A214" t="s">
        <v>1086</v>
      </c>
      <c r="B214" t="s">
        <v>1087</v>
      </c>
      <c r="C214" t="s">
        <v>12</v>
      </c>
      <c r="D214" t="s">
        <v>1088</v>
      </c>
      <c r="E214" t="s">
        <v>117</v>
      </c>
      <c r="F214" t="s">
        <v>1089</v>
      </c>
      <c r="G214" t="s">
        <v>1090</v>
      </c>
      <c r="H214" t="s">
        <v>1091</v>
      </c>
      <c r="I214">
        <f t="shared" si="3"/>
        <v>1</v>
      </c>
      <c r="J214" t="s">
        <v>27</v>
      </c>
      <c r="K214" t="str" cm="1">
        <f t="array" ref="K214">_xlfn.SWITCH(TRIM(UPPER(J214)),
"BUSINESS", "Short Stay",
"CONFERENCE", "Medium Stay",
"VACATION", "Iong Stay",
"HOLIDAY", "Long Stay",
"V", "Leisure",
"UNKNOWN", "Unknown",
"Other")</f>
        <v>Medium Stay</v>
      </c>
    </row>
    <row r="215" spans="1:11" x14ac:dyDescent="0.3">
      <c r="A215" t="s">
        <v>1092</v>
      </c>
      <c r="B215" t="s">
        <v>1093</v>
      </c>
      <c r="C215" t="s">
        <v>21</v>
      </c>
      <c r="D215" t="s">
        <v>1094</v>
      </c>
      <c r="E215" t="s">
        <v>430</v>
      </c>
      <c r="F215" t="s">
        <v>1095</v>
      </c>
      <c r="G215" t="s">
        <v>1096</v>
      </c>
      <c r="H215" t="s">
        <v>685</v>
      </c>
      <c r="I215">
        <f t="shared" si="3"/>
        <v>1</v>
      </c>
      <c r="J215" t="s">
        <v>27</v>
      </c>
      <c r="K215" t="str" cm="1">
        <f t="array" ref="K215">_xlfn.SWITCH(TRIM(UPPER(J215)),
"BUSINESS", "Short Stay",
"CONFERENCE", "Medium Stay",
"VACATION", "Iong Stay",
"HOLIDAY", "Long Stay",
"V", "Leisure",
"UNKNOWN", "Unknown",
"Other")</f>
        <v>Medium Stay</v>
      </c>
    </row>
    <row r="216" spans="1:11" x14ac:dyDescent="0.3">
      <c r="A216" t="s">
        <v>1097</v>
      </c>
      <c r="B216" t="s">
        <v>900</v>
      </c>
      <c r="C216" t="s">
        <v>30</v>
      </c>
      <c r="D216" t="s">
        <v>1098</v>
      </c>
      <c r="E216" t="s">
        <v>314</v>
      </c>
      <c r="F216" t="s">
        <v>1099</v>
      </c>
      <c r="G216" t="s">
        <v>903</v>
      </c>
      <c r="H216" t="s">
        <v>1100</v>
      </c>
      <c r="I216">
        <f t="shared" si="3"/>
        <v>2</v>
      </c>
      <c r="J216" t="s">
        <v>44</v>
      </c>
      <c r="K216" t="str" cm="1">
        <f t="array" ref="K216">_xlfn.SWITCH(TRIM(UPPER(J216)),
"BUSINESS", "Short Stay",
"CONFERENCE", "Medium Stay",
"VACATION", "Iong Stay",
"HOLIDAY", "Long Stay",
"V", "Leisure",
"UNKNOWN", "Unknown",
"Other")</f>
        <v>Other</v>
      </c>
    </row>
    <row r="217" spans="1:11" x14ac:dyDescent="0.3">
      <c r="A217" t="s">
        <v>1101</v>
      </c>
      <c r="B217" t="s">
        <v>1102</v>
      </c>
      <c r="C217" t="s">
        <v>30</v>
      </c>
      <c r="D217" t="s">
        <v>1103</v>
      </c>
      <c r="E217" t="s">
        <v>85</v>
      </c>
      <c r="F217" t="s">
        <v>1104</v>
      </c>
      <c r="G217" t="s">
        <v>1105</v>
      </c>
      <c r="H217" t="s">
        <v>1025</v>
      </c>
      <c r="I217">
        <f t="shared" si="3"/>
        <v>1</v>
      </c>
      <c r="J217" t="s">
        <v>27</v>
      </c>
      <c r="K217" t="str" cm="1">
        <f t="array" ref="K217">_xlfn.SWITCH(TRIM(UPPER(J217)),
"BUSINESS", "Short Stay",
"CONFERENCE", "Medium Stay",
"VACATION", "Iong Stay",
"HOLIDAY", "Long Stay",
"V", "Leisure",
"UNKNOWN", "Unknown",
"Other")</f>
        <v>Medium Stay</v>
      </c>
    </row>
    <row r="218" spans="1:11" x14ac:dyDescent="0.3">
      <c r="A218" t="s">
        <v>1106</v>
      </c>
      <c r="B218" t="s">
        <v>882</v>
      </c>
      <c r="C218" t="s">
        <v>38</v>
      </c>
      <c r="D218" t="s">
        <v>1107</v>
      </c>
      <c r="E218" t="s">
        <v>69</v>
      </c>
      <c r="F218" t="s">
        <v>1108</v>
      </c>
      <c r="G218" t="s">
        <v>885</v>
      </c>
      <c r="H218" t="s">
        <v>1109</v>
      </c>
      <c r="I218">
        <f t="shared" si="3"/>
        <v>5</v>
      </c>
      <c r="J218" t="s">
        <v>121</v>
      </c>
      <c r="K218" t="str" cm="1">
        <f t="array" ref="K218">_xlfn.SWITCH(TRIM(UPPER(J218)),
"BUSINESS", "Short Stay",
"CONFERENCE", "Medium Stay",
"VACATION", "Iong Stay",
"HOLIDAY", "Long Stay",
"V", "Leisure",
"UNKNOWN", "Unknown",
"Other")</f>
        <v>Iong Stay</v>
      </c>
    </row>
    <row r="219" spans="1:11" x14ac:dyDescent="0.3">
      <c r="A219" t="s">
        <v>1110</v>
      </c>
      <c r="B219" t="s">
        <v>772</v>
      </c>
      <c r="C219" t="s">
        <v>54</v>
      </c>
      <c r="D219" t="s">
        <v>1111</v>
      </c>
      <c r="E219" t="s">
        <v>476</v>
      </c>
      <c r="F219" t="s">
        <v>1112</v>
      </c>
      <c r="G219" t="s">
        <v>775</v>
      </c>
      <c r="H219" t="s">
        <v>502</v>
      </c>
      <c r="I219">
        <f t="shared" si="3"/>
        <v>3</v>
      </c>
      <c r="J219" t="s">
        <v>121</v>
      </c>
      <c r="K219" t="str" cm="1">
        <f t="array" ref="K219">_xlfn.SWITCH(TRIM(UPPER(J219)),
"BUSINESS", "Short Stay",
"CONFERENCE", "Medium Stay",
"VACATION", "Iong Stay",
"HOLIDAY", "Long Stay",
"V", "Leisure",
"UNKNOWN", "Unknown",
"Other")</f>
        <v>Iong Stay</v>
      </c>
    </row>
    <row r="220" spans="1:11" x14ac:dyDescent="0.3">
      <c r="A220" t="s">
        <v>1113</v>
      </c>
      <c r="B220" t="s">
        <v>1114</v>
      </c>
      <c r="C220" t="s">
        <v>30</v>
      </c>
      <c r="D220" t="s">
        <v>1115</v>
      </c>
      <c r="E220" t="s">
        <v>176</v>
      </c>
      <c r="F220" t="s">
        <v>1116</v>
      </c>
      <c r="G220" t="s">
        <v>1117</v>
      </c>
      <c r="H220" t="s">
        <v>769</v>
      </c>
      <c r="I220">
        <f t="shared" si="3"/>
        <v>4</v>
      </c>
      <c r="J220" t="s">
        <v>18</v>
      </c>
      <c r="K220" t="str" cm="1">
        <f t="array" ref="K220">_xlfn.SWITCH(TRIM(UPPER(J220)),
"BUSINESS", "Short Stay",
"CONFERENCE", "Medium Stay",
"VACATION", "Iong Stay",
"HOLIDAY", "Long Stay",
"V", "Leisure",
"UNKNOWN", "Unknown",
"Other")</f>
        <v>Short Stay</v>
      </c>
    </row>
    <row r="221" spans="1:11" x14ac:dyDescent="0.3">
      <c r="A221" t="s">
        <v>1118</v>
      </c>
      <c r="B221" t="s">
        <v>60</v>
      </c>
      <c r="C221" t="s">
        <v>61</v>
      </c>
      <c r="D221" t="s">
        <v>1119</v>
      </c>
      <c r="E221" t="s">
        <v>214</v>
      </c>
      <c r="F221" t="s">
        <v>1120</v>
      </c>
      <c r="G221" t="s">
        <v>65</v>
      </c>
      <c r="H221" t="s">
        <v>1121</v>
      </c>
      <c r="I221">
        <f t="shared" si="3"/>
        <v>1</v>
      </c>
      <c r="J221" t="s">
        <v>27</v>
      </c>
      <c r="K221" t="str" cm="1">
        <f t="array" ref="K221">_xlfn.SWITCH(TRIM(UPPER(J221)),
"BUSINESS", "Short Stay",
"CONFERENCE", "Medium Stay",
"VACATION", "Iong Stay",
"HOLIDAY", "Long Stay",
"V", "Leisure",
"UNKNOWN", "Unknown",
"Other")</f>
        <v>Medium Stay</v>
      </c>
    </row>
    <row r="222" spans="1:11" x14ac:dyDescent="0.3">
      <c r="A222" t="s">
        <v>1122</v>
      </c>
      <c r="B222" t="s">
        <v>167</v>
      </c>
      <c r="C222" t="s">
        <v>12</v>
      </c>
      <c r="D222" t="s">
        <v>1123</v>
      </c>
      <c r="E222" t="s">
        <v>14</v>
      </c>
      <c r="F222" t="s">
        <v>1124</v>
      </c>
      <c r="G222" t="s">
        <v>170</v>
      </c>
      <c r="H222" t="s">
        <v>1125</v>
      </c>
      <c r="I222">
        <f t="shared" si="3"/>
        <v>5</v>
      </c>
      <c r="J222" t="s">
        <v>121</v>
      </c>
      <c r="K222" t="str" cm="1">
        <f t="array" ref="K222">_xlfn.SWITCH(TRIM(UPPER(J222)),
"BUSINESS", "Short Stay",
"CONFERENCE", "Medium Stay",
"VACATION", "Iong Stay",
"HOLIDAY", "Long Stay",
"V", "Leisure",
"UNKNOWN", "Unknown",
"Other")</f>
        <v>Iong Stay</v>
      </c>
    </row>
    <row r="223" spans="1:11" x14ac:dyDescent="0.3">
      <c r="A223" t="s">
        <v>1126</v>
      </c>
      <c r="B223" t="s">
        <v>722</v>
      </c>
      <c r="C223" t="s">
        <v>12</v>
      </c>
      <c r="D223" t="s">
        <v>1127</v>
      </c>
      <c r="E223" t="s">
        <v>77</v>
      </c>
      <c r="F223" t="s">
        <v>1128</v>
      </c>
      <c r="G223" t="s">
        <v>725</v>
      </c>
      <c r="H223" t="s">
        <v>726</v>
      </c>
      <c r="I223">
        <f t="shared" si="3"/>
        <v>2</v>
      </c>
      <c r="J223" t="s">
        <v>27</v>
      </c>
      <c r="K223" t="str" cm="1">
        <f t="array" ref="K223">_xlfn.SWITCH(TRIM(UPPER(J223)),
"BUSINESS", "Short Stay",
"CONFERENCE", "Medium Stay",
"VACATION", "Iong Stay",
"HOLIDAY", "Long Stay",
"V", "Leisure",
"UNKNOWN", "Unknown",
"Other")</f>
        <v>Medium Stay</v>
      </c>
    </row>
    <row r="224" spans="1:11" x14ac:dyDescent="0.3">
      <c r="A224" t="s">
        <v>1129</v>
      </c>
      <c r="B224" t="s">
        <v>585</v>
      </c>
      <c r="C224" t="s">
        <v>21</v>
      </c>
      <c r="D224" t="s">
        <v>1130</v>
      </c>
      <c r="E224" t="s">
        <v>117</v>
      </c>
      <c r="F224" t="s">
        <v>1131</v>
      </c>
      <c r="G224" t="s">
        <v>588</v>
      </c>
      <c r="H224" t="s">
        <v>164</v>
      </c>
      <c r="I224">
        <f t="shared" si="3"/>
        <v>3</v>
      </c>
      <c r="J224" t="s">
        <v>44</v>
      </c>
      <c r="K224" t="str" cm="1">
        <f t="array" ref="K224">_xlfn.SWITCH(TRIM(UPPER(J224)),
"BUSINESS", "Short Stay",
"CONFERENCE", "Medium Stay",
"VACATION", "Iong Stay",
"HOLIDAY", "Long Stay",
"V", "Leisure",
"UNKNOWN", "Unknown",
"Other")</f>
        <v>Other</v>
      </c>
    </row>
    <row r="225" spans="1:11" x14ac:dyDescent="0.3">
      <c r="A225" t="s">
        <v>1132</v>
      </c>
      <c r="B225" t="s">
        <v>1133</v>
      </c>
      <c r="C225" t="s">
        <v>21</v>
      </c>
      <c r="D225" t="s">
        <v>1134</v>
      </c>
      <c r="E225" t="s">
        <v>149</v>
      </c>
      <c r="F225" t="s">
        <v>1135</v>
      </c>
      <c r="G225" t="s">
        <v>107</v>
      </c>
      <c r="H225" t="s">
        <v>1096</v>
      </c>
      <c r="I225">
        <f t="shared" si="3"/>
        <v>1</v>
      </c>
      <c r="J225" t="s">
        <v>18</v>
      </c>
      <c r="K225" t="str" cm="1">
        <f t="array" ref="K225">_xlfn.SWITCH(TRIM(UPPER(J225)),
"BUSINESS", "Short Stay",
"CONFERENCE", "Medium Stay",
"VACATION", "Iong Stay",
"HOLIDAY", "Long Stay",
"V", "Leisure",
"UNKNOWN", "Unknown",
"Other")</f>
        <v>Short Stay</v>
      </c>
    </row>
    <row r="226" spans="1:11" x14ac:dyDescent="0.3">
      <c r="A226" t="s">
        <v>1136</v>
      </c>
      <c r="B226" t="s">
        <v>550</v>
      </c>
      <c r="C226" t="s">
        <v>61</v>
      </c>
      <c r="D226" t="s">
        <v>1137</v>
      </c>
      <c r="E226" t="s">
        <v>48</v>
      </c>
      <c r="F226" t="s">
        <v>1138</v>
      </c>
      <c r="G226" t="s">
        <v>553</v>
      </c>
      <c r="H226" t="s">
        <v>554</v>
      </c>
      <c r="I226">
        <f t="shared" si="3"/>
        <v>1</v>
      </c>
      <c r="J226" t="s">
        <v>44</v>
      </c>
      <c r="K226" t="str" cm="1">
        <f t="array" ref="K226">_xlfn.SWITCH(TRIM(UPPER(J226)),
"BUSINESS", "Short Stay",
"CONFERENCE", "Medium Stay",
"VACATION", "Iong Stay",
"HOLIDAY", "Long Stay",
"V", "Leisure",
"UNKNOWN", "Unknown",
"Other")</f>
        <v>Other</v>
      </c>
    </row>
    <row r="227" spans="1:11" x14ac:dyDescent="0.3">
      <c r="A227" t="s">
        <v>1139</v>
      </c>
      <c r="B227" t="s">
        <v>514</v>
      </c>
      <c r="C227" t="s">
        <v>83</v>
      </c>
      <c r="D227" t="s">
        <v>1140</v>
      </c>
      <c r="E227" t="s">
        <v>176</v>
      </c>
      <c r="F227" t="s">
        <v>1141</v>
      </c>
      <c r="G227" t="s">
        <v>517</v>
      </c>
      <c r="H227" t="s">
        <v>317</v>
      </c>
      <c r="I227">
        <f t="shared" si="3"/>
        <v>2</v>
      </c>
      <c r="J227" t="s">
        <v>121</v>
      </c>
      <c r="K227" t="str" cm="1">
        <f t="array" ref="K227">_xlfn.SWITCH(TRIM(UPPER(J227)),
"BUSINESS", "Short Stay",
"CONFERENCE", "Medium Stay",
"VACATION", "Iong Stay",
"HOLIDAY", "Long Stay",
"V", "Leisure",
"UNKNOWN", "Unknown",
"Other")</f>
        <v>Iong Stay</v>
      </c>
    </row>
    <row r="228" spans="1:11" x14ac:dyDescent="0.3">
      <c r="A228" t="s">
        <v>1142</v>
      </c>
      <c r="B228" t="s">
        <v>968</v>
      </c>
      <c r="C228" t="s">
        <v>174</v>
      </c>
      <c r="D228" t="s">
        <v>1143</v>
      </c>
      <c r="E228" t="s">
        <v>201</v>
      </c>
      <c r="F228" t="s">
        <v>1144</v>
      </c>
      <c r="G228" t="s">
        <v>971</v>
      </c>
      <c r="H228" t="s">
        <v>844</v>
      </c>
      <c r="I228">
        <f t="shared" si="3"/>
        <v>1</v>
      </c>
      <c r="J228" t="s">
        <v>18</v>
      </c>
      <c r="K228" t="str" cm="1">
        <f t="array" ref="K228">_xlfn.SWITCH(TRIM(UPPER(J228)),
"BUSINESS", "Short Stay",
"CONFERENCE", "Medium Stay",
"VACATION", "Iong Stay",
"HOLIDAY", "Long Stay",
"V", "Leisure",
"UNKNOWN", "Unknown",
"Other")</f>
        <v>Short Stay</v>
      </c>
    </row>
    <row r="229" spans="1:11" x14ac:dyDescent="0.3">
      <c r="A229" t="s">
        <v>1145</v>
      </c>
      <c r="B229" t="s">
        <v>805</v>
      </c>
      <c r="C229" t="s">
        <v>83</v>
      </c>
      <c r="D229" t="s">
        <v>1146</v>
      </c>
      <c r="E229" t="s">
        <v>69</v>
      </c>
      <c r="F229" t="s">
        <v>1147</v>
      </c>
      <c r="G229" t="s">
        <v>502</v>
      </c>
      <c r="H229" t="s">
        <v>448</v>
      </c>
      <c r="I229">
        <f t="shared" si="3"/>
        <v>2</v>
      </c>
      <c r="J229" t="s">
        <v>27</v>
      </c>
      <c r="K229" t="str" cm="1">
        <f t="array" ref="K229">_xlfn.SWITCH(TRIM(UPPER(J229)),
"BUSINESS", "Short Stay",
"CONFERENCE", "Medium Stay",
"VACATION", "Iong Stay",
"HOLIDAY", "Long Stay",
"V", "Leisure",
"UNKNOWN", "Unknown",
"Other")</f>
        <v>Medium Stay</v>
      </c>
    </row>
    <row r="230" spans="1:11" x14ac:dyDescent="0.3">
      <c r="A230" t="s">
        <v>1148</v>
      </c>
      <c r="B230" t="s">
        <v>1149</v>
      </c>
      <c r="C230" t="s">
        <v>97</v>
      </c>
      <c r="D230" t="s">
        <v>62</v>
      </c>
      <c r="E230" t="s">
        <v>117</v>
      </c>
      <c r="F230" t="s">
        <v>1150</v>
      </c>
      <c r="G230" t="s">
        <v>393</v>
      </c>
      <c r="H230" t="s">
        <v>1151</v>
      </c>
      <c r="I230">
        <f t="shared" si="3"/>
        <v>3</v>
      </c>
      <c r="J230" t="s">
        <v>44</v>
      </c>
      <c r="K230" t="str" cm="1">
        <f t="array" ref="K230">_xlfn.SWITCH(TRIM(UPPER(J230)),
"BUSINESS", "Short Stay",
"CONFERENCE", "Medium Stay",
"VACATION", "Iong Stay",
"HOLIDAY", "Long Stay",
"V", "Leisure",
"UNKNOWN", "Unknown",
"Other")</f>
        <v>Other</v>
      </c>
    </row>
    <row r="231" spans="1:11" x14ac:dyDescent="0.3">
      <c r="A231" t="s">
        <v>1152</v>
      </c>
      <c r="B231" t="s">
        <v>229</v>
      </c>
      <c r="C231" t="s">
        <v>38</v>
      </c>
      <c r="D231" t="s">
        <v>1153</v>
      </c>
      <c r="E231" t="s">
        <v>201</v>
      </c>
      <c r="F231" t="s">
        <v>1154</v>
      </c>
      <c r="G231" t="s">
        <v>232</v>
      </c>
      <c r="H231" t="s">
        <v>196</v>
      </c>
      <c r="I231">
        <f t="shared" si="3"/>
        <v>3</v>
      </c>
      <c r="J231" t="s">
        <v>18</v>
      </c>
      <c r="K231" t="str" cm="1">
        <f t="array" ref="K231">_xlfn.SWITCH(TRIM(UPPER(J231)),
"BUSINESS", "Short Stay",
"CONFERENCE", "Medium Stay",
"VACATION", "Iong Stay",
"HOLIDAY", "Long Stay",
"V", "Leisure",
"UNKNOWN", "Unknown",
"Other")</f>
        <v>Short Stay</v>
      </c>
    </row>
    <row r="232" spans="1:11" x14ac:dyDescent="0.3">
      <c r="A232" t="s">
        <v>1155</v>
      </c>
      <c r="B232" t="s">
        <v>1156</v>
      </c>
      <c r="C232" t="s">
        <v>12</v>
      </c>
      <c r="D232" t="s">
        <v>1157</v>
      </c>
      <c r="E232" t="s">
        <v>63</v>
      </c>
      <c r="F232" t="s">
        <v>1158</v>
      </c>
      <c r="G232" t="s">
        <v>1159</v>
      </c>
      <c r="H232" t="s">
        <v>1160</v>
      </c>
      <c r="I232">
        <f t="shared" si="3"/>
        <v>4</v>
      </c>
      <c r="J232" t="s">
        <v>18</v>
      </c>
      <c r="K232" t="str" cm="1">
        <f t="array" ref="K232">_xlfn.SWITCH(TRIM(UPPER(J232)),
"BUSINESS", "Short Stay",
"CONFERENCE", "Medium Stay",
"VACATION", "Iong Stay",
"HOLIDAY", "Long Stay",
"V", "Leisure",
"UNKNOWN", "Unknown",
"Other")</f>
        <v>Short Stay</v>
      </c>
    </row>
    <row r="233" spans="1:11" x14ac:dyDescent="0.3">
      <c r="A233" t="s">
        <v>1161</v>
      </c>
      <c r="B233" t="s">
        <v>1162</v>
      </c>
      <c r="C233" t="s">
        <v>75</v>
      </c>
      <c r="D233" t="s">
        <v>847</v>
      </c>
      <c r="E233" t="s">
        <v>201</v>
      </c>
      <c r="F233" t="s">
        <v>1163</v>
      </c>
      <c r="G233" t="s">
        <v>1164</v>
      </c>
      <c r="H233" t="s">
        <v>1160</v>
      </c>
      <c r="I233">
        <f t="shared" si="3"/>
        <v>5</v>
      </c>
      <c r="J233" t="s">
        <v>27</v>
      </c>
      <c r="K233" t="str" cm="1">
        <f t="array" ref="K233">_xlfn.SWITCH(TRIM(UPPER(J233)),
"BUSINESS", "Short Stay",
"CONFERENCE", "Medium Stay",
"VACATION", "Iong Stay",
"HOLIDAY", "Long Stay",
"V", "Leisure",
"UNKNOWN", "Unknown",
"Other")</f>
        <v>Medium Stay</v>
      </c>
    </row>
    <row r="234" spans="1:11" x14ac:dyDescent="0.3">
      <c r="A234" t="s">
        <v>1165</v>
      </c>
      <c r="B234" t="s">
        <v>541</v>
      </c>
      <c r="C234" t="s">
        <v>38</v>
      </c>
      <c r="D234" t="s">
        <v>475</v>
      </c>
      <c r="E234" t="s">
        <v>77</v>
      </c>
      <c r="F234" t="s">
        <v>1166</v>
      </c>
      <c r="G234" t="s">
        <v>17</v>
      </c>
      <c r="H234" t="s">
        <v>1167</v>
      </c>
      <c r="I234">
        <f t="shared" si="3"/>
        <v>5</v>
      </c>
      <c r="J234" t="s">
        <v>18</v>
      </c>
      <c r="K234" t="str" cm="1">
        <f t="array" ref="K234">_xlfn.SWITCH(TRIM(UPPER(J234)),
"BUSINESS", "Short Stay",
"CONFERENCE", "Medium Stay",
"VACATION", "Iong Stay",
"HOLIDAY", "Long Stay",
"V", "Leisure",
"UNKNOWN", "Unknown",
"Other")</f>
        <v>Short Stay</v>
      </c>
    </row>
    <row r="235" spans="1:11" x14ac:dyDescent="0.3">
      <c r="A235" t="s">
        <v>1168</v>
      </c>
      <c r="B235" t="s">
        <v>129</v>
      </c>
      <c r="C235" t="s">
        <v>75</v>
      </c>
      <c r="D235" t="s">
        <v>471</v>
      </c>
      <c r="E235" t="s">
        <v>14</v>
      </c>
      <c r="F235" t="s">
        <v>1169</v>
      </c>
      <c r="G235" t="s">
        <v>132</v>
      </c>
      <c r="H235" t="s">
        <v>133</v>
      </c>
      <c r="I235">
        <f t="shared" si="3"/>
        <v>4</v>
      </c>
      <c r="J235" t="s">
        <v>18</v>
      </c>
      <c r="K235" t="str" cm="1">
        <f t="array" ref="K235">_xlfn.SWITCH(TRIM(UPPER(J235)),
"BUSINESS", "Short Stay",
"CONFERENCE", "Medium Stay",
"VACATION", "Iong Stay",
"HOLIDAY", "Long Stay",
"V", "Leisure",
"UNKNOWN", "Unknown",
"Other")</f>
        <v>Short Stay</v>
      </c>
    </row>
    <row r="236" spans="1:11" x14ac:dyDescent="0.3">
      <c r="A236" t="s">
        <v>1170</v>
      </c>
      <c r="B236" t="s">
        <v>1004</v>
      </c>
      <c r="C236" t="s">
        <v>174</v>
      </c>
      <c r="D236" t="s">
        <v>116</v>
      </c>
      <c r="E236" t="s">
        <v>32</v>
      </c>
      <c r="F236" t="s">
        <v>1171</v>
      </c>
      <c r="G236" t="s">
        <v>317</v>
      </c>
      <c r="H236" t="s">
        <v>1172</v>
      </c>
      <c r="I236">
        <f t="shared" si="3"/>
        <v>1</v>
      </c>
      <c r="J236" t="s">
        <v>18</v>
      </c>
      <c r="K236" t="str" cm="1">
        <f t="array" ref="K236">_xlfn.SWITCH(TRIM(UPPER(J236)),
"BUSINESS", "Short Stay",
"CONFERENCE", "Medium Stay",
"VACATION", "Iong Stay",
"HOLIDAY", "Long Stay",
"V", "Leisure",
"UNKNOWN", "Unknown",
"Other")</f>
        <v>Short Stay</v>
      </c>
    </row>
    <row r="237" spans="1:11" x14ac:dyDescent="0.3">
      <c r="A237" t="s">
        <v>1173</v>
      </c>
      <c r="B237" t="s">
        <v>482</v>
      </c>
      <c r="C237" t="s">
        <v>97</v>
      </c>
      <c r="D237" t="s">
        <v>1174</v>
      </c>
      <c r="E237" t="s">
        <v>69</v>
      </c>
      <c r="F237" t="s">
        <v>1175</v>
      </c>
      <c r="G237" t="s">
        <v>277</v>
      </c>
      <c r="H237" t="s">
        <v>1176</v>
      </c>
      <c r="I237">
        <f t="shared" si="3"/>
        <v>3</v>
      </c>
      <c r="J237" t="s">
        <v>44</v>
      </c>
      <c r="K237" t="str" cm="1">
        <f t="array" ref="K237">_xlfn.SWITCH(TRIM(UPPER(J237)),
"BUSINESS", "Short Stay",
"CONFERENCE", "Medium Stay",
"VACATION", "Iong Stay",
"HOLIDAY", "Long Stay",
"V", "Leisure",
"UNKNOWN", "Unknown",
"Other")</f>
        <v>Other</v>
      </c>
    </row>
    <row r="238" spans="1:11" x14ac:dyDescent="0.3">
      <c r="A238" t="s">
        <v>1177</v>
      </c>
      <c r="B238" t="s">
        <v>1178</v>
      </c>
      <c r="C238" t="s">
        <v>83</v>
      </c>
      <c r="D238" t="s">
        <v>1179</v>
      </c>
      <c r="E238" t="s">
        <v>48</v>
      </c>
      <c r="F238" t="s">
        <v>1180</v>
      </c>
      <c r="G238" t="s">
        <v>1181</v>
      </c>
      <c r="H238" t="s">
        <v>399</v>
      </c>
      <c r="I238">
        <f t="shared" si="3"/>
        <v>5</v>
      </c>
      <c r="J238" t="s">
        <v>44</v>
      </c>
      <c r="K238" t="str" cm="1">
        <f t="array" ref="K238">_xlfn.SWITCH(TRIM(UPPER(J238)),
"BUSINESS", "Short Stay",
"CONFERENCE", "Medium Stay",
"VACATION", "Iong Stay",
"HOLIDAY", "Long Stay",
"V", "Leisure",
"UNKNOWN", "Unknown",
"Other")</f>
        <v>Other</v>
      </c>
    </row>
    <row r="239" spans="1:11" x14ac:dyDescent="0.3">
      <c r="A239" t="s">
        <v>1182</v>
      </c>
      <c r="B239" t="s">
        <v>788</v>
      </c>
      <c r="C239" t="s">
        <v>30</v>
      </c>
      <c r="D239" t="s">
        <v>1183</v>
      </c>
      <c r="E239" t="s">
        <v>156</v>
      </c>
      <c r="F239" t="s">
        <v>1184</v>
      </c>
      <c r="G239" t="s">
        <v>791</v>
      </c>
      <c r="H239" t="s">
        <v>317</v>
      </c>
      <c r="I239">
        <f t="shared" si="3"/>
        <v>5</v>
      </c>
      <c r="J239" t="s">
        <v>27</v>
      </c>
      <c r="K239" t="str" cm="1">
        <f t="array" ref="K239">_xlfn.SWITCH(TRIM(UPPER(J239)),
"BUSINESS", "Short Stay",
"CONFERENCE", "Medium Stay",
"VACATION", "Iong Stay",
"HOLIDAY", "Long Stay",
"V", "Leisure",
"UNKNOWN", "Unknown",
"Other")</f>
        <v>Medium Stay</v>
      </c>
    </row>
    <row r="240" spans="1:11" x14ac:dyDescent="0.3">
      <c r="A240" t="s">
        <v>1185</v>
      </c>
      <c r="B240" t="s">
        <v>1186</v>
      </c>
      <c r="C240" t="s">
        <v>83</v>
      </c>
      <c r="D240" t="s">
        <v>1187</v>
      </c>
      <c r="E240" t="s">
        <v>458</v>
      </c>
      <c r="F240" t="s">
        <v>1188</v>
      </c>
      <c r="G240" t="s">
        <v>931</v>
      </c>
      <c r="H240" t="s">
        <v>112</v>
      </c>
      <c r="I240">
        <f t="shared" si="3"/>
        <v>3</v>
      </c>
      <c r="J240" t="s">
        <v>27</v>
      </c>
      <c r="K240" t="str" cm="1">
        <f t="array" ref="K240">_xlfn.SWITCH(TRIM(UPPER(J240)),
"BUSINESS", "Short Stay",
"CONFERENCE", "Medium Stay",
"VACATION", "Iong Stay",
"HOLIDAY", "Long Stay",
"V", "Leisure",
"UNKNOWN", "Unknown",
"Other")</f>
        <v>Medium Stay</v>
      </c>
    </row>
    <row r="241" spans="1:11" x14ac:dyDescent="0.3">
      <c r="A241" t="s">
        <v>1189</v>
      </c>
      <c r="B241" t="s">
        <v>708</v>
      </c>
      <c r="C241" t="s">
        <v>97</v>
      </c>
      <c r="D241" t="s">
        <v>451</v>
      </c>
      <c r="E241" t="s">
        <v>48</v>
      </c>
      <c r="F241" t="s">
        <v>1190</v>
      </c>
      <c r="G241" t="s">
        <v>658</v>
      </c>
      <c r="H241" t="s">
        <v>583</v>
      </c>
      <c r="I241">
        <f t="shared" si="3"/>
        <v>1</v>
      </c>
      <c r="J241" t="s">
        <v>121</v>
      </c>
      <c r="K241" t="str" cm="1">
        <f t="array" ref="K241">_xlfn.SWITCH(TRIM(UPPER(J241)),
"BUSINESS", "Short Stay",
"CONFERENCE", "Medium Stay",
"VACATION", "Iong Stay",
"HOLIDAY", "Long Stay",
"V", "Leisure",
"UNKNOWN", "Unknown",
"Other")</f>
        <v>Iong Stay</v>
      </c>
    </row>
    <row r="242" spans="1:11" x14ac:dyDescent="0.3">
      <c r="A242" t="s">
        <v>1191</v>
      </c>
      <c r="B242" t="s">
        <v>1192</v>
      </c>
      <c r="C242" t="s">
        <v>21</v>
      </c>
      <c r="D242" t="s">
        <v>1193</v>
      </c>
      <c r="E242" t="s">
        <v>48</v>
      </c>
      <c r="F242" t="s">
        <v>1194</v>
      </c>
      <c r="G242" t="s">
        <v>1195</v>
      </c>
      <c r="H242" t="s">
        <v>994</v>
      </c>
      <c r="I242">
        <f t="shared" si="3"/>
        <v>4</v>
      </c>
      <c r="J242" t="s">
        <v>27</v>
      </c>
      <c r="K242" t="str" cm="1">
        <f t="array" ref="K242">_xlfn.SWITCH(TRIM(UPPER(J242)),
"BUSINESS", "Short Stay",
"CONFERENCE", "Medium Stay",
"VACATION", "Iong Stay",
"HOLIDAY", "Long Stay",
"V", "Leisure",
"UNKNOWN", "Unknown",
"Other")</f>
        <v>Medium Stay</v>
      </c>
    </row>
    <row r="243" spans="1:11" x14ac:dyDescent="0.3">
      <c r="A243" t="s">
        <v>1196</v>
      </c>
      <c r="B243" t="s">
        <v>330</v>
      </c>
      <c r="C243" t="s">
        <v>21</v>
      </c>
      <c r="D243" t="s">
        <v>1197</v>
      </c>
      <c r="E243" t="s">
        <v>149</v>
      </c>
      <c r="F243" t="s">
        <v>1198</v>
      </c>
      <c r="G243" t="s">
        <v>333</v>
      </c>
      <c r="H243" t="s">
        <v>1199</v>
      </c>
      <c r="I243">
        <f t="shared" si="3"/>
        <v>2</v>
      </c>
      <c r="J243" t="s">
        <v>121</v>
      </c>
      <c r="K243" t="str" cm="1">
        <f t="array" ref="K243">_xlfn.SWITCH(TRIM(UPPER(J243)),
"BUSINESS", "Short Stay",
"CONFERENCE", "Medium Stay",
"VACATION", "Iong Stay",
"HOLIDAY", "Long Stay",
"V", "Leisure",
"UNKNOWN", "Unknown",
"Other")</f>
        <v>Iong Stay</v>
      </c>
    </row>
    <row r="244" spans="1:11" x14ac:dyDescent="0.3">
      <c r="A244" t="s">
        <v>1200</v>
      </c>
      <c r="B244" t="s">
        <v>1201</v>
      </c>
      <c r="C244" t="s">
        <v>30</v>
      </c>
      <c r="D244" t="s">
        <v>1202</v>
      </c>
      <c r="E244" t="s">
        <v>476</v>
      </c>
      <c r="F244" t="s">
        <v>1203</v>
      </c>
      <c r="G244" t="s">
        <v>1204</v>
      </c>
      <c r="H244" t="s">
        <v>50</v>
      </c>
      <c r="I244">
        <f t="shared" si="3"/>
        <v>5</v>
      </c>
      <c r="J244" t="s">
        <v>121</v>
      </c>
      <c r="K244" t="str" cm="1">
        <f t="array" ref="K244">_xlfn.SWITCH(TRIM(UPPER(J244)),
"BUSINESS", "Short Stay",
"CONFERENCE", "Medium Stay",
"VACATION", "Iong Stay",
"HOLIDAY", "Long Stay",
"V", "Leisure",
"UNKNOWN", "Unknown",
"Other")</f>
        <v>Iong Stay</v>
      </c>
    </row>
    <row r="245" spans="1:11" x14ac:dyDescent="0.3">
      <c r="A245" t="s">
        <v>1205</v>
      </c>
      <c r="B245" t="s">
        <v>1206</v>
      </c>
      <c r="C245" t="s">
        <v>21</v>
      </c>
      <c r="D245" t="s">
        <v>597</v>
      </c>
      <c r="E245" t="s">
        <v>149</v>
      </c>
      <c r="F245" t="s">
        <v>1207</v>
      </c>
      <c r="G245" t="s">
        <v>1208</v>
      </c>
      <c r="H245" t="s">
        <v>780</v>
      </c>
      <c r="I245">
        <f t="shared" si="3"/>
        <v>5</v>
      </c>
      <c r="J245" t="s">
        <v>121</v>
      </c>
      <c r="K245" t="str" cm="1">
        <f t="array" ref="K245">_xlfn.SWITCH(TRIM(UPPER(J245)),
"BUSINESS", "Short Stay",
"CONFERENCE", "Medium Stay",
"VACATION", "Iong Stay",
"HOLIDAY", "Long Stay",
"V", "Leisure",
"UNKNOWN", "Unknown",
"Other")</f>
        <v>Iong Stay</v>
      </c>
    </row>
    <row r="246" spans="1:11" x14ac:dyDescent="0.3">
      <c r="A246" t="s">
        <v>1209</v>
      </c>
      <c r="B246" t="s">
        <v>406</v>
      </c>
      <c r="C246" t="s">
        <v>21</v>
      </c>
      <c r="D246" t="s">
        <v>336</v>
      </c>
      <c r="E246" t="s">
        <v>23</v>
      </c>
      <c r="F246" t="s">
        <v>1210</v>
      </c>
      <c r="G246" t="s">
        <v>409</v>
      </c>
      <c r="H246" t="s">
        <v>856</v>
      </c>
      <c r="I246">
        <f t="shared" si="3"/>
        <v>1</v>
      </c>
      <c r="J246" t="s">
        <v>27</v>
      </c>
      <c r="K246" t="str" cm="1">
        <f t="array" ref="K246">_xlfn.SWITCH(TRIM(UPPER(J246)),
"BUSINESS", "Short Stay",
"CONFERENCE", "Medium Stay",
"VACATION", "Iong Stay",
"HOLIDAY", "Long Stay",
"V", "Leisure",
"UNKNOWN", "Unknown",
"Other")</f>
        <v>Medium Stay</v>
      </c>
    </row>
    <row r="247" spans="1:11" x14ac:dyDescent="0.3">
      <c r="A247" t="s">
        <v>1211</v>
      </c>
      <c r="B247" t="s">
        <v>1212</v>
      </c>
      <c r="C247" t="s">
        <v>75</v>
      </c>
      <c r="D247" t="s">
        <v>1213</v>
      </c>
      <c r="E247" t="s">
        <v>69</v>
      </c>
      <c r="F247" t="s">
        <v>1214</v>
      </c>
      <c r="G247" t="s">
        <v>1007</v>
      </c>
      <c r="H247" t="s">
        <v>495</v>
      </c>
      <c r="I247">
        <f t="shared" si="3"/>
        <v>4</v>
      </c>
      <c r="J247" t="s">
        <v>18</v>
      </c>
      <c r="K247" t="str" cm="1">
        <f t="array" ref="K247">_xlfn.SWITCH(TRIM(UPPER(J247)),
"BUSINESS", "Short Stay",
"CONFERENCE", "Medium Stay",
"VACATION", "Iong Stay",
"HOLIDAY", "Long Stay",
"V", "Leisure",
"UNKNOWN", "Unknown",
"Other")</f>
        <v>Short Stay</v>
      </c>
    </row>
    <row r="248" spans="1:11" x14ac:dyDescent="0.3">
      <c r="A248" t="s">
        <v>1215</v>
      </c>
      <c r="B248" t="s">
        <v>1216</v>
      </c>
      <c r="C248" t="s">
        <v>30</v>
      </c>
      <c r="D248" t="s">
        <v>1217</v>
      </c>
      <c r="E248" t="s">
        <v>23</v>
      </c>
      <c r="F248" t="s">
        <v>1218</v>
      </c>
      <c r="G248" t="s">
        <v>1219</v>
      </c>
      <c r="H248" t="s">
        <v>1220</v>
      </c>
      <c r="I248">
        <f t="shared" si="3"/>
        <v>4</v>
      </c>
      <c r="J248" t="s">
        <v>44</v>
      </c>
      <c r="K248" t="str" cm="1">
        <f t="array" ref="K248">_xlfn.SWITCH(TRIM(UPPER(J248)),
"BUSINESS", "Short Stay",
"CONFERENCE", "Medium Stay",
"VACATION", "Iong Stay",
"HOLIDAY", "Long Stay",
"V", "Leisure",
"UNKNOWN", "Unknown",
"Other")</f>
        <v>Other</v>
      </c>
    </row>
    <row r="249" spans="1:11" x14ac:dyDescent="0.3">
      <c r="A249" t="s">
        <v>1221</v>
      </c>
      <c r="B249" t="s">
        <v>1222</v>
      </c>
      <c r="C249" t="s">
        <v>75</v>
      </c>
      <c r="D249" t="s">
        <v>1223</v>
      </c>
      <c r="E249" t="s">
        <v>23</v>
      </c>
      <c r="F249" t="s">
        <v>1224</v>
      </c>
      <c r="G249" t="s">
        <v>1225</v>
      </c>
      <c r="H249" t="s">
        <v>1226</v>
      </c>
      <c r="I249">
        <f t="shared" si="3"/>
        <v>5</v>
      </c>
      <c r="J249" t="s">
        <v>18</v>
      </c>
      <c r="K249" t="str" cm="1">
        <f t="array" ref="K249">_xlfn.SWITCH(TRIM(UPPER(J249)),
"BUSINESS", "Short Stay",
"CONFERENCE", "Medium Stay",
"VACATION", "Iong Stay",
"HOLIDAY", "Long Stay",
"V", "Leisure",
"UNKNOWN", "Unknown",
"Other")</f>
        <v>Short Stay</v>
      </c>
    </row>
    <row r="250" spans="1:11" x14ac:dyDescent="0.3">
      <c r="A250" t="s">
        <v>1227</v>
      </c>
      <c r="B250" t="s">
        <v>1004</v>
      </c>
      <c r="C250" t="s">
        <v>174</v>
      </c>
      <c r="D250" t="s">
        <v>1228</v>
      </c>
      <c r="E250" t="s">
        <v>476</v>
      </c>
      <c r="F250" t="s">
        <v>1229</v>
      </c>
      <c r="G250" t="s">
        <v>317</v>
      </c>
      <c r="H250" t="s">
        <v>1117</v>
      </c>
      <c r="I250">
        <f t="shared" si="3"/>
        <v>3</v>
      </c>
      <c r="J250" t="s">
        <v>27</v>
      </c>
      <c r="K250" t="str" cm="1">
        <f t="array" ref="K250">_xlfn.SWITCH(TRIM(UPPER(J250)),
"BUSINESS", "Short Stay",
"CONFERENCE", "Medium Stay",
"VACATION", "Iong Stay",
"HOLIDAY", "Long Stay",
"V", "Leisure",
"UNKNOWN", "Unknown",
"Other")</f>
        <v>Medium Stay</v>
      </c>
    </row>
    <row r="251" spans="1:11" x14ac:dyDescent="0.3">
      <c r="A251" t="s">
        <v>1230</v>
      </c>
      <c r="B251" t="s">
        <v>1231</v>
      </c>
      <c r="C251" t="s">
        <v>174</v>
      </c>
      <c r="D251" t="s">
        <v>1232</v>
      </c>
      <c r="E251" t="s">
        <v>458</v>
      </c>
      <c r="F251" t="s">
        <v>1233</v>
      </c>
      <c r="G251" t="s">
        <v>1234</v>
      </c>
      <c r="H251" t="s">
        <v>170</v>
      </c>
      <c r="I251">
        <f t="shared" si="3"/>
        <v>5</v>
      </c>
      <c r="J251" t="s">
        <v>27</v>
      </c>
      <c r="K251" t="str" cm="1">
        <f t="array" ref="K251">_xlfn.SWITCH(TRIM(UPPER(J251)),
"BUSINESS", "Short Stay",
"CONFERENCE", "Medium Stay",
"VACATION", "Iong Stay",
"HOLIDAY", "Long Stay",
"V", "Leisure",
"UNKNOWN", "Unknown",
"Other")</f>
        <v>Medium Stay</v>
      </c>
    </row>
    <row r="252" spans="1:11" x14ac:dyDescent="0.3">
      <c r="A252" t="s">
        <v>1235</v>
      </c>
      <c r="B252" t="s">
        <v>648</v>
      </c>
      <c r="C252" t="s">
        <v>54</v>
      </c>
      <c r="D252" t="s">
        <v>1236</v>
      </c>
      <c r="E252" t="s">
        <v>149</v>
      </c>
      <c r="F252" t="s">
        <v>1237</v>
      </c>
      <c r="G252" t="s">
        <v>572</v>
      </c>
      <c r="H252" t="s">
        <v>233</v>
      </c>
      <c r="I252">
        <f t="shared" si="3"/>
        <v>5</v>
      </c>
      <c r="J252" t="s">
        <v>44</v>
      </c>
      <c r="K252" t="str" cm="1">
        <f t="array" ref="K252">_xlfn.SWITCH(TRIM(UPPER(J252)),
"BUSINESS", "Short Stay",
"CONFERENCE", "Medium Stay",
"VACATION", "Iong Stay",
"HOLIDAY", "Long Stay",
"V", "Leisure",
"UNKNOWN", "Unknown",
"Other")</f>
        <v>Other</v>
      </c>
    </row>
    <row r="253" spans="1:11" x14ac:dyDescent="0.3">
      <c r="A253" t="s">
        <v>1238</v>
      </c>
      <c r="B253" t="s">
        <v>1239</v>
      </c>
      <c r="C253" t="s">
        <v>12</v>
      </c>
      <c r="D253" t="s">
        <v>1240</v>
      </c>
      <c r="E253" t="s">
        <v>69</v>
      </c>
      <c r="F253" t="s">
        <v>1241</v>
      </c>
      <c r="G253" t="s">
        <v>1242</v>
      </c>
      <c r="H253" t="s">
        <v>1243</v>
      </c>
      <c r="I253">
        <f t="shared" si="3"/>
        <v>3</v>
      </c>
      <c r="J253" t="s">
        <v>27</v>
      </c>
      <c r="K253" t="str" cm="1">
        <f t="array" ref="K253">_xlfn.SWITCH(TRIM(UPPER(J253)),
"BUSINESS", "Short Stay",
"CONFERENCE", "Medium Stay",
"VACATION", "Iong Stay",
"HOLIDAY", "Long Stay",
"V", "Leisure",
"UNKNOWN", "Unknown",
"Other")</f>
        <v>Medium Stay</v>
      </c>
    </row>
    <row r="254" spans="1:11" x14ac:dyDescent="0.3">
      <c r="A254" t="s">
        <v>1244</v>
      </c>
      <c r="B254" t="s">
        <v>1245</v>
      </c>
      <c r="C254" t="s">
        <v>97</v>
      </c>
      <c r="D254" t="s">
        <v>1246</v>
      </c>
      <c r="E254" t="s">
        <v>40</v>
      </c>
      <c r="F254" t="s">
        <v>1247</v>
      </c>
      <c r="G254" t="s">
        <v>1248</v>
      </c>
      <c r="H254" t="s">
        <v>568</v>
      </c>
      <c r="I254">
        <f t="shared" si="3"/>
        <v>2</v>
      </c>
      <c r="J254" t="s">
        <v>27</v>
      </c>
      <c r="K254" t="str" cm="1">
        <f t="array" ref="K254">_xlfn.SWITCH(TRIM(UPPER(J254)),
"BUSINESS", "Short Stay",
"CONFERENCE", "Medium Stay",
"VACATION", "Iong Stay",
"HOLIDAY", "Long Stay",
"V", "Leisure",
"UNKNOWN", "Unknown",
"Other")</f>
        <v>Medium Stay</v>
      </c>
    </row>
    <row r="255" spans="1:11" x14ac:dyDescent="0.3">
      <c r="A255" t="s">
        <v>1249</v>
      </c>
      <c r="B255" t="s">
        <v>11</v>
      </c>
      <c r="C255" t="s">
        <v>75</v>
      </c>
      <c r="D255" t="s">
        <v>1250</v>
      </c>
      <c r="E255" t="s">
        <v>14</v>
      </c>
      <c r="F255" t="s">
        <v>1251</v>
      </c>
      <c r="G255" t="s">
        <v>16</v>
      </c>
      <c r="H255" t="s">
        <v>1160</v>
      </c>
      <c r="I255">
        <f t="shared" si="3"/>
        <v>3</v>
      </c>
      <c r="J255" t="s">
        <v>121</v>
      </c>
      <c r="K255" t="str" cm="1">
        <f t="array" ref="K255">_xlfn.SWITCH(TRIM(UPPER(J255)),
"BUSINESS", "Short Stay",
"CONFERENCE", "Medium Stay",
"VACATION", "Iong Stay",
"HOLIDAY", "Long Stay",
"V", "Leisure",
"UNKNOWN", "Unknown",
"Other")</f>
        <v>Iong Stay</v>
      </c>
    </row>
    <row r="256" spans="1:11" x14ac:dyDescent="0.3">
      <c r="A256" t="s">
        <v>1252</v>
      </c>
      <c r="B256" t="s">
        <v>1253</v>
      </c>
      <c r="C256" t="s">
        <v>12</v>
      </c>
      <c r="D256" t="s">
        <v>1254</v>
      </c>
      <c r="E256" t="s">
        <v>546</v>
      </c>
      <c r="F256" t="s">
        <v>1255</v>
      </c>
      <c r="G256" t="s">
        <v>1256</v>
      </c>
      <c r="H256" t="s">
        <v>838</v>
      </c>
      <c r="I256">
        <f t="shared" si="3"/>
        <v>5</v>
      </c>
      <c r="J256" t="s">
        <v>18</v>
      </c>
      <c r="K256" t="str" cm="1">
        <f t="array" ref="K256">_xlfn.SWITCH(TRIM(UPPER(J256)),
"BUSINESS", "Short Stay",
"CONFERENCE", "Medium Stay",
"VACATION", "Iong Stay",
"HOLIDAY", "Long Stay",
"V", "Leisure",
"UNKNOWN", "Unknown",
"Other")</f>
        <v>Short Stay</v>
      </c>
    </row>
    <row r="257" spans="1:11" x14ac:dyDescent="0.3">
      <c r="A257" t="s">
        <v>1257</v>
      </c>
      <c r="B257" t="s">
        <v>1102</v>
      </c>
      <c r="C257" t="s">
        <v>75</v>
      </c>
      <c r="D257" t="s">
        <v>1258</v>
      </c>
      <c r="E257" t="s">
        <v>40</v>
      </c>
      <c r="F257" t="s">
        <v>1259</v>
      </c>
      <c r="G257" t="s">
        <v>1105</v>
      </c>
      <c r="H257" t="s">
        <v>1260</v>
      </c>
      <c r="I257">
        <f t="shared" si="3"/>
        <v>2</v>
      </c>
      <c r="J257" t="s">
        <v>27</v>
      </c>
      <c r="K257" t="str" cm="1">
        <f t="array" ref="K257">_xlfn.SWITCH(TRIM(UPPER(J257)),
"BUSINESS", "Short Stay",
"CONFERENCE", "Medium Stay",
"VACATION", "Iong Stay",
"HOLIDAY", "Long Stay",
"V", "Leisure",
"UNKNOWN", "Unknown",
"Other")</f>
        <v>Medium Stay</v>
      </c>
    </row>
    <row r="258" spans="1:11" x14ac:dyDescent="0.3">
      <c r="A258" t="s">
        <v>1261</v>
      </c>
      <c r="B258" t="s">
        <v>973</v>
      </c>
      <c r="C258" t="s">
        <v>97</v>
      </c>
      <c r="D258" t="s">
        <v>1134</v>
      </c>
      <c r="E258" t="s">
        <v>214</v>
      </c>
      <c r="F258" t="s">
        <v>1262</v>
      </c>
      <c r="G258" t="s">
        <v>626</v>
      </c>
      <c r="H258" t="s">
        <v>885</v>
      </c>
      <c r="I258">
        <f t="shared" si="3"/>
        <v>3</v>
      </c>
      <c r="J258" t="s">
        <v>121</v>
      </c>
      <c r="K258" t="str" cm="1">
        <f t="array" ref="K258">_xlfn.SWITCH(TRIM(UPPER(J258)),
"BUSINESS", "Short Stay",
"CONFERENCE", "Medium Stay",
"VACATION", "Iong Stay",
"HOLIDAY", "Long Stay",
"V", "Leisure",
"UNKNOWN", "Unknown",
"Other")</f>
        <v>Iong Stay</v>
      </c>
    </row>
    <row r="259" spans="1:11" x14ac:dyDescent="0.3">
      <c r="A259" t="s">
        <v>1263</v>
      </c>
      <c r="B259" t="s">
        <v>1264</v>
      </c>
      <c r="C259" t="s">
        <v>30</v>
      </c>
      <c r="D259" t="s">
        <v>1265</v>
      </c>
      <c r="E259" t="s">
        <v>476</v>
      </c>
      <c r="F259" t="s">
        <v>1266</v>
      </c>
      <c r="G259" t="s">
        <v>1267</v>
      </c>
      <c r="H259" t="s">
        <v>1268</v>
      </c>
      <c r="I259">
        <f t="shared" ref="I259:I322" si="4">H259-G259</f>
        <v>2</v>
      </c>
      <c r="J259" t="s">
        <v>18</v>
      </c>
      <c r="K259" t="str" cm="1">
        <f t="array" ref="K259">_xlfn.SWITCH(TRIM(UPPER(J259)),
"BUSINESS", "Short Stay",
"CONFERENCE", "Medium Stay",
"VACATION", "Iong Stay",
"HOLIDAY", "Long Stay",
"V", "Leisure",
"UNKNOWN", "Unknown",
"Other")</f>
        <v>Short Stay</v>
      </c>
    </row>
    <row r="260" spans="1:11" x14ac:dyDescent="0.3">
      <c r="A260" t="s">
        <v>1269</v>
      </c>
      <c r="B260" t="s">
        <v>674</v>
      </c>
      <c r="C260" t="s">
        <v>54</v>
      </c>
      <c r="D260" t="s">
        <v>1270</v>
      </c>
      <c r="E260" t="s">
        <v>32</v>
      </c>
      <c r="F260" t="s">
        <v>1271</v>
      </c>
      <c r="G260" t="s">
        <v>677</v>
      </c>
      <c r="H260" t="s">
        <v>453</v>
      </c>
      <c r="I260">
        <f t="shared" si="4"/>
        <v>3</v>
      </c>
      <c r="J260" t="s">
        <v>44</v>
      </c>
      <c r="K260" t="str" cm="1">
        <f t="array" ref="K260">_xlfn.SWITCH(TRIM(UPPER(J260)),
"BUSINESS", "Short Stay",
"CONFERENCE", "Medium Stay",
"VACATION", "Iong Stay",
"HOLIDAY", "Long Stay",
"V", "Leisure",
"UNKNOWN", "Unknown",
"Other")</f>
        <v>Other</v>
      </c>
    </row>
    <row r="261" spans="1:11" x14ac:dyDescent="0.3">
      <c r="A261" t="s">
        <v>1272</v>
      </c>
      <c r="B261" t="s">
        <v>1273</v>
      </c>
      <c r="C261" t="s">
        <v>83</v>
      </c>
      <c r="D261" t="s">
        <v>1274</v>
      </c>
      <c r="E261" t="s">
        <v>476</v>
      </c>
      <c r="F261" t="s">
        <v>1275</v>
      </c>
      <c r="G261" t="s">
        <v>797</v>
      </c>
      <c r="H261" t="s">
        <v>625</v>
      </c>
      <c r="I261">
        <f t="shared" si="4"/>
        <v>2</v>
      </c>
      <c r="J261" t="s">
        <v>27</v>
      </c>
      <c r="K261" t="str" cm="1">
        <f t="array" ref="K261">_xlfn.SWITCH(TRIM(UPPER(J261)),
"BUSINESS", "Short Stay",
"CONFERENCE", "Medium Stay",
"VACATION", "Iong Stay",
"HOLIDAY", "Long Stay",
"V", "Leisure",
"UNKNOWN", "Unknown",
"Other")</f>
        <v>Medium Stay</v>
      </c>
    </row>
    <row r="262" spans="1:11" x14ac:dyDescent="0.3">
      <c r="A262" t="s">
        <v>1276</v>
      </c>
      <c r="B262" t="s">
        <v>1277</v>
      </c>
      <c r="C262" t="s">
        <v>38</v>
      </c>
      <c r="D262" t="s">
        <v>1278</v>
      </c>
      <c r="E262" t="s">
        <v>476</v>
      </c>
      <c r="F262" t="s">
        <v>1279</v>
      </c>
      <c r="G262" t="s">
        <v>1280</v>
      </c>
      <c r="H262" t="s">
        <v>426</v>
      </c>
      <c r="I262">
        <f t="shared" si="4"/>
        <v>5</v>
      </c>
      <c r="J262" t="s">
        <v>18</v>
      </c>
      <c r="K262" t="str" cm="1">
        <f t="array" ref="K262">_xlfn.SWITCH(TRIM(UPPER(J262)),
"BUSINESS", "Short Stay",
"CONFERENCE", "Medium Stay",
"VACATION", "Iong Stay",
"HOLIDAY", "Long Stay",
"V", "Leisure",
"UNKNOWN", "Unknown",
"Other")</f>
        <v>Short Stay</v>
      </c>
    </row>
    <row r="263" spans="1:11" x14ac:dyDescent="0.3">
      <c r="A263" t="s">
        <v>1281</v>
      </c>
      <c r="B263" t="s">
        <v>1282</v>
      </c>
      <c r="C263" t="s">
        <v>83</v>
      </c>
      <c r="D263" t="s">
        <v>1283</v>
      </c>
      <c r="E263" t="s">
        <v>430</v>
      </c>
      <c r="F263" t="s">
        <v>1284</v>
      </c>
      <c r="G263" t="s">
        <v>1285</v>
      </c>
      <c r="H263" t="s">
        <v>838</v>
      </c>
      <c r="I263">
        <f t="shared" si="4"/>
        <v>2</v>
      </c>
      <c r="J263" t="s">
        <v>18</v>
      </c>
      <c r="K263" t="str" cm="1">
        <f t="array" ref="K263">_xlfn.SWITCH(TRIM(UPPER(J263)),
"BUSINESS", "Short Stay",
"CONFERENCE", "Medium Stay",
"VACATION", "Iong Stay",
"HOLIDAY", "Long Stay",
"V", "Leisure",
"UNKNOWN", "Unknown",
"Other")</f>
        <v>Short Stay</v>
      </c>
    </row>
    <row r="264" spans="1:11" x14ac:dyDescent="0.3">
      <c r="A264" t="s">
        <v>1286</v>
      </c>
      <c r="B264" t="s">
        <v>1201</v>
      </c>
      <c r="C264" t="s">
        <v>21</v>
      </c>
      <c r="D264" t="s">
        <v>1287</v>
      </c>
      <c r="E264" t="s">
        <v>69</v>
      </c>
      <c r="F264" t="s">
        <v>1288</v>
      </c>
      <c r="G264" t="s">
        <v>1204</v>
      </c>
      <c r="H264" t="s">
        <v>473</v>
      </c>
      <c r="I264">
        <f t="shared" si="4"/>
        <v>3</v>
      </c>
      <c r="J264" t="s">
        <v>27</v>
      </c>
      <c r="K264" t="str" cm="1">
        <f t="array" ref="K264">_xlfn.SWITCH(TRIM(UPPER(J264)),
"BUSINESS", "Short Stay",
"CONFERENCE", "Medium Stay",
"VACATION", "Iong Stay",
"HOLIDAY", "Long Stay",
"V", "Leisure",
"UNKNOWN", "Unknown",
"Other")</f>
        <v>Medium Stay</v>
      </c>
    </row>
    <row r="265" spans="1:11" x14ac:dyDescent="0.3">
      <c r="A265" t="s">
        <v>1289</v>
      </c>
      <c r="B265" t="s">
        <v>123</v>
      </c>
      <c r="C265" t="s">
        <v>75</v>
      </c>
      <c r="D265" t="s">
        <v>1290</v>
      </c>
      <c r="E265" t="s">
        <v>476</v>
      </c>
      <c r="F265" t="s">
        <v>1291</v>
      </c>
      <c r="G265" t="s">
        <v>126</v>
      </c>
      <c r="H265" t="s">
        <v>127</v>
      </c>
      <c r="I265">
        <f t="shared" si="4"/>
        <v>5</v>
      </c>
      <c r="J265" t="s">
        <v>18</v>
      </c>
      <c r="K265" t="str" cm="1">
        <f t="array" ref="K265">_xlfn.SWITCH(TRIM(UPPER(J265)),
"BUSINESS", "Short Stay",
"CONFERENCE", "Medium Stay",
"VACATION", "Iong Stay",
"HOLIDAY", "Long Stay",
"V", "Leisure",
"UNKNOWN", "Unknown",
"Other")</f>
        <v>Short Stay</v>
      </c>
    </row>
    <row r="266" spans="1:11" x14ac:dyDescent="0.3">
      <c r="A266" t="s">
        <v>1292</v>
      </c>
      <c r="B266" t="s">
        <v>1293</v>
      </c>
      <c r="C266" t="s">
        <v>83</v>
      </c>
      <c r="D266" t="s">
        <v>1294</v>
      </c>
      <c r="E266" t="s">
        <v>214</v>
      </c>
      <c r="F266" t="s">
        <v>1295</v>
      </c>
      <c r="G266" t="s">
        <v>1296</v>
      </c>
      <c r="H266" t="s">
        <v>791</v>
      </c>
      <c r="I266">
        <f t="shared" si="4"/>
        <v>5</v>
      </c>
      <c r="J266" t="s">
        <v>121</v>
      </c>
      <c r="K266" t="str" cm="1">
        <f t="array" ref="K266">_xlfn.SWITCH(TRIM(UPPER(J266)),
"BUSINESS", "Short Stay",
"CONFERENCE", "Medium Stay",
"VACATION", "Iong Stay",
"HOLIDAY", "Long Stay",
"V", "Leisure",
"UNKNOWN", "Unknown",
"Other")</f>
        <v>Iong Stay</v>
      </c>
    </row>
    <row r="267" spans="1:11" x14ac:dyDescent="0.3">
      <c r="A267" t="s">
        <v>1297</v>
      </c>
      <c r="B267" t="s">
        <v>879</v>
      </c>
      <c r="C267" t="s">
        <v>61</v>
      </c>
      <c r="D267" t="s">
        <v>1298</v>
      </c>
      <c r="E267" t="s">
        <v>117</v>
      </c>
      <c r="F267" t="s">
        <v>1299</v>
      </c>
      <c r="G267" t="s">
        <v>179</v>
      </c>
      <c r="H267" t="s">
        <v>1300</v>
      </c>
      <c r="I267">
        <f t="shared" si="4"/>
        <v>3</v>
      </c>
      <c r="J267" t="s">
        <v>121</v>
      </c>
      <c r="K267" t="str" cm="1">
        <f t="array" ref="K267">_xlfn.SWITCH(TRIM(UPPER(J267)),
"BUSINESS", "Short Stay",
"CONFERENCE", "Medium Stay",
"VACATION", "Iong Stay",
"HOLIDAY", "Long Stay",
"V", "Leisure",
"UNKNOWN", "Unknown",
"Other")</f>
        <v>Iong Stay</v>
      </c>
    </row>
    <row r="268" spans="1:11" x14ac:dyDescent="0.3">
      <c r="A268" t="s">
        <v>1301</v>
      </c>
      <c r="B268" t="s">
        <v>1302</v>
      </c>
      <c r="C268" t="s">
        <v>75</v>
      </c>
      <c r="D268" t="s">
        <v>602</v>
      </c>
      <c r="E268" t="s">
        <v>476</v>
      </c>
      <c r="F268" t="s">
        <v>1303</v>
      </c>
      <c r="G268" t="s">
        <v>1304</v>
      </c>
      <c r="H268" t="s">
        <v>178</v>
      </c>
      <c r="I268">
        <f t="shared" si="4"/>
        <v>2</v>
      </c>
      <c r="J268" t="s">
        <v>121</v>
      </c>
      <c r="K268" t="str" cm="1">
        <f t="array" ref="K268">_xlfn.SWITCH(TRIM(UPPER(J268)),
"BUSINESS", "Short Stay",
"CONFERENCE", "Medium Stay",
"VACATION", "Iong Stay",
"HOLIDAY", "Long Stay",
"V", "Leisure",
"UNKNOWN", "Unknown",
"Other")</f>
        <v>Iong Stay</v>
      </c>
    </row>
    <row r="269" spans="1:11" x14ac:dyDescent="0.3">
      <c r="A269" t="s">
        <v>1305</v>
      </c>
      <c r="B269" t="s">
        <v>943</v>
      </c>
      <c r="C269" t="s">
        <v>75</v>
      </c>
      <c r="D269" t="s">
        <v>1306</v>
      </c>
      <c r="E269" t="s">
        <v>156</v>
      </c>
      <c r="F269" t="s">
        <v>1307</v>
      </c>
      <c r="G269" t="s">
        <v>339</v>
      </c>
      <c r="H269" t="s">
        <v>1219</v>
      </c>
      <c r="I269">
        <f t="shared" si="4"/>
        <v>5</v>
      </c>
      <c r="J269" t="s">
        <v>27</v>
      </c>
      <c r="K269" t="str" cm="1">
        <f t="array" ref="K269">_xlfn.SWITCH(TRIM(UPPER(J269)),
"BUSINESS", "Short Stay",
"CONFERENCE", "Medium Stay",
"VACATION", "Iong Stay",
"HOLIDAY", "Long Stay",
"V", "Leisure",
"UNKNOWN", "Unknown",
"Other")</f>
        <v>Medium Stay</v>
      </c>
    </row>
    <row r="270" spans="1:11" x14ac:dyDescent="0.3">
      <c r="A270" t="s">
        <v>1308</v>
      </c>
      <c r="B270" t="s">
        <v>1149</v>
      </c>
      <c r="C270" t="s">
        <v>83</v>
      </c>
      <c r="D270" t="s">
        <v>1309</v>
      </c>
      <c r="E270" t="s">
        <v>14</v>
      </c>
      <c r="F270" t="s">
        <v>1310</v>
      </c>
      <c r="G270" t="s">
        <v>393</v>
      </c>
      <c r="H270" t="s">
        <v>1311</v>
      </c>
      <c r="I270">
        <f t="shared" si="4"/>
        <v>4</v>
      </c>
      <c r="J270" t="s">
        <v>121</v>
      </c>
      <c r="K270" t="str" cm="1">
        <f t="array" ref="K270">_xlfn.SWITCH(TRIM(UPPER(J270)),
"BUSINESS", "Short Stay",
"CONFERENCE", "Medium Stay",
"VACATION", "Iong Stay",
"HOLIDAY", "Long Stay",
"V", "Leisure",
"UNKNOWN", "Unknown",
"Other")</f>
        <v>Iong Stay</v>
      </c>
    </row>
    <row r="271" spans="1:11" x14ac:dyDescent="0.3">
      <c r="A271" t="s">
        <v>1312</v>
      </c>
      <c r="B271" t="s">
        <v>1313</v>
      </c>
      <c r="C271" t="s">
        <v>61</v>
      </c>
      <c r="D271" t="s">
        <v>1314</v>
      </c>
      <c r="E271" t="s">
        <v>214</v>
      </c>
      <c r="F271" t="s">
        <v>1315</v>
      </c>
      <c r="G271" t="s">
        <v>1316</v>
      </c>
      <c r="H271" t="s">
        <v>1234</v>
      </c>
      <c r="I271">
        <f t="shared" si="4"/>
        <v>1</v>
      </c>
      <c r="J271" t="s">
        <v>121</v>
      </c>
      <c r="K271" t="str" cm="1">
        <f t="array" ref="K271">_xlfn.SWITCH(TRIM(UPPER(J271)),
"BUSINESS", "Short Stay",
"CONFERENCE", "Medium Stay",
"VACATION", "Iong Stay",
"HOLIDAY", "Long Stay",
"V", "Leisure",
"UNKNOWN", "Unknown",
"Other")</f>
        <v>Iong Stay</v>
      </c>
    </row>
    <row r="272" spans="1:11" x14ac:dyDescent="0.3">
      <c r="A272" t="s">
        <v>1317</v>
      </c>
      <c r="B272" t="s">
        <v>1318</v>
      </c>
      <c r="C272" t="s">
        <v>83</v>
      </c>
      <c r="D272" t="s">
        <v>987</v>
      </c>
      <c r="E272" t="s">
        <v>40</v>
      </c>
      <c r="F272" t="s">
        <v>1319</v>
      </c>
      <c r="G272" t="s">
        <v>989</v>
      </c>
      <c r="H272" t="s">
        <v>1268</v>
      </c>
      <c r="I272">
        <f t="shared" si="4"/>
        <v>4</v>
      </c>
      <c r="J272" t="s">
        <v>121</v>
      </c>
      <c r="K272" t="str" cm="1">
        <f t="array" ref="K272">_xlfn.SWITCH(TRIM(UPPER(J272)),
"BUSINESS", "Short Stay",
"CONFERENCE", "Medium Stay",
"VACATION", "Iong Stay",
"HOLIDAY", "Long Stay",
"V", "Leisure",
"UNKNOWN", "Unknown",
"Other")</f>
        <v>Iong Stay</v>
      </c>
    </row>
    <row r="273" spans="1:11" x14ac:dyDescent="0.3">
      <c r="A273" t="s">
        <v>1320</v>
      </c>
      <c r="B273" t="s">
        <v>279</v>
      </c>
      <c r="C273" t="s">
        <v>38</v>
      </c>
      <c r="D273" t="s">
        <v>1187</v>
      </c>
      <c r="E273" t="s">
        <v>201</v>
      </c>
      <c r="F273" t="s">
        <v>1321</v>
      </c>
      <c r="G273" t="s">
        <v>282</v>
      </c>
      <c r="H273" t="s">
        <v>1243</v>
      </c>
      <c r="I273">
        <f t="shared" si="4"/>
        <v>1</v>
      </c>
      <c r="J273" t="s">
        <v>44</v>
      </c>
      <c r="K273" t="str" cm="1">
        <f t="array" ref="K273">_xlfn.SWITCH(TRIM(UPPER(J273)),
"BUSINESS", "Short Stay",
"CONFERENCE", "Medium Stay",
"VACATION", "Iong Stay",
"HOLIDAY", "Long Stay",
"V", "Leisure",
"UNKNOWN", "Unknown",
"Other")</f>
        <v>Other</v>
      </c>
    </row>
    <row r="274" spans="1:11" x14ac:dyDescent="0.3">
      <c r="A274" t="s">
        <v>1322</v>
      </c>
      <c r="B274" t="s">
        <v>1323</v>
      </c>
      <c r="C274" t="s">
        <v>174</v>
      </c>
      <c r="D274" t="s">
        <v>1324</v>
      </c>
      <c r="E274" t="s">
        <v>14</v>
      </c>
      <c r="F274" t="s">
        <v>1325</v>
      </c>
      <c r="G274" t="s">
        <v>1326</v>
      </c>
      <c r="H274" t="s">
        <v>368</v>
      </c>
      <c r="I274">
        <f t="shared" si="4"/>
        <v>2</v>
      </c>
      <c r="J274" t="s">
        <v>121</v>
      </c>
      <c r="K274" t="str" cm="1">
        <f t="array" ref="K274">_xlfn.SWITCH(TRIM(UPPER(J274)),
"BUSINESS", "Short Stay",
"CONFERENCE", "Medium Stay",
"VACATION", "Iong Stay",
"HOLIDAY", "Long Stay",
"V", "Leisure",
"UNKNOWN", "Unknown",
"Other")</f>
        <v>Iong Stay</v>
      </c>
    </row>
    <row r="275" spans="1:11" x14ac:dyDescent="0.3">
      <c r="A275" t="s">
        <v>1327</v>
      </c>
      <c r="B275" t="s">
        <v>1328</v>
      </c>
      <c r="C275" t="s">
        <v>97</v>
      </c>
      <c r="D275" t="s">
        <v>1329</v>
      </c>
      <c r="E275" t="s">
        <v>149</v>
      </c>
      <c r="F275" t="s">
        <v>1330</v>
      </c>
      <c r="G275" t="s">
        <v>1331</v>
      </c>
      <c r="H275" t="s">
        <v>594</v>
      </c>
      <c r="I275">
        <f t="shared" si="4"/>
        <v>2</v>
      </c>
      <c r="J275" t="s">
        <v>18</v>
      </c>
      <c r="K275" t="str" cm="1">
        <f t="array" ref="K275">_xlfn.SWITCH(TRIM(UPPER(J275)),
"BUSINESS", "Short Stay",
"CONFERENCE", "Medium Stay",
"VACATION", "Iong Stay",
"HOLIDAY", "Long Stay",
"V", "Leisure",
"UNKNOWN", "Unknown",
"Other")</f>
        <v>Short Stay</v>
      </c>
    </row>
    <row r="276" spans="1:11" x14ac:dyDescent="0.3">
      <c r="A276" t="s">
        <v>1332</v>
      </c>
      <c r="B276" t="s">
        <v>766</v>
      </c>
      <c r="C276" t="s">
        <v>21</v>
      </c>
      <c r="D276" t="s">
        <v>1107</v>
      </c>
      <c r="E276" t="s">
        <v>546</v>
      </c>
      <c r="F276" t="s">
        <v>1333</v>
      </c>
      <c r="G276" t="s">
        <v>769</v>
      </c>
      <c r="H276" t="s">
        <v>770</v>
      </c>
      <c r="I276">
        <f t="shared" si="4"/>
        <v>5</v>
      </c>
      <c r="J276" t="s">
        <v>121</v>
      </c>
      <c r="K276" t="str" cm="1">
        <f t="array" ref="K276">_xlfn.SWITCH(TRIM(UPPER(J276)),
"BUSINESS", "Short Stay",
"CONFERENCE", "Medium Stay",
"VACATION", "Iong Stay",
"HOLIDAY", "Long Stay",
"V", "Leisure",
"UNKNOWN", "Unknown",
"Other")</f>
        <v>Iong Stay</v>
      </c>
    </row>
    <row r="277" spans="1:11" x14ac:dyDescent="0.3">
      <c r="A277" t="s">
        <v>1334</v>
      </c>
      <c r="B277" t="s">
        <v>11</v>
      </c>
      <c r="C277" t="s">
        <v>38</v>
      </c>
      <c r="D277" t="s">
        <v>1335</v>
      </c>
      <c r="E277" t="s">
        <v>476</v>
      </c>
      <c r="F277" t="s">
        <v>1336</v>
      </c>
      <c r="G277" t="s">
        <v>16</v>
      </c>
      <c r="H277" t="s">
        <v>277</v>
      </c>
      <c r="I277">
        <f t="shared" si="4"/>
        <v>2</v>
      </c>
      <c r="J277" t="s">
        <v>44</v>
      </c>
      <c r="K277" t="str" cm="1">
        <f t="array" ref="K277">_xlfn.SWITCH(TRIM(UPPER(J277)),
"BUSINESS", "Short Stay",
"CONFERENCE", "Medium Stay",
"VACATION", "Iong Stay",
"HOLIDAY", "Long Stay",
"V", "Leisure",
"UNKNOWN", "Unknown",
"Other")</f>
        <v>Other</v>
      </c>
    </row>
    <row r="278" spans="1:11" x14ac:dyDescent="0.3">
      <c r="A278" t="s">
        <v>1337</v>
      </c>
      <c r="B278" t="s">
        <v>1338</v>
      </c>
      <c r="C278" t="s">
        <v>75</v>
      </c>
      <c r="D278" t="s">
        <v>1339</v>
      </c>
      <c r="E278" t="s">
        <v>314</v>
      </c>
      <c r="F278" t="s">
        <v>1340</v>
      </c>
      <c r="G278" t="s">
        <v>171</v>
      </c>
      <c r="H278" t="s">
        <v>1125</v>
      </c>
      <c r="I278">
        <f t="shared" si="4"/>
        <v>2</v>
      </c>
      <c r="J278" t="s">
        <v>121</v>
      </c>
      <c r="K278" t="str" cm="1">
        <f t="array" ref="K278">_xlfn.SWITCH(TRIM(UPPER(J278)),
"BUSINESS", "Short Stay",
"CONFERENCE", "Medium Stay",
"VACATION", "Iong Stay",
"HOLIDAY", "Long Stay",
"V", "Leisure",
"UNKNOWN", "Unknown",
"Other")</f>
        <v>Iong Stay</v>
      </c>
    </row>
    <row r="279" spans="1:11" x14ac:dyDescent="0.3">
      <c r="A279" t="s">
        <v>1341</v>
      </c>
      <c r="B279" t="s">
        <v>1050</v>
      </c>
      <c r="C279" t="s">
        <v>61</v>
      </c>
      <c r="D279" t="s">
        <v>1342</v>
      </c>
      <c r="E279" t="s">
        <v>201</v>
      </c>
      <c r="F279" t="s">
        <v>1343</v>
      </c>
      <c r="G279" t="s">
        <v>1053</v>
      </c>
      <c r="H279" t="s">
        <v>351</v>
      </c>
      <c r="I279">
        <f t="shared" si="4"/>
        <v>3</v>
      </c>
      <c r="J279" t="s">
        <v>18</v>
      </c>
      <c r="K279" t="str" cm="1">
        <f t="array" ref="K279">_xlfn.SWITCH(TRIM(UPPER(J279)),
"BUSINESS", "Short Stay",
"CONFERENCE", "Medium Stay",
"VACATION", "Iong Stay",
"HOLIDAY", "Long Stay",
"V", "Leisure",
"UNKNOWN", "Unknown",
"Other")</f>
        <v>Short Stay</v>
      </c>
    </row>
    <row r="280" spans="1:11" x14ac:dyDescent="0.3">
      <c r="A280" t="s">
        <v>1344</v>
      </c>
      <c r="B280" t="s">
        <v>1273</v>
      </c>
      <c r="C280" t="s">
        <v>75</v>
      </c>
      <c r="D280" t="s">
        <v>1345</v>
      </c>
      <c r="E280" t="s">
        <v>156</v>
      </c>
      <c r="F280" t="s">
        <v>1346</v>
      </c>
      <c r="G280" t="s">
        <v>797</v>
      </c>
      <c r="H280" t="s">
        <v>1347</v>
      </c>
      <c r="I280">
        <f t="shared" si="4"/>
        <v>4</v>
      </c>
      <c r="J280" t="s">
        <v>18</v>
      </c>
      <c r="K280" t="str" cm="1">
        <f t="array" ref="K280">_xlfn.SWITCH(TRIM(UPPER(J280)),
"BUSINESS", "Short Stay",
"CONFERENCE", "Medium Stay",
"VACATION", "Iong Stay",
"HOLIDAY", "Long Stay",
"V", "Leisure",
"UNKNOWN", "Unknown",
"Other")</f>
        <v>Short Stay</v>
      </c>
    </row>
    <row r="281" spans="1:11" x14ac:dyDescent="0.3">
      <c r="A281" t="s">
        <v>1348</v>
      </c>
      <c r="B281" t="s">
        <v>1349</v>
      </c>
      <c r="C281" t="s">
        <v>75</v>
      </c>
      <c r="D281" t="s">
        <v>1350</v>
      </c>
      <c r="E281" t="s">
        <v>476</v>
      </c>
      <c r="F281" t="s">
        <v>1351</v>
      </c>
      <c r="G281" t="s">
        <v>210</v>
      </c>
      <c r="H281" t="s">
        <v>758</v>
      </c>
      <c r="I281">
        <f t="shared" si="4"/>
        <v>1</v>
      </c>
      <c r="J281" t="s">
        <v>44</v>
      </c>
      <c r="K281" t="str" cm="1">
        <f t="array" ref="K281">_xlfn.SWITCH(TRIM(UPPER(J281)),
"BUSINESS", "Short Stay",
"CONFERENCE", "Medium Stay",
"VACATION", "Iong Stay",
"HOLIDAY", "Long Stay",
"V", "Leisure",
"UNKNOWN", "Unknown",
"Other")</f>
        <v>Other</v>
      </c>
    </row>
    <row r="282" spans="1:11" x14ac:dyDescent="0.3">
      <c r="A282" t="s">
        <v>1352</v>
      </c>
      <c r="B282" t="s">
        <v>1353</v>
      </c>
      <c r="C282" t="s">
        <v>54</v>
      </c>
      <c r="D282" t="s">
        <v>1354</v>
      </c>
      <c r="E282" t="s">
        <v>32</v>
      </c>
      <c r="F282" t="s">
        <v>1355</v>
      </c>
      <c r="G282" t="s">
        <v>1356</v>
      </c>
      <c r="H282" t="s">
        <v>668</v>
      </c>
      <c r="I282">
        <f t="shared" si="4"/>
        <v>2</v>
      </c>
      <c r="J282" t="s">
        <v>44</v>
      </c>
      <c r="K282" t="str" cm="1">
        <f t="array" ref="K282">_xlfn.SWITCH(TRIM(UPPER(J282)),
"BUSINESS", "Short Stay",
"CONFERENCE", "Medium Stay",
"VACATION", "Iong Stay",
"HOLIDAY", "Long Stay",
"V", "Leisure",
"UNKNOWN", "Unknown",
"Other")</f>
        <v>Other</v>
      </c>
    </row>
    <row r="283" spans="1:11" x14ac:dyDescent="0.3">
      <c r="A283" t="s">
        <v>1357</v>
      </c>
      <c r="B283" t="s">
        <v>1358</v>
      </c>
      <c r="C283" t="s">
        <v>174</v>
      </c>
      <c r="D283" t="s">
        <v>1359</v>
      </c>
      <c r="E283" t="s">
        <v>476</v>
      </c>
      <c r="F283" t="s">
        <v>1360</v>
      </c>
      <c r="G283" t="s">
        <v>924</v>
      </c>
      <c r="H283" t="s">
        <v>368</v>
      </c>
      <c r="I283">
        <f t="shared" si="4"/>
        <v>5</v>
      </c>
      <c r="J283" t="s">
        <v>27</v>
      </c>
      <c r="K283" t="str" cm="1">
        <f t="array" ref="K283">_xlfn.SWITCH(TRIM(UPPER(J283)),
"BUSINESS", "Short Stay",
"CONFERENCE", "Medium Stay",
"VACATION", "Iong Stay",
"HOLIDAY", "Long Stay",
"V", "Leisure",
"UNKNOWN", "Unknown",
"Other")</f>
        <v>Medium Stay</v>
      </c>
    </row>
    <row r="284" spans="1:11" x14ac:dyDescent="0.3">
      <c r="A284" t="s">
        <v>1361</v>
      </c>
      <c r="B284" t="s">
        <v>520</v>
      </c>
      <c r="C284" t="s">
        <v>54</v>
      </c>
      <c r="D284" t="s">
        <v>76</v>
      </c>
      <c r="E284" t="s">
        <v>176</v>
      </c>
      <c r="F284" t="s">
        <v>1362</v>
      </c>
      <c r="G284" t="s">
        <v>523</v>
      </c>
      <c r="H284" t="s">
        <v>1363</v>
      </c>
      <c r="I284">
        <f t="shared" si="4"/>
        <v>2</v>
      </c>
      <c r="J284" t="s">
        <v>44</v>
      </c>
      <c r="K284" t="str" cm="1">
        <f t="array" ref="K284">_xlfn.SWITCH(TRIM(UPPER(J284)),
"BUSINESS", "Short Stay",
"CONFERENCE", "Medium Stay",
"VACATION", "Iong Stay",
"HOLIDAY", "Long Stay",
"V", "Leisure",
"UNKNOWN", "Unknown",
"Other")</f>
        <v>Other</v>
      </c>
    </row>
    <row r="285" spans="1:11" x14ac:dyDescent="0.3">
      <c r="A285" t="s">
        <v>1364</v>
      </c>
      <c r="B285" t="s">
        <v>772</v>
      </c>
      <c r="C285" t="s">
        <v>54</v>
      </c>
      <c r="D285" t="s">
        <v>1365</v>
      </c>
      <c r="E285" t="s">
        <v>63</v>
      </c>
      <c r="F285" t="s">
        <v>1366</v>
      </c>
      <c r="G285" t="s">
        <v>775</v>
      </c>
      <c r="H285" t="s">
        <v>100</v>
      </c>
      <c r="I285">
        <f t="shared" si="4"/>
        <v>4</v>
      </c>
      <c r="J285" t="s">
        <v>27</v>
      </c>
      <c r="K285" t="str" cm="1">
        <f t="array" ref="K285">_xlfn.SWITCH(TRIM(UPPER(J285)),
"BUSINESS", "Short Stay",
"CONFERENCE", "Medium Stay",
"VACATION", "Iong Stay",
"HOLIDAY", "Long Stay",
"V", "Leisure",
"UNKNOWN", "Unknown",
"Other")</f>
        <v>Medium Stay</v>
      </c>
    </row>
    <row r="286" spans="1:11" x14ac:dyDescent="0.3">
      <c r="A286" t="s">
        <v>1367</v>
      </c>
      <c r="B286" t="s">
        <v>1368</v>
      </c>
      <c r="C286" t="s">
        <v>30</v>
      </c>
      <c r="D286" t="s">
        <v>1369</v>
      </c>
      <c r="E286" t="s">
        <v>63</v>
      </c>
      <c r="F286" t="s">
        <v>1370</v>
      </c>
      <c r="G286" t="s">
        <v>941</v>
      </c>
      <c r="H286" t="s">
        <v>1371</v>
      </c>
      <c r="I286">
        <f t="shared" si="4"/>
        <v>4</v>
      </c>
      <c r="J286" t="s">
        <v>44</v>
      </c>
      <c r="K286" t="str" cm="1">
        <f t="array" ref="K286">_xlfn.SWITCH(TRIM(UPPER(J286)),
"BUSINESS", "Short Stay",
"CONFERENCE", "Medium Stay",
"VACATION", "Iong Stay",
"HOLIDAY", "Long Stay",
"V", "Leisure",
"UNKNOWN", "Unknown",
"Other")</f>
        <v>Other</v>
      </c>
    </row>
    <row r="287" spans="1:11" x14ac:dyDescent="0.3">
      <c r="A287" t="s">
        <v>1372</v>
      </c>
      <c r="B287" t="s">
        <v>1373</v>
      </c>
      <c r="C287" t="s">
        <v>12</v>
      </c>
      <c r="D287" t="s">
        <v>1374</v>
      </c>
      <c r="E287" t="s">
        <v>69</v>
      </c>
      <c r="F287" t="s">
        <v>1375</v>
      </c>
      <c r="G287" t="s">
        <v>720</v>
      </c>
      <c r="H287" t="s">
        <v>839</v>
      </c>
      <c r="I287">
        <f t="shared" si="4"/>
        <v>4</v>
      </c>
      <c r="J287" t="s">
        <v>27</v>
      </c>
      <c r="K287" t="str" cm="1">
        <f t="array" ref="K287">_xlfn.SWITCH(TRIM(UPPER(J287)),
"BUSINESS", "Short Stay",
"CONFERENCE", "Medium Stay",
"VACATION", "Iong Stay",
"HOLIDAY", "Long Stay",
"V", "Leisure",
"UNKNOWN", "Unknown",
"Other")</f>
        <v>Medium Stay</v>
      </c>
    </row>
    <row r="288" spans="1:11" x14ac:dyDescent="0.3">
      <c r="A288" t="s">
        <v>1376</v>
      </c>
      <c r="B288" t="s">
        <v>541</v>
      </c>
      <c r="C288" t="s">
        <v>97</v>
      </c>
      <c r="D288" t="s">
        <v>1377</v>
      </c>
      <c r="E288" t="s">
        <v>201</v>
      </c>
      <c r="F288" t="s">
        <v>1378</v>
      </c>
      <c r="G288" t="s">
        <v>17</v>
      </c>
      <c r="H288" t="s">
        <v>106</v>
      </c>
      <c r="I288">
        <f t="shared" si="4"/>
        <v>4</v>
      </c>
      <c r="J288" t="s">
        <v>121</v>
      </c>
      <c r="K288" t="str" cm="1">
        <f t="array" ref="K288">_xlfn.SWITCH(TRIM(UPPER(J288)),
"BUSINESS", "Short Stay",
"CONFERENCE", "Medium Stay",
"VACATION", "Iong Stay",
"HOLIDAY", "Long Stay",
"V", "Leisure",
"UNKNOWN", "Unknown",
"Other")</f>
        <v>Iong Stay</v>
      </c>
    </row>
    <row r="289" spans="1:11" x14ac:dyDescent="0.3">
      <c r="A289" t="s">
        <v>1379</v>
      </c>
      <c r="B289" t="s">
        <v>279</v>
      </c>
      <c r="C289" t="s">
        <v>75</v>
      </c>
      <c r="D289" t="s">
        <v>1380</v>
      </c>
      <c r="E289" t="s">
        <v>201</v>
      </c>
      <c r="F289" t="s">
        <v>1381</v>
      </c>
      <c r="G289" t="s">
        <v>282</v>
      </c>
      <c r="H289" t="s">
        <v>1356</v>
      </c>
      <c r="I289">
        <f t="shared" si="4"/>
        <v>4</v>
      </c>
      <c r="J289" t="s">
        <v>18</v>
      </c>
      <c r="K289" t="str" cm="1">
        <f t="array" ref="K289">_xlfn.SWITCH(TRIM(UPPER(J289)),
"BUSINESS", "Short Stay",
"CONFERENCE", "Medium Stay",
"VACATION", "Iong Stay",
"HOLIDAY", "Long Stay",
"V", "Leisure",
"UNKNOWN", "Unknown",
"Other")</f>
        <v>Short Stay</v>
      </c>
    </row>
    <row r="290" spans="1:11" x14ac:dyDescent="0.3">
      <c r="A290" t="s">
        <v>1382</v>
      </c>
      <c r="B290" t="s">
        <v>777</v>
      </c>
      <c r="C290" t="s">
        <v>75</v>
      </c>
      <c r="D290" t="s">
        <v>1383</v>
      </c>
      <c r="E290" t="s">
        <v>476</v>
      </c>
      <c r="F290" t="s">
        <v>1138</v>
      </c>
      <c r="G290" t="s">
        <v>780</v>
      </c>
      <c r="H290" t="s">
        <v>1035</v>
      </c>
      <c r="I290">
        <f t="shared" si="4"/>
        <v>2</v>
      </c>
      <c r="J290" t="s">
        <v>121</v>
      </c>
      <c r="K290" t="str" cm="1">
        <f t="array" ref="K290">_xlfn.SWITCH(TRIM(UPPER(J290)),
"BUSINESS", "Short Stay",
"CONFERENCE", "Medium Stay",
"VACATION", "Iong Stay",
"HOLIDAY", "Long Stay",
"V", "Leisure",
"UNKNOWN", "Unknown",
"Other")</f>
        <v>Iong Stay</v>
      </c>
    </row>
    <row r="291" spans="1:11" x14ac:dyDescent="0.3">
      <c r="A291" t="s">
        <v>1384</v>
      </c>
      <c r="B291" t="s">
        <v>933</v>
      </c>
      <c r="C291" t="s">
        <v>38</v>
      </c>
      <c r="D291" t="s">
        <v>1385</v>
      </c>
      <c r="E291" t="s">
        <v>69</v>
      </c>
      <c r="F291" t="s">
        <v>1386</v>
      </c>
      <c r="G291" t="s">
        <v>936</v>
      </c>
      <c r="H291" t="s">
        <v>132</v>
      </c>
      <c r="I291">
        <f t="shared" si="4"/>
        <v>3</v>
      </c>
      <c r="J291" t="s">
        <v>44</v>
      </c>
      <c r="K291" t="str" cm="1">
        <f t="array" ref="K291">_xlfn.SWITCH(TRIM(UPPER(J291)),
"BUSINESS", "Short Stay",
"CONFERENCE", "Medium Stay",
"VACATION", "Iong Stay",
"HOLIDAY", "Long Stay",
"V", "Leisure",
"UNKNOWN", "Unknown",
"Other")</f>
        <v>Other</v>
      </c>
    </row>
    <row r="292" spans="1:11" x14ac:dyDescent="0.3">
      <c r="A292" t="s">
        <v>1387</v>
      </c>
      <c r="B292" t="s">
        <v>135</v>
      </c>
      <c r="C292" t="s">
        <v>75</v>
      </c>
      <c r="D292" t="s">
        <v>1130</v>
      </c>
      <c r="E292" t="s">
        <v>77</v>
      </c>
      <c r="F292" t="s">
        <v>1388</v>
      </c>
      <c r="G292" t="s">
        <v>138</v>
      </c>
      <c r="H292" t="s">
        <v>572</v>
      </c>
      <c r="I292">
        <f t="shared" si="4"/>
        <v>2</v>
      </c>
      <c r="J292" t="s">
        <v>18</v>
      </c>
      <c r="K292" t="str" cm="1">
        <f t="array" ref="K292">_xlfn.SWITCH(TRIM(UPPER(J292)),
"BUSINESS", "Short Stay",
"CONFERENCE", "Medium Stay",
"VACATION", "Iong Stay",
"HOLIDAY", "Long Stay",
"V", "Leisure",
"UNKNOWN", "Unknown",
"Other")</f>
        <v>Short Stay</v>
      </c>
    </row>
    <row r="293" spans="1:11" x14ac:dyDescent="0.3">
      <c r="A293" t="s">
        <v>1389</v>
      </c>
      <c r="B293" t="s">
        <v>1239</v>
      </c>
      <c r="C293" t="s">
        <v>174</v>
      </c>
      <c r="D293" t="s">
        <v>1390</v>
      </c>
      <c r="E293" t="s">
        <v>85</v>
      </c>
      <c r="F293" t="s">
        <v>1391</v>
      </c>
      <c r="G293" t="s">
        <v>1242</v>
      </c>
      <c r="H293" t="s">
        <v>283</v>
      </c>
      <c r="I293">
        <f t="shared" si="4"/>
        <v>4</v>
      </c>
      <c r="J293" t="s">
        <v>44</v>
      </c>
      <c r="K293" t="str" cm="1">
        <f t="array" ref="K293">_xlfn.SWITCH(TRIM(UPPER(J293)),
"BUSINESS", "Short Stay",
"CONFERENCE", "Medium Stay",
"VACATION", "Iong Stay",
"HOLIDAY", "Long Stay",
"V", "Leisure",
"UNKNOWN", "Unknown",
"Other")</f>
        <v>Other</v>
      </c>
    </row>
    <row r="294" spans="1:11" x14ac:dyDescent="0.3">
      <c r="A294" t="s">
        <v>1392</v>
      </c>
      <c r="B294" t="s">
        <v>1133</v>
      </c>
      <c r="C294" t="s">
        <v>75</v>
      </c>
      <c r="D294" t="s">
        <v>1393</v>
      </c>
      <c r="E294" t="s">
        <v>149</v>
      </c>
      <c r="F294" t="s">
        <v>1394</v>
      </c>
      <c r="G294" t="s">
        <v>107</v>
      </c>
      <c r="H294" t="s">
        <v>1395</v>
      </c>
      <c r="I294">
        <f t="shared" si="4"/>
        <v>3</v>
      </c>
      <c r="J294" t="s">
        <v>121</v>
      </c>
      <c r="K294" t="str" cm="1">
        <f t="array" ref="K294">_xlfn.SWITCH(TRIM(UPPER(J294)),
"BUSINESS", "Short Stay",
"CONFERENCE", "Medium Stay",
"VACATION", "Iong Stay",
"HOLIDAY", "Long Stay",
"V", "Leisure",
"UNKNOWN", "Unknown",
"Other")</f>
        <v>Iong Stay</v>
      </c>
    </row>
    <row r="295" spans="1:11" x14ac:dyDescent="0.3">
      <c r="A295" t="s">
        <v>1396</v>
      </c>
      <c r="B295" t="s">
        <v>1397</v>
      </c>
      <c r="C295" t="s">
        <v>75</v>
      </c>
      <c r="D295" t="s">
        <v>1398</v>
      </c>
      <c r="E295" t="s">
        <v>430</v>
      </c>
      <c r="F295" t="s">
        <v>1399</v>
      </c>
      <c r="G295" t="s">
        <v>1268</v>
      </c>
      <c r="H295" t="s">
        <v>588</v>
      </c>
      <c r="I295">
        <f t="shared" si="4"/>
        <v>1</v>
      </c>
      <c r="J295" t="s">
        <v>44</v>
      </c>
      <c r="K295" t="str" cm="1">
        <f t="array" ref="K295">_xlfn.SWITCH(TRIM(UPPER(J295)),
"BUSINESS", "Short Stay",
"CONFERENCE", "Medium Stay",
"VACATION", "Iong Stay",
"HOLIDAY", "Long Stay",
"V", "Leisure",
"UNKNOWN", "Unknown",
"Other")</f>
        <v>Other</v>
      </c>
    </row>
    <row r="296" spans="1:11" x14ac:dyDescent="0.3">
      <c r="A296" t="s">
        <v>1400</v>
      </c>
      <c r="B296" t="s">
        <v>1401</v>
      </c>
      <c r="C296" t="s">
        <v>54</v>
      </c>
      <c r="D296" t="s">
        <v>1402</v>
      </c>
      <c r="E296" t="s">
        <v>117</v>
      </c>
      <c r="F296" t="s">
        <v>1403</v>
      </c>
      <c r="G296" t="s">
        <v>1404</v>
      </c>
      <c r="H296" t="s">
        <v>1267</v>
      </c>
      <c r="I296">
        <f t="shared" si="4"/>
        <v>1</v>
      </c>
      <c r="J296" t="s">
        <v>27</v>
      </c>
      <c r="K296" t="str" cm="1">
        <f t="array" ref="K296">_xlfn.SWITCH(TRIM(UPPER(J296)),
"BUSINESS", "Short Stay",
"CONFERENCE", "Medium Stay",
"VACATION", "Iong Stay",
"HOLIDAY", "Long Stay",
"V", "Leisure",
"UNKNOWN", "Unknown",
"Other")</f>
        <v>Medium Stay</v>
      </c>
    </row>
    <row r="297" spans="1:11" x14ac:dyDescent="0.3">
      <c r="A297" t="s">
        <v>1405</v>
      </c>
      <c r="B297" t="s">
        <v>1206</v>
      </c>
      <c r="C297" t="s">
        <v>38</v>
      </c>
      <c r="D297" t="s">
        <v>1250</v>
      </c>
      <c r="E297" t="s">
        <v>14</v>
      </c>
      <c r="F297" t="s">
        <v>1406</v>
      </c>
      <c r="G297" t="s">
        <v>1208</v>
      </c>
      <c r="H297" t="s">
        <v>1407</v>
      </c>
      <c r="I297">
        <f t="shared" si="4"/>
        <v>2</v>
      </c>
      <c r="J297" t="s">
        <v>27</v>
      </c>
      <c r="K297" t="str" cm="1">
        <f t="array" ref="K297">_xlfn.SWITCH(TRIM(UPPER(J297)),
"BUSINESS", "Short Stay",
"CONFERENCE", "Medium Stay",
"VACATION", "Iong Stay",
"HOLIDAY", "Long Stay",
"V", "Leisure",
"UNKNOWN", "Unknown",
"Other")</f>
        <v>Medium Stay</v>
      </c>
    </row>
    <row r="298" spans="1:11" x14ac:dyDescent="0.3">
      <c r="A298" t="s">
        <v>1408</v>
      </c>
      <c r="B298" t="s">
        <v>960</v>
      </c>
      <c r="C298" t="s">
        <v>30</v>
      </c>
      <c r="D298" t="s">
        <v>1409</v>
      </c>
      <c r="E298" t="s">
        <v>69</v>
      </c>
      <c r="F298" t="s">
        <v>1410</v>
      </c>
      <c r="G298" t="s">
        <v>963</v>
      </c>
      <c r="H298" t="s">
        <v>453</v>
      </c>
      <c r="I298">
        <f t="shared" si="4"/>
        <v>5</v>
      </c>
      <c r="J298" t="s">
        <v>121</v>
      </c>
      <c r="K298" t="str" cm="1">
        <f t="array" ref="K298">_xlfn.SWITCH(TRIM(UPPER(J298)),
"BUSINESS", "Short Stay",
"CONFERENCE", "Medium Stay",
"VACATION", "Iong Stay",
"HOLIDAY", "Long Stay",
"V", "Leisure",
"UNKNOWN", "Unknown",
"Other")</f>
        <v>Iong Stay</v>
      </c>
    </row>
    <row r="299" spans="1:11" x14ac:dyDescent="0.3">
      <c r="A299" t="s">
        <v>1411</v>
      </c>
      <c r="B299" t="s">
        <v>1412</v>
      </c>
      <c r="C299" t="s">
        <v>21</v>
      </c>
      <c r="D299" t="s">
        <v>1037</v>
      </c>
      <c r="E299" t="s">
        <v>430</v>
      </c>
      <c r="F299" t="s">
        <v>1413</v>
      </c>
      <c r="G299" t="s">
        <v>1414</v>
      </c>
      <c r="H299" t="s">
        <v>1415</v>
      </c>
      <c r="I299">
        <f t="shared" si="4"/>
        <v>2</v>
      </c>
      <c r="J299" t="s">
        <v>27</v>
      </c>
      <c r="K299" t="str" cm="1">
        <f t="array" ref="K299">_xlfn.SWITCH(TRIM(UPPER(J299)),
"BUSINESS", "Short Stay",
"CONFERENCE", "Medium Stay",
"VACATION", "Iong Stay",
"HOLIDAY", "Long Stay",
"V", "Leisure",
"UNKNOWN", "Unknown",
"Other")</f>
        <v>Medium Stay</v>
      </c>
    </row>
    <row r="300" spans="1:11" x14ac:dyDescent="0.3">
      <c r="A300" t="s">
        <v>1416</v>
      </c>
      <c r="B300" t="s">
        <v>541</v>
      </c>
      <c r="C300" t="s">
        <v>83</v>
      </c>
      <c r="D300" t="s">
        <v>1417</v>
      </c>
      <c r="E300" t="s">
        <v>149</v>
      </c>
      <c r="F300" t="s">
        <v>1418</v>
      </c>
      <c r="G300" t="s">
        <v>17</v>
      </c>
      <c r="H300" t="s">
        <v>106</v>
      </c>
      <c r="I300">
        <f t="shared" si="4"/>
        <v>4</v>
      </c>
      <c r="J300" t="s">
        <v>44</v>
      </c>
      <c r="K300" t="str" cm="1">
        <f t="array" ref="K300">_xlfn.SWITCH(TRIM(UPPER(J300)),
"BUSINESS", "Short Stay",
"CONFERENCE", "Medium Stay",
"VACATION", "Iong Stay",
"HOLIDAY", "Long Stay",
"V", "Leisure",
"UNKNOWN", "Unknown",
"Other")</f>
        <v>Other</v>
      </c>
    </row>
    <row r="301" spans="1:11" x14ac:dyDescent="0.3">
      <c r="A301" t="s">
        <v>1419</v>
      </c>
      <c r="B301" t="s">
        <v>682</v>
      </c>
      <c r="C301" t="s">
        <v>97</v>
      </c>
      <c r="D301" t="s">
        <v>1420</v>
      </c>
      <c r="E301" t="s">
        <v>546</v>
      </c>
      <c r="F301" t="s">
        <v>1421</v>
      </c>
      <c r="G301" t="s">
        <v>685</v>
      </c>
      <c r="H301" t="s">
        <v>719</v>
      </c>
      <c r="I301">
        <f t="shared" si="4"/>
        <v>4</v>
      </c>
      <c r="J301" t="s">
        <v>27</v>
      </c>
      <c r="K301" t="str" cm="1">
        <f t="array" ref="K301">_xlfn.SWITCH(TRIM(UPPER(J301)),
"BUSINESS", "Short Stay",
"CONFERENCE", "Medium Stay",
"VACATION", "Iong Stay",
"HOLIDAY", "Long Stay",
"V", "Leisure",
"UNKNOWN", "Unknown",
"Other")</f>
        <v>Medium Stay</v>
      </c>
    </row>
    <row r="302" spans="1:11" x14ac:dyDescent="0.3">
      <c r="A302" t="s">
        <v>1422</v>
      </c>
      <c r="B302" t="s">
        <v>1222</v>
      </c>
      <c r="C302" t="s">
        <v>75</v>
      </c>
      <c r="D302" t="s">
        <v>1423</v>
      </c>
      <c r="E302" t="s">
        <v>32</v>
      </c>
      <c r="F302" t="s">
        <v>1424</v>
      </c>
      <c r="G302" t="s">
        <v>1225</v>
      </c>
      <c r="H302" t="s">
        <v>1226</v>
      </c>
      <c r="I302">
        <f t="shared" si="4"/>
        <v>5</v>
      </c>
      <c r="J302" t="s">
        <v>121</v>
      </c>
      <c r="K302" t="str" cm="1">
        <f t="array" ref="K302">_xlfn.SWITCH(TRIM(UPPER(J302)),
"BUSINESS", "Short Stay",
"CONFERENCE", "Medium Stay",
"VACATION", "Iong Stay",
"HOLIDAY", "Long Stay",
"V", "Leisure",
"UNKNOWN", "Unknown",
"Other")</f>
        <v>Iong Stay</v>
      </c>
    </row>
    <row r="303" spans="1:11" x14ac:dyDescent="0.3">
      <c r="A303" t="s">
        <v>1425</v>
      </c>
      <c r="B303" t="s">
        <v>268</v>
      </c>
      <c r="C303" t="s">
        <v>12</v>
      </c>
      <c r="D303" t="s">
        <v>1426</v>
      </c>
      <c r="E303" t="s">
        <v>69</v>
      </c>
      <c r="F303" t="s">
        <v>1427</v>
      </c>
      <c r="G303" t="s">
        <v>271</v>
      </c>
      <c r="H303" t="s">
        <v>170</v>
      </c>
      <c r="I303">
        <f t="shared" si="4"/>
        <v>1</v>
      </c>
      <c r="J303" t="s">
        <v>44</v>
      </c>
      <c r="K303" t="str" cm="1">
        <f t="array" ref="K303">_xlfn.SWITCH(TRIM(UPPER(J303)),
"BUSINESS", "Short Stay",
"CONFERENCE", "Medium Stay",
"VACATION", "Iong Stay",
"HOLIDAY", "Long Stay",
"V", "Leisure",
"UNKNOWN", "Unknown",
"Other")</f>
        <v>Other</v>
      </c>
    </row>
    <row r="304" spans="1:11" x14ac:dyDescent="0.3">
      <c r="A304" t="s">
        <v>1428</v>
      </c>
      <c r="B304" t="s">
        <v>1429</v>
      </c>
      <c r="C304" t="s">
        <v>174</v>
      </c>
      <c r="D304" t="s">
        <v>1430</v>
      </c>
      <c r="E304" t="s">
        <v>458</v>
      </c>
      <c r="F304" t="s">
        <v>1431</v>
      </c>
      <c r="G304" t="s">
        <v>283</v>
      </c>
      <c r="H304" t="s">
        <v>1432</v>
      </c>
      <c r="I304">
        <f t="shared" si="4"/>
        <v>3</v>
      </c>
      <c r="J304" t="s">
        <v>18</v>
      </c>
      <c r="K304" t="str" cm="1">
        <f t="array" ref="K304">_xlfn.SWITCH(TRIM(UPPER(J304)),
"BUSINESS", "Short Stay",
"CONFERENCE", "Medium Stay",
"VACATION", "Iong Stay",
"HOLIDAY", "Long Stay",
"V", "Leisure",
"UNKNOWN", "Unknown",
"Other")</f>
        <v>Short Stay</v>
      </c>
    </row>
    <row r="305" spans="1:11" x14ac:dyDescent="0.3">
      <c r="A305" t="s">
        <v>1433</v>
      </c>
      <c r="B305" t="s">
        <v>1434</v>
      </c>
      <c r="C305" t="s">
        <v>54</v>
      </c>
      <c r="D305" t="s">
        <v>1435</v>
      </c>
      <c r="E305" t="s">
        <v>69</v>
      </c>
      <c r="F305" t="s">
        <v>1436</v>
      </c>
      <c r="G305" t="s">
        <v>1437</v>
      </c>
      <c r="H305" t="s">
        <v>415</v>
      </c>
      <c r="I305">
        <f t="shared" si="4"/>
        <v>1</v>
      </c>
      <c r="J305" t="s">
        <v>121</v>
      </c>
      <c r="K305" t="str" cm="1">
        <f t="array" ref="K305">_xlfn.SWITCH(TRIM(UPPER(J305)),
"BUSINESS", "Short Stay",
"CONFERENCE", "Medium Stay",
"VACATION", "Iong Stay",
"HOLIDAY", "Long Stay",
"V", "Leisure",
"UNKNOWN", "Unknown",
"Other")</f>
        <v>Iong Stay</v>
      </c>
    </row>
    <row r="306" spans="1:11" x14ac:dyDescent="0.3">
      <c r="A306" t="s">
        <v>1438</v>
      </c>
      <c r="B306" t="s">
        <v>247</v>
      </c>
      <c r="C306" t="s">
        <v>75</v>
      </c>
      <c r="D306" t="s">
        <v>1439</v>
      </c>
      <c r="E306" t="s">
        <v>176</v>
      </c>
      <c r="F306" t="s">
        <v>1440</v>
      </c>
      <c r="G306" t="s">
        <v>250</v>
      </c>
      <c r="H306" t="s">
        <v>583</v>
      </c>
      <c r="I306">
        <f t="shared" si="4"/>
        <v>2</v>
      </c>
      <c r="J306" t="s">
        <v>18</v>
      </c>
      <c r="K306" t="str" cm="1">
        <f t="array" ref="K306">_xlfn.SWITCH(TRIM(UPPER(J306)),
"BUSINESS", "Short Stay",
"CONFERENCE", "Medium Stay",
"VACATION", "Iong Stay",
"HOLIDAY", "Long Stay",
"V", "Leisure",
"UNKNOWN", "Unknown",
"Other")</f>
        <v>Short Stay</v>
      </c>
    </row>
    <row r="307" spans="1:11" x14ac:dyDescent="0.3">
      <c r="A307" t="s">
        <v>1441</v>
      </c>
      <c r="B307" t="s">
        <v>708</v>
      </c>
      <c r="C307" t="s">
        <v>61</v>
      </c>
      <c r="D307" t="s">
        <v>1442</v>
      </c>
      <c r="E307" t="s">
        <v>546</v>
      </c>
      <c r="F307" t="s">
        <v>1443</v>
      </c>
      <c r="G307" t="s">
        <v>658</v>
      </c>
      <c r="H307" t="s">
        <v>951</v>
      </c>
      <c r="I307">
        <f t="shared" si="4"/>
        <v>5</v>
      </c>
      <c r="J307" t="s">
        <v>44</v>
      </c>
      <c r="K307" t="str" cm="1">
        <f t="array" ref="K307">_xlfn.SWITCH(TRIM(UPPER(J307)),
"BUSINESS", "Short Stay",
"CONFERENCE", "Medium Stay",
"VACATION", "Iong Stay",
"HOLIDAY", "Long Stay",
"V", "Leisure",
"UNKNOWN", "Unknown",
"Other")</f>
        <v>Other</v>
      </c>
    </row>
    <row r="308" spans="1:11" x14ac:dyDescent="0.3">
      <c r="A308" t="s">
        <v>1444</v>
      </c>
      <c r="B308" t="s">
        <v>514</v>
      </c>
      <c r="C308" t="s">
        <v>12</v>
      </c>
      <c r="D308" t="s">
        <v>1445</v>
      </c>
      <c r="E308" t="s">
        <v>314</v>
      </c>
      <c r="F308" t="s">
        <v>1446</v>
      </c>
      <c r="G308" t="s">
        <v>517</v>
      </c>
      <c r="H308" t="s">
        <v>1172</v>
      </c>
      <c r="I308">
        <f t="shared" si="4"/>
        <v>3</v>
      </c>
      <c r="J308" t="s">
        <v>18</v>
      </c>
      <c r="K308" t="str" cm="1">
        <f t="array" ref="K308">_xlfn.SWITCH(TRIM(UPPER(J308)),
"BUSINESS", "Short Stay",
"CONFERENCE", "Medium Stay",
"VACATION", "Iong Stay",
"HOLIDAY", "Long Stay",
"V", "Leisure",
"UNKNOWN", "Unknown",
"Other")</f>
        <v>Short Stay</v>
      </c>
    </row>
    <row r="309" spans="1:11" x14ac:dyDescent="0.3">
      <c r="A309" t="s">
        <v>1447</v>
      </c>
      <c r="B309" t="s">
        <v>1448</v>
      </c>
      <c r="C309" t="s">
        <v>54</v>
      </c>
      <c r="D309" t="s">
        <v>661</v>
      </c>
      <c r="E309" t="s">
        <v>546</v>
      </c>
      <c r="F309" t="s">
        <v>1449</v>
      </c>
      <c r="G309" t="s">
        <v>1091</v>
      </c>
      <c r="H309" t="s">
        <v>164</v>
      </c>
      <c r="I309">
        <f t="shared" si="4"/>
        <v>1</v>
      </c>
      <c r="J309" t="s">
        <v>121</v>
      </c>
      <c r="K309" t="str" cm="1">
        <f t="array" ref="K309">_xlfn.SWITCH(TRIM(UPPER(J309)),
"BUSINESS", "Short Stay",
"CONFERENCE", "Medium Stay",
"VACATION", "Iong Stay",
"HOLIDAY", "Long Stay",
"V", "Leisure",
"UNKNOWN", "Unknown",
"Other")</f>
        <v>Iong Stay</v>
      </c>
    </row>
    <row r="310" spans="1:11" x14ac:dyDescent="0.3">
      <c r="A310" t="s">
        <v>1450</v>
      </c>
      <c r="B310" t="s">
        <v>1451</v>
      </c>
      <c r="C310" t="s">
        <v>97</v>
      </c>
      <c r="D310" t="s">
        <v>402</v>
      </c>
      <c r="E310" t="s">
        <v>458</v>
      </c>
      <c r="F310" t="s">
        <v>1452</v>
      </c>
      <c r="G310" t="s">
        <v>615</v>
      </c>
      <c r="H310" t="s">
        <v>908</v>
      </c>
      <c r="I310">
        <f t="shared" si="4"/>
        <v>3</v>
      </c>
      <c r="J310" t="s">
        <v>121</v>
      </c>
      <c r="K310" t="str" cm="1">
        <f t="array" ref="K310">_xlfn.SWITCH(TRIM(UPPER(J310)),
"BUSINESS", "Short Stay",
"CONFERENCE", "Medium Stay",
"VACATION", "Iong Stay",
"HOLIDAY", "Long Stay",
"V", "Leisure",
"UNKNOWN", "Unknown",
"Other")</f>
        <v>Iong Stay</v>
      </c>
    </row>
    <row r="311" spans="1:11" x14ac:dyDescent="0.3">
      <c r="A311" t="s">
        <v>1453</v>
      </c>
      <c r="B311" t="s">
        <v>1454</v>
      </c>
      <c r="C311" t="s">
        <v>30</v>
      </c>
      <c r="D311" t="s">
        <v>1076</v>
      </c>
      <c r="E311" t="s">
        <v>69</v>
      </c>
      <c r="F311" t="s">
        <v>1455</v>
      </c>
      <c r="G311" t="s">
        <v>1456</v>
      </c>
      <c r="H311" t="s">
        <v>797</v>
      </c>
      <c r="I311">
        <f t="shared" si="4"/>
        <v>1</v>
      </c>
      <c r="J311" t="s">
        <v>44</v>
      </c>
      <c r="K311" t="str" cm="1">
        <f t="array" ref="K311">_xlfn.SWITCH(TRIM(UPPER(J311)),
"BUSINESS", "Short Stay",
"CONFERENCE", "Medium Stay",
"VACATION", "Iong Stay",
"HOLIDAY", "Long Stay",
"V", "Leisure",
"UNKNOWN", "Unknown",
"Other")</f>
        <v>Other</v>
      </c>
    </row>
    <row r="312" spans="1:11" x14ac:dyDescent="0.3">
      <c r="A312" t="s">
        <v>1457</v>
      </c>
      <c r="B312" t="s">
        <v>574</v>
      </c>
      <c r="C312" t="s">
        <v>30</v>
      </c>
      <c r="D312" t="s">
        <v>488</v>
      </c>
      <c r="E312" t="s">
        <v>458</v>
      </c>
      <c r="F312" t="s">
        <v>1458</v>
      </c>
      <c r="G312" t="s">
        <v>577</v>
      </c>
      <c r="H312" t="s">
        <v>578</v>
      </c>
      <c r="I312">
        <f t="shared" si="4"/>
        <v>3</v>
      </c>
      <c r="J312" t="s">
        <v>121</v>
      </c>
      <c r="K312" t="str" cm="1">
        <f t="array" ref="K312">_xlfn.SWITCH(TRIM(UPPER(J312)),
"BUSINESS", "Short Stay",
"CONFERENCE", "Medium Stay",
"VACATION", "Iong Stay",
"HOLIDAY", "Long Stay",
"V", "Leisure",
"UNKNOWN", "Unknown",
"Other")</f>
        <v>Iong Stay</v>
      </c>
    </row>
    <row r="313" spans="1:11" x14ac:dyDescent="0.3">
      <c r="A313" t="s">
        <v>1459</v>
      </c>
      <c r="B313" t="s">
        <v>418</v>
      </c>
      <c r="C313" t="s">
        <v>61</v>
      </c>
      <c r="D313" t="s">
        <v>570</v>
      </c>
      <c r="E313" t="s">
        <v>14</v>
      </c>
      <c r="F313" t="s">
        <v>1460</v>
      </c>
      <c r="G313" t="s">
        <v>421</v>
      </c>
      <c r="H313" t="s">
        <v>210</v>
      </c>
      <c r="I313">
        <f t="shared" si="4"/>
        <v>5</v>
      </c>
      <c r="J313" t="s">
        <v>121</v>
      </c>
      <c r="K313" t="str" cm="1">
        <f t="array" ref="K313">_xlfn.SWITCH(TRIM(UPPER(J313)),
"BUSINESS", "Short Stay",
"CONFERENCE", "Medium Stay",
"VACATION", "Iong Stay",
"HOLIDAY", "Long Stay",
"V", "Leisure",
"UNKNOWN", "Unknown",
"Other")</f>
        <v>Iong Stay</v>
      </c>
    </row>
    <row r="314" spans="1:11" x14ac:dyDescent="0.3">
      <c r="A314" t="s">
        <v>1461</v>
      </c>
      <c r="B314" t="s">
        <v>395</v>
      </c>
      <c r="C314" t="s">
        <v>75</v>
      </c>
      <c r="D314" t="s">
        <v>1462</v>
      </c>
      <c r="E314" t="s">
        <v>32</v>
      </c>
      <c r="F314" t="s">
        <v>1463</v>
      </c>
      <c r="G314" t="s">
        <v>398</v>
      </c>
      <c r="H314" t="s">
        <v>604</v>
      </c>
      <c r="I314">
        <f t="shared" si="4"/>
        <v>5</v>
      </c>
      <c r="J314" t="s">
        <v>44</v>
      </c>
      <c r="K314" t="str" cm="1">
        <f t="array" ref="K314">_xlfn.SWITCH(TRIM(UPPER(J314)),
"BUSINESS", "Short Stay",
"CONFERENCE", "Medium Stay",
"VACATION", "Iong Stay",
"HOLIDAY", "Long Stay",
"V", "Leisure",
"UNKNOWN", "Unknown",
"Other")</f>
        <v>Other</v>
      </c>
    </row>
    <row r="315" spans="1:11" x14ac:dyDescent="0.3">
      <c r="A315" t="s">
        <v>1464</v>
      </c>
      <c r="B315" t="s">
        <v>1465</v>
      </c>
      <c r="C315" t="s">
        <v>174</v>
      </c>
      <c r="D315" t="s">
        <v>1466</v>
      </c>
      <c r="E315" t="s">
        <v>69</v>
      </c>
      <c r="F315" t="s">
        <v>1467</v>
      </c>
      <c r="G315" t="s">
        <v>1415</v>
      </c>
      <c r="H315" t="s">
        <v>1208</v>
      </c>
      <c r="I315">
        <f t="shared" si="4"/>
        <v>3</v>
      </c>
      <c r="J315" t="s">
        <v>18</v>
      </c>
      <c r="K315" t="str" cm="1">
        <f t="array" ref="K315">_xlfn.SWITCH(TRIM(UPPER(J315)),
"BUSINESS", "Short Stay",
"CONFERENCE", "Medium Stay",
"VACATION", "Iong Stay",
"HOLIDAY", "Long Stay",
"V", "Leisure",
"UNKNOWN", "Unknown",
"Other")</f>
        <v>Short Stay</v>
      </c>
    </row>
    <row r="316" spans="1:11" x14ac:dyDescent="0.3">
      <c r="A316" t="s">
        <v>1468</v>
      </c>
      <c r="B316" t="s">
        <v>643</v>
      </c>
      <c r="C316" t="s">
        <v>30</v>
      </c>
      <c r="D316" t="s">
        <v>1469</v>
      </c>
      <c r="E316" t="s">
        <v>156</v>
      </c>
      <c r="F316" t="s">
        <v>1470</v>
      </c>
      <c r="G316" t="s">
        <v>645</v>
      </c>
      <c r="H316" t="s">
        <v>1471</v>
      </c>
      <c r="I316">
        <f t="shared" si="4"/>
        <v>1</v>
      </c>
      <c r="J316" t="s">
        <v>44</v>
      </c>
      <c r="K316" t="str" cm="1">
        <f t="array" ref="K316">_xlfn.SWITCH(TRIM(UPPER(J316)),
"BUSINESS", "Short Stay",
"CONFERENCE", "Medium Stay",
"VACATION", "Iong Stay",
"HOLIDAY", "Long Stay",
"V", "Leisure",
"UNKNOWN", "Unknown",
"Other")</f>
        <v>Other</v>
      </c>
    </row>
    <row r="317" spans="1:11" x14ac:dyDescent="0.3">
      <c r="A317" t="s">
        <v>1472</v>
      </c>
      <c r="B317" t="s">
        <v>1473</v>
      </c>
      <c r="C317" t="s">
        <v>97</v>
      </c>
      <c r="D317" t="s">
        <v>1265</v>
      </c>
      <c r="E317" t="s">
        <v>214</v>
      </c>
      <c r="F317" t="s">
        <v>1474</v>
      </c>
      <c r="G317" t="s">
        <v>191</v>
      </c>
      <c r="H317" t="s">
        <v>620</v>
      </c>
      <c r="I317">
        <f t="shared" si="4"/>
        <v>4</v>
      </c>
      <c r="J317" t="s">
        <v>121</v>
      </c>
      <c r="K317" t="str" cm="1">
        <f t="array" ref="K317">_xlfn.SWITCH(TRIM(UPPER(J317)),
"BUSINESS", "Short Stay",
"CONFERENCE", "Medium Stay",
"VACATION", "Iong Stay",
"HOLIDAY", "Long Stay",
"V", "Leisure",
"UNKNOWN", "Unknown",
"Other")</f>
        <v>Iong Stay</v>
      </c>
    </row>
    <row r="318" spans="1:11" x14ac:dyDescent="0.3">
      <c r="A318" t="s">
        <v>1475</v>
      </c>
      <c r="B318" t="s">
        <v>777</v>
      </c>
      <c r="C318" t="s">
        <v>12</v>
      </c>
      <c r="D318" t="s">
        <v>1476</v>
      </c>
      <c r="E318" t="s">
        <v>32</v>
      </c>
      <c r="F318" t="s">
        <v>1477</v>
      </c>
      <c r="G318" t="s">
        <v>780</v>
      </c>
      <c r="H318" t="s">
        <v>744</v>
      </c>
      <c r="I318">
        <f t="shared" si="4"/>
        <v>3</v>
      </c>
      <c r="J318" t="s">
        <v>27</v>
      </c>
      <c r="K318" t="str" cm="1">
        <f t="array" ref="K318">_xlfn.SWITCH(TRIM(UPPER(J318)),
"BUSINESS", "Short Stay",
"CONFERENCE", "Medium Stay",
"VACATION", "Iong Stay",
"HOLIDAY", "Long Stay",
"V", "Leisure",
"UNKNOWN", "Unknown",
"Other")</f>
        <v>Medium Stay</v>
      </c>
    </row>
    <row r="319" spans="1:11" x14ac:dyDescent="0.3">
      <c r="A319" t="s">
        <v>1478</v>
      </c>
      <c r="B319" t="s">
        <v>1162</v>
      </c>
      <c r="C319" t="s">
        <v>21</v>
      </c>
      <c r="D319" t="s">
        <v>1479</v>
      </c>
      <c r="E319" t="s">
        <v>546</v>
      </c>
      <c r="F319" t="s">
        <v>1480</v>
      </c>
      <c r="G319" t="s">
        <v>1164</v>
      </c>
      <c r="H319" t="s">
        <v>1159</v>
      </c>
      <c r="I319">
        <f t="shared" si="4"/>
        <v>1</v>
      </c>
      <c r="J319" t="s">
        <v>27</v>
      </c>
      <c r="K319" t="str" cm="1">
        <f t="array" ref="K319">_xlfn.SWITCH(TRIM(UPPER(J319)),
"BUSINESS", "Short Stay",
"CONFERENCE", "Medium Stay",
"VACATION", "Iong Stay",
"HOLIDAY", "Long Stay",
"V", "Leisure",
"UNKNOWN", "Unknown",
"Other")</f>
        <v>Medium Stay</v>
      </c>
    </row>
    <row r="320" spans="1:11" x14ac:dyDescent="0.3">
      <c r="A320" t="s">
        <v>1481</v>
      </c>
      <c r="B320" t="s">
        <v>1482</v>
      </c>
      <c r="C320" t="s">
        <v>83</v>
      </c>
      <c r="D320" t="s">
        <v>1483</v>
      </c>
      <c r="E320" t="s">
        <v>48</v>
      </c>
      <c r="F320" t="s">
        <v>1484</v>
      </c>
      <c r="G320" t="s">
        <v>1485</v>
      </c>
      <c r="H320" t="s">
        <v>539</v>
      </c>
      <c r="I320">
        <f t="shared" si="4"/>
        <v>3</v>
      </c>
      <c r="J320" t="s">
        <v>44</v>
      </c>
      <c r="K320" t="str" cm="1">
        <f t="array" ref="K320">_xlfn.SWITCH(TRIM(UPPER(J320)),
"BUSINESS", "Short Stay",
"CONFERENCE", "Medium Stay",
"VACATION", "Iong Stay",
"HOLIDAY", "Long Stay",
"V", "Leisure",
"UNKNOWN", "Unknown",
"Other")</f>
        <v>Other</v>
      </c>
    </row>
    <row r="321" spans="1:11" x14ac:dyDescent="0.3">
      <c r="A321" t="s">
        <v>1486</v>
      </c>
      <c r="B321" t="s">
        <v>1487</v>
      </c>
      <c r="C321" t="s">
        <v>38</v>
      </c>
      <c r="D321" t="s">
        <v>1488</v>
      </c>
      <c r="E321" t="s">
        <v>117</v>
      </c>
      <c r="F321" t="s">
        <v>1489</v>
      </c>
      <c r="G321" t="s">
        <v>438</v>
      </c>
      <c r="H321" t="s">
        <v>895</v>
      </c>
      <c r="I321">
        <f t="shared" si="4"/>
        <v>3</v>
      </c>
      <c r="J321" t="s">
        <v>121</v>
      </c>
      <c r="K321" t="str" cm="1">
        <f t="array" ref="K321">_xlfn.SWITCH(TRIM(UPPER(J321)),
"BUSINESS", "Short Stay",
"CONFERENCE", "Medium Stay",
"VACATION", "Iong Stay",
"HOLIDAY", "Long Stay",
"V", "Leisure",
"UNKNOWN", "Unknown",
"Other")</f>
        <v>Iong Stay</v>
      </c>
    </row>
    <row r="322" spans="1:11" x14ac:dyDescent="0.3">
      <c r="A322" t="s">
        <v>1490</v>
      </c>
      <c r="B322" t="s">
        <v>1050</v>
      </c>
      <c r="C322" t="s">
        <v>30</v>
      </c>
      <c r="D322" t="s">
        <v>581</v>
      </c>
      <c r="E322" t="s">
        <v>214</v>
      </c>
      <c r="F322" t="s">
        <v>1491</v>
      </c>
      <c r="G322" t="s">
        <v>1053</v>
      </c>
      <c r="H322" t="s">
        <v>351</v>
      </c>
      <c r="I322">
        <f t="shared" si="4"/>
        <v>3</v>
      </c>
      <c r="J322" t="s">
        <v>18</v>
      </c>
      <c r="K322" t="str" cm="1">
        <f t="array" ref="K322">_xlfn.SWITCH(TRIM(UPPER(J322)),
"BUSINESS", "Short Stay",
"CONFERENCE", "Medium Stay",
"VACATION", "Iong Stay",
"HOLIDAY", "Long Stay",
"V", "Leisure",
"UNKNOWN", "Unknown",
"Other")</f>
        <v>Short Stay</v>
      </c>
    </row>
    <row r="323" spans="1:11" x14ac:dyDescent="0.3">
      <c r="A323" t="s">
        <v>1492</v>
      </c>
      <c r="B323" t="s">
        <v>1465</v>
      </c>
      <c r="C323" t="s">
        <v>75</v>
      </c>
      <c r="D323" t="s">
        <v>1493</v>
      </c>
      <c r="E323" t="s">
        <v>40</v>
      </c>
      <c r="F323" t="s">
        <v>1494</v>
      </c>
      <c r="G323" t="s">
        <v>1415</v>
      </c>
      <c r="H323" t="s">
        <v>983</v>
      </c>
      <c r="I323">
        <f t="shared" ref="I323:I386" si="5">H323-G323</f>
        <v>4</v>
      </c>
      <c r="J323" t="s">
        <v>44</v>
      </c>
      <c r="K323" t="str" cm="1">
        <f t="array" ref="K323">_xlfn.SWITCH(TRIM(UPPER(J323)),
"BUSINESS", "Short Stay",
"CONFERENCE", "Medium Stay",
"VACATION", "Iong Stay",
"HOLIDAY", "Long Stay",
"V", "Leisure",
"UNKNOWN", "Unknown",
"Other")</f>
        <v>Other</v>
      </c>
    </row>
    <row r="324" spans="1:11" x14ac:dyDescent="0.3">
      <c r="A324" t="s">
        <v>1495</v>
      </c>
      <c r="B324" t="s">
        <v>235</v>
      </c>
      <c r="C324" t="s">
        <v>54</v>
      </c>
      <c r="D324" t="s">
        <v>1496</v>
      </c>
      <c r="E324" t="s">
        <v>32</v>
      </c>
      <c r="F324" t="s">
        <v>1497</v>
      </c>
      <c r="G324" t="s">
        <v>238</v>
      </c>
      <c r="H324" t="s">
        <v>404</v>
      </c>
      <c r="I324">
        <f t="shared" si="5"/>
        <v>2</v>
      </c>
      <c r="J324" t="s">
        <v>27</v>
      </c>
      <c r="K324" t="str" cm="1">
        <f t="array" ref="K324">_xlfn.SWITCH(TRIM(UPPER(J324)),
"BUSINESS", "Short Stay",
"CONFERENCE", "Medium Stay",
"VACATION", "Iong Stay",
"HOLIDAY", "Long Stay",
"V", "Leisure",
"UNKNOWN", "Unknown",
"Other")</f>
        <v>Medium Stay</v>
      </c>
    </row>
    <row r="325" spans="1:11" x14ac:dyDescent="0.3">
      <c r="A325" t="s">
        <v>1498</v>
      </c>
      <c r="B325" t="s">
        <v>688</v>
      </c>
      <c r="C325" t="s">
        <v>83</v>
      </c>
      <c r="D325" t="s">
        <v>1499</v>
      </c>
      <c r="E325" t="s">
        <v>201</v>
      </c>
      <c r="F325" t="s">
        <v>1500</v>
      </c>
      <c r="G325" t="s">
        <v>298</v>
      </c>
      <c r="H325" t="s">
        <v>691</v>
      </c>
      <c r="I325">
        <f t="shared" si="5"/>
        <v>1</v>
      </c>
      <c r="J325" t="s">
        <v>18</v>
      </c>
      <c r="K325" t="str" cm="1">
        <f t="array" ref="K325">_xlfn.SWITCH(TRIM(UPPER(J325)),
"BUSINESS", "Short Stay",
"CONFERENCE", "Medium Stay",
"VACATION", "Iong Stay",
"HOLIDAY", "Long Stay",
"V", "Leisure",
"UNKNOWN", "Unknown",
"Other")</f>
        <v>Short Stay</v>
      </c>
    </row>
    <row r="326" spans="1:11" x14ac:dyDescent="0.3">
      <c r="A326" t="s">
        <v>1501</v>
      </c>
      <c r="B326" t="s">
        <v>1502</v>
      </c>
      <c r="C326" t="s">
        <v>61</v>
      </c>
      <c r="D326" t="s">
        <v>1503</v>
      </c>
      <c r="E326" t="s">
        <v>430</v>
      </c>
      <c r="F326" t="s">
        <v>1504</v>
      </c>
      <c r="G326" t="s">
        <v>1505</v>
      </c>
      <c r="H326" t="s">
        <v>568</v>
      </c>
      <c r="I326">
        <f t="shared" si="5"/>
        <v>3</v>
      </c>
      <c r="J326" t="s">
        <v>44</v>
      </c>
      <c r="K326" t="str" cm="1">
        <f t="array" ref="K326">_xlfn.SWITCH(TRIM(UPPER(J326)),
"BUSINESS", "Short Stay",
"CONFERENCE", "Medium Stay",
"VACATION", "Iong Stay",
"HOLIDAY", "Long Stay",
"V", "Leisure",
"UNKNOWN", "Unknown",
"Other")</f>
        <v>Other</v>
      </c>
    </row>
    <row r="327" spans="1:11" x14ac:dyDescent="0.3">
      <c r="A327" t="s">
        <v>1506</v>
      </c>
      <c r="B327" t="s">
        <v>746</v>
      </c>
      <c r="C327" t="s">
        <v>38</v>
      </c>
      <c r="D327" t="s">
        <v>1507</v>
      </c>
      <c r="E327" t="s">
        <v>430</v>
      </c>
      <c r="F327" t="s">
        <v>1508</v>
      </c>
      <c r="G327" t="s">
        <v>749</v>
      </c>
      <c r="H327" t="s">
        <v>946</v>
      </c>
      <c r="I327">
        <f t="shared" si="5"/>
        <v>2</v>
      </c>
      <c r="J327" t="s">
        <v>121</v>
      </c>
      <c r="K327" t="str" cm="1">
        <f t="array" ref="K327">_xlfn.SWITCH(TRIM(UPPER(J327)),
"BUSINESS", "Short Stay",
"CONFERENCE", "Medium Stay",
"VACATION", "Iong Stay",
"HOLIDAY", "Long Stay",
"V", "Leisure",
"UNKNOWN", "Unknown",
"Other")</f>
        <v>Iong Stay</v>
      </c>
    </row>
    <row r="328" spans="1:11" x14ac:dyDescent="0.3">
      <c r="A328" t="s">
        <v>1509</v>
      </c>
      <c r="B328" t="s">
        <v>1510</v>
      </c>
      <c r="C328" t="s">
        <v>30</v>
      </c>
      <c r="D328" t="s">
        <v>1511</v>
      </c>
      <c r="E328" t="s">
        <v>458</v>
      </c>
      <c r="F328" t="s">
        <v>1512</v>
      </c>
      <c r="G328" t="s">
        <v>101</v>
      </c>
      <c r="H328" t="s">
        <v>620</v>
      </c>
      <c r="I328">
        <f t="shared" si="5"/>
        <v>3</v>
      </c>
      <c r="J328" t="s">
        <v>121</v>
      </c>
      <c r="K328" t="str" cm="1">
        <f t="array" ref="K328">_xlfn.SWITCH(TRIM(UPPER(J328)),
"BUSINESS", "Short Stay",
"CONFERENCE", "Medium Stay",
"VACATION", "Iong Stay",
"HOLIDAY", "Long Stay",
"V", "Leisure",
"UNKNOWN", "Unknown",
"Other")</f>
        <v>Iong Stay</v>
      </c>
    </row>
    <row r="329" spans="1:11" x14ac:dyDescent="0.3">
      <c r="A329" t="s">
        <v>1513</v>
      </c>
      <c r="B329" t="s">
        <v>29</v>
      </c>
      <c r="C329" t="s">
        <v>75</v>
      </c>
      <c r="D329" t="s">
        <v>1514</v>
      </c>
      <c r="E329" t="s">
        <v>476</v>
      </c>
      <c r="F329" t="s">
        <v>1515</v>
      </c>
      <c r="G329" t="s">
        <v>34</v>
      </c>
      <c r="H329" t="s">
        <v>35</v>
      </c>
      <c r="I329">
        <f t="shared" si="5"/>
        <v>1</v>
      </c>
      <c r="J329" t="s">
        <v>27</v>
      </c>
      <c r="K329" t="str" cm="1">
        <f t="array" ref="K329">_xlfn.SWITCH(TRIM(UPPER(J329)),
"BUSINESS", "Short Stay",
"CONFERENCE", "Medium Stay",
"VACATION", "Iong Stay",
"HOLIDAY", "Long Stay",
"V", "Leisure",
"UNKNOWN", "Unknown",
"Other")</f>
        <v>Medium Stay</v>
      </c>
    </row>
    <row r="330" spans="1:11" x14ac:dyDescent="0.3">
      <c r="A330" t="s">
        <v>1516</v>
      </c>
      <c r="B330" t="s">
        <v>1201</v>
      </c>
      <c r="C330" t="s">
        <v>174</v>
      </c>
      <c r="D330" t="s">
        <v>1517</v>
      </c>
      <c r="E330" t="s">
        <v>63</v>
      </c>
      <c r="F330" t="s">
        <v>1518</v>
      </c>
      <c r="G330" t="s">
        <v>1204</v>
      </c>
      <c r="H330" t="s">
        <v>432</v>
      </c>
      <c r="I330">
        <f t="shared" si="5"/>
        <v>4</v>
      </c>
      <c r="J330" t="s">
        <v>44</v>
      </c>
      <c r="K330" t="str" cm="1">
        <f t="array" ref="K330">_xlfn.SWITCH(TRIM(UPPER(J330)),
"BUSINESS", "Short Stay",
"CONFERENCE", "Medium Stay",
"VACATION", "Iong Stay",
"HOLIDAY", "Long Stay",
"V", "Leisure",
"UNKNOWN", "Unknown",
"Other")</f>
        <v>Other</v>
      </c>
    </row>
    <row r="331" spans="1:11" x14ac:dyDescent="0.3">
      <c r="A331" t="s">
        <v>1519</v>
      </c>
      <c r="B331" t="s">
        <v>799</v>
      </c>
      <c r="C331" t="s">
        <v>21</v>
      </c>
      <c r="D331" t="s">
        <v>1520</v>
      </c>
      <c r="E331" t="s">
        <v>201</v>
      </c>
      <c r="F331" t="s">
        <v>1521</v>
      </c>
      <c r="G331" t="s">
        <v>802</v>
      </c>
      <c r="H331" t="s">
        <v>1522</v>
      </c>
      <c r="I331">
        <f t="shared" si="5"/>
        <v>3</v>
      </c>
      <c r="J331" t="s">
        <v>121</v>
      </c>
      <c r="K331" t="str" cm="1">
        <f t="array" ref="K331">_xlfn.SWITCH(TRIM(UPPER(J331)),
"BUSINESS", "Short Stay",
"CONFERENCE", "Medium Stay",
"VACATION", "Iong Stay",
"HOLIDAY", "Long Stay",
"V", "Leisure",
"UNKNOWN", "Unknown",
"Other")</f>
        <v>Iong Stay</v>
      </c>
    </row>
    <row r="332" spans="1:11" x14ac:dyDescent="0.3">
      <c r="A332" t="s">
        <v>1523</v>
      </c>
      <c r="B332" t="s">
        <v>741</v>
      </c>
      <c r="C332" t="s">
        <v>97</v>
      </c>
      <c r="D332" t="s">
        <v>1524</v>
      </c>
      <c r="E332" t="s">
        <v>14</v>
      </c>
      <c r="F332" t="s">
        <v>1525</v>
      </c>
      <c r="G332" t="s">
        <v>744</v>
      </c>
      <c r="H332" t="s">
        <v>677</v>
      </c>
      <c r="I332">
        <f t="shared" si="5"/>
        <v>4</v>
      </c>
      <c r="J332" t="s">
        <v>44</v>
      </c>
      <c r="K332" t="str" cm="1">
        <f t="array" ref="K332">_xlfn.SWITCH(TRIM(UPPER(J332)),
"BUSINESS", "Short Stay",
"CONFERENCE", "Medium Stay",
"VACATION", "Iong Stay",
"HOLIDAY", "Long Stay",
"V", "Leisure",
"UNKNOWN", "Unknown",
"Other")</f>
        <v>Other</v>
      </c>
    </row>
    <row r="333" spans="1:11" x14ac:dyDescent="0.3">
      <c r="A333" t="s">
        <v>1526</v>
      </c>
      <c r="B333" t="s">
        <v>1527</v>
      </c>
      <c r="C333" t="s">
        <v>61</v>
      </c>
      <c r="D333" t="s">
        <v>1528</v>
      </c>
      <c r="E333" t="s">
        <v>201</v>
      </c>
      <c r="F333" t="s">
        <v>1529</v>
      </c>
      <c r="G333" t="s">
        <v>781</v>
      </c>
      <c r="H333" t="s">
        <v>328</v>
      </c>
      <c r="I333">
        <f t="shared" si="5"/>
        <v>2</v>
      </c>
      <c r="J333" t="s">
        <v>27</v>
      </c>
      <c r="K333" t="str" cm="1">
        <f t="array" ref="K333">_xlfn.SWITCH(TRIM(UPPER(J333)),
"BUSINESS", "Short Stay",
"CONFERENCE", "Medium Stay",
"VACATION", "Iong Stay",
"HOLIDAY", "Long Stay",
"V", "Leisure",
"UNKNOWN", "Unknown",
"Other")</f>
        <v>Medium Stay</v>
      </c>
    </row>
    <row r="334" spans="1:11" x14ac:dyDescent="0.3">
      <c r="A334" t="s">
        <v>1530</v>
      </c>
      <c r="B334" t="s">
        <v>530</v>
      </c>
      <c r="C334" t="s">
        <v>83</v>
      </c>
      <c r="D334" t="s">
        <v>1531</v>
      </c>
      <c r="E334" t="s">
        <v>69</v>
      </c>
      <c r="F334" t="s">
        <v>1532</v>
      </c>
      <c r="G334" t="s">
        <v>512</v>
      </c>
      <c r="H334" t="s">
        <v>635</v>
      </c>
      <c r="I334">
        <f t="shared" si="5"/>
        <v>3</v>
      </c>
      <c r="J334" t="s">
        <v>27</v>
      </c>
      <c r="K334" t="str" cm="1">
        <f t="array" ref="K334">_xlfn.SWITCH(TRIM(UPPER(J334)),
"BUSINESS", "Short Stay",
"CONFERENCE", "Medium Stay",
"VACATION", "Iong Stay",
"HOLIDAY", "Long Stay",
"V", "Leisure",
"UNKNOWN", "Unknown",
"Other")</f>
        <v>Medium Stay</v>
      </c>
    </row>
    <row r="335" spans="1:11" x14ac:dyDescent="0.3">
      <c r="A335" t="s">
        <v>1533</v>
      </c>
      <c r="B335" t="s">
        <v>1534</v>
      </c>
      <c r="C335" t="s">
        <v>54</v>
      </c>
      <c r="D335" t="s">
        <v>1535</v>
      </c>
      <c r="E335" t="s">
        <v>430</v>
      </c>
      <c r="F335" t="s">
        <v>1536</v>
      </c>
      <c r="G335" t="s">
        <v>152</v>
      </c>
      <c r="H335" t="s">
        <v>1407</v>
      </c>
      <c r="I335">
        <f t="shared" si="5"/>
        <v>4</v>
      </c>
      <c r="J335" t="s">
        <v>27</v>
      </c>
      <c r="K335" t="str" cm="1">
        <f t="array" ref="K335">_xlfn.SWITCH(TRIM(UPPER(J335)),
"BUSINESS", "Short Stay",
"CONFERENCE", "Medium Stay",
"VACATION", "Iong Stay",
"HOLIDAY", "Long Stay",
"V", "Leisure",
"UNKNOWN", "Unknown",
"Other")</f>
        <v>Medium Stay</v>
      </c>
    </row>
    <row r="336" spans="1:11" x14ac:dyDescent="0.3">
      <c r="A336" t="s">
        <v>1537</v>
      </c>
      <c r="B336" t="s">
        <v>109</v>
      </c>
      <c r="C336" t="s">
        <v>54</v>
      </c>
      <c r="D336" t="s">
        <v>1538</v>
      </c>
      <c r="E336" t="s">
        <v>69</v>
      </c>
      <c r="F336" t="s">
        <v>1539</v>
      </c>
      <c r="G336" t="s">
        <v>112</v>
      </c>
      <c r="H336" t="s">
        <v>426</v>
      </c>
      <c r="I336">
        <f t="shared" si="5"/>
        <v>4</v>
      </c>
      <c r="J336" t="s">
        <v>121</v>
      </c>
      <c r="K336" t="str" cm="1">
        <f t="array" ref="K336">_xlfn.SWITCH(TRIM(UPPER(J336)),
"BUSINESS", "Short Stay",
"CONFERENCE", "Medium Stay",
"VACATION", "Iong Stay",
"HOLIDAY", "Long Stay",
"V", "Leisure",
"UNKNOWN", "Unknown",
"Other")</f>
        <v>Iong Stay</v>
      </c>
    </row>
    <row r="337" spans="1:11" x14ac:dyDescent="0.3">
      <c r="A337" t="s">
        <v>1540</v>
      </c>
      <c r="B337" t="s">
        <v>1541</v>
      </c>
      <c r="C337" t="s">
        <v>38</v>
      </c>
      <c r="D337" t="s">
        <v>1146</v>
      </c>
      <c r="E337" t="s">
        <v>149</v>
      </c>
      <c r="F337" t="s">
        <v>1542</v>
      </c>
      <c r="G337" t="s">
        <v>1543</v>
      </c>
      <c r="H337" t="s">
        <v>1437</v>
      </c>
      <c r="I337">
        <f t="shared" si="5"/>
        <v>3</v>
      </c>
      <c r="J337" t="s">
        <v>44</v>
      </c>
      <c r="K337" t="str" cm="1">
        <f t="array" ref="K337">_xlfn.SWITCH(TRIM(UPPER(J337)),
"BUSINESS", "Short Stay",
"CONFERENCE", "Medium Stay",
"VACATION", "Iong Stay",
"HOLIDAY", "Long Stay",
"V", "Leisure",
"UNKNOWN", "Unknown",
"Other")</f>
        <v>Other</v>
      </c>
    </row>
    <row r="338" spans="1:11" x14ac:dyDescent="0.3">
      <c r="A338" t="s">
        <v>1544</v>
      </c>
      <c r="B338" t="s">
        <v>879</v>
      </c>
      <c r="C338" t="s">
        <v>174</v>
      </c>
      <c r="D338" t="s">
        <v>1545</v>
      </c>
      <c r="E338" t="s">
        <v>149</v>
      </c>
      <c r="F338" t="s">
        <v>1546</v>
      </c>
      <c r="G338" t="s">
        <v>179</v>
      </c>
      <c r="H338" t="s">
        <v>151</v>
      </c>
      <c r="I338">
        <f t="shared" si="5"/>
        <v>1</v>
      </c>
      <c r="J338" t="s">
        <v>44</v>
      </c>
      <c r="K338" t="str" cm="1">
        <f t="array" ref="K338">_xlfn.SWITCH(TRIM(UPPER(J338)),
"BUSINESS", "Short Stay",
"CONFERENCE", "Medium Stay",
"VACATION", "Iong Stay",
"HOLIDAY", "Long Stay",
"V", "Leisure",
"UNKNOWN", "Unknown",
"Other")</f>
        <v>Other</v>
      </c>
    </row>
    <row r="339" spans="1:11" x14ac:dyDescent="0.3">
      <c r="A339" t="s">
        <v>1547</v>
      </c>
      <c r="B339" t="s">
        <v>1434</v>
      </c>
      <c r="C339" t="s">
        <v>97</v>
      </c>
      <c r="D339" t="s">
        <v>1548</v>
      </c>
      <c r="E339" t="s">
        <v>458</v>
      </c>
      <c r="F339" t="s">
        <v>1424</v>
      </c>
      <c r="G339" t="s">
        <v>1437</v>
      </c>
      <c r="H339" t="s">
        <v>416</v>
      </c>
      <c r="I339">
        <f t="shared" si="5"/>
        <v>3</v>
      </c>
      <c r="J339" t="s">
        <v>27</v>
      </c>
      <c r="K339" t="str" cm="1">
        <f t="array" ref="K339">_xlfn.SWITCH(TRIM(UPPER(J339)),
"BUSINESS", "Short Stay",
"CONFERENCE", "Medium Stay",
"VACATION", "Iong Stay",
"HOLIDAY", "Long Stay",
"V", "Leisure",
"UNKNOWN", "Unknown",
"Other")</f>
        <v>Medium Stay</v>
      </c>
    </row>
    <row r="340" spans="1:11" x14ac:dyDescent="0.3">
      <c r="A340" t="s">
        <v>1549</v>
      </c>
      <c r="B340" t="s">
        <v>793</v>
      </c>
      <c r="C340" t="s">
        <v>97</v>
      </c>
      <c r="D340" t="s">
        <v>1550</v>
      </c>
      <c r="E340" t="s">
        <v>458</v>
      </c>
      <c r="F340" t="s">
        <v>1551</v>
      </c>
      <c r="G340" t="s">
        <v>796</v>
      </c>
      <c r="H340" t="s">
        <v>625</v>
      </c>
      <c r="I340">
        <f t="shared" si="5"/>
        <v>5</v>
      </c>
      <c r="J340" t="s">
        <v>27</v>
      </c>
      <c r="K340" t="str" cm="1">
        <f t="array" ref="K340">_xlfn.SWITCH(TRIM(UPPER(J340)),
"BUSINESS", "Short Stay",
"CONFERENCE", "Medium Stay",
"VACATION", "Iong Stay",
"HOLIDAY", "Long Stay",
"V", "Leisure",
"UNKNOWN", "Unknown",
"Other")</f>
        <v>Medium Stay</v>
      </c>
    </row>
    <row r="341" spans="1:11" x14ac:dyDescent="0.3">
      <c r="A341" t="s">
        <v>1552</v>
      </c>
      <c r="B341" t="s">
        <v>1553</v>
      </c>
      <c r="C341" t="s">
        <v>83</v>
      </c>
      <c r="D341" t="s">
        <v>794</v>
      </c>
      <c r="E341" t="s">
        <v>40</v>
      </c>
      <c r="F341" t="s">
        <v>1554</v>
      </c>
      <c r="G341" t="s">
        <v>1555</v>
      </c>
      <c r="H341" t="s">
        <v>559</v>
      </c>
      <c r="I341">
        <f t="shared" si="5"/>
        <v>1</v>
      </c>
      <c r="J341" t="s">
        <v>121</v>
      </c>
      <c r="K341" t="str" cm="1">
        <f t="array" ref="K341">_xlfn.SWITCH(TRIM(UPPER(J341)),
"BUSINESS", "Short Stay",
"CONFERENCE", "Medium Stay",
"VACATION", "Iong Stay",
"HOLIDAY", "Long Stay",
"V", "Leisure",
"UNKNOWN", "Unknown",
"Other")</f>
        <v>Iong Stay</v>
      </c>
    </row>
    <row r="342" spans="1:11" x14ac:dyDescent="0.3">
      <c r="A342" t="s">
        <v>1556</v>
      </c>
      <c r="B342" t="s">
        <v>1557</v>
      </c>
      <c r="C342" t="s">
        <v>75</v>
      </c>
      <c r="D342" t="s">
        <v>348</v>
      </c>
      <c r="E342" t="s">
        <v>430</v>
      </c>
      <c r="F342" t="s">
        <v>1558</v>
      </c>
      <c r="G342" t="s">
        <v>958</v>
      </c>
      <c r="H342" t="s">
        <v>1559</v>
      </c>
      <c r="I342">
        <f t="shared" si="5"/>
        <v>1</v>
      </c>
      <c r="J342" t="s">
        <v>18</v>
      </c>
      <c r="K342" t="str" cm="1">
        <f t="array" ref="K342">_xlfn.SWITCH(TRIM(UPPER(J342)),
"BUSINESS", "Short Stay",
"CONFERENCE", "Medium Stay",
"VACATION", "Iong Stay",
"HOLIDAY", "Long Stay",
"V", "Leisure",
"UNKNOWN", "Unknown",
"Other")</f>
        <v>Short Stay</v>
      </c>
    </row>
    <row r="343" spans="1:11" x14ac:dyDescent="0.3">
      <c r="A343" t="s">
        <v>1560</v>
      </c>
      <c r="B343" t="s">
        <v>921</v>
      </c>
      <c r="C343" t="s">
        <v>12</v>
      </c>
      <c r="D343" t="s">
        <v>897</v>
      </c>
      <c r="E343" t="s">
        <v>214</v>
      </c>
      <c r="F343" t="s">
        <v>1561</v>
      </c>
      <c r="G343" t="s">
        <v>594</v>
      </c>
      <c r="H343" t="s">
        <v>663</v>
      </c>
      <c r="I343">
        <f t="shared" si="5"/>
        <v>4</v>
      </c>
      <c r="J343" t="s">
        <v>27</v>
      </c>
      <c r="K343" t="str" cm="1">
        <f t="array" ref="K343">_xlfn.SWITCH(TRIM(UPPER(J343)),
"BUSINESS", "Short Stay",
"CONFERENCE", "Medium Stay",
"VACATION", "Iong Stay",
"HOLIDAY", "Long Stay",
"V", "Leisure",
"UNKNOWN", "Unknown",
"Other")</f>
        <v>Medium Stay</v>
      </c>
    </row>
    <row r="344" spans="1:11" x14ac:dyDescent="0.3">
      <c r="A344" t="s">
        <v>1562</v>
      </c>
      <c r="B344" t="s">
        <v>1022</v>
      </c>
      <c r="C344" t="s">
        <v>174</v>
      </c>
      <c r="D344" t="s">
        <v>1563</v>
      </c>
      <c r="E344" t="s">
        <v>156</v>
      </c>
      <c r="F344" t="s">
        <v>1564</v>
      </c>
      <c r="G344" t="s">
        <v>1025</v>
      </c>
      <c r="H344" t="s">
        <v>1260</v>
      </c>
      <c r="I344">
        <f t="shared" si="5"/>
        <v>1</v>
      </c>
      <c r="J344" t="s">
        <v>27</v>
      </c>
      <c r="K344" t="str" cm="1">
        <f t="array" ref="K344">_xlfn.SWITCH(TRIM(UPPER(J344)),
"BUSINESS", "Short Stay",
"CONFERENCE", "Medium Stay",
"VACATION", "Iong Stay",
"HOLIDAY", "Long Stay",
"V", "Leisure",
"UNKNOWN", "Unknown",
"Other")</f>
        <v>Medium Stay</v>
      </c>
    </row>
    <row r="345" spans="1:11" x14ac:dyDescent="0.3">
      <c r="A345" t="s">
        <v>1565</v>
      </c>
      <c r="B345" t="s">
        <v>818</v>
      </c>
      <c r="C345" t="s">
        <v>75</v>
      </c>
      <c r="D345" t="s">
        <v>1566</v>
      </c>
      <c r="E345" t="s">
        <v>546</v>
      </c>
      <c r="F345" t="s">
        <v>1567</v>
      </c>
      <c r="G345" t="s">
        <v>821</v>
      </c>
      <c r="H345" t="s">
        <v>345</v>
      </c>
      <c r="I345">
        <f t="shared" si="5"/>
        <v>5</v>
      </c>
      <c r="J345" t="s">
        <v>121</v>
      </c>
      <c r="K345" t="str" cm="1">
        <f t="array" ref="K345">_xlfn.SWITCH(TRIM(UPPER(J345)),
"BUSINESS", "Short Stay",
"CONFERENCE", "Medium Stay",
"VACATION", "Iong Stay",
"HOLIDAY", "Long Stay",
"V", "Leisure",
"UNKNOWN", "Unknown",
"Other")</f>
        <v>Iong Stay</v>
      </c>
    </row>
    <row r="346" spans="1:11" x14ac:dyDescent="0.3">
      <c r="A346" t="s">
        <v>1568</v>
      </c>
      <c r="B346" t="s">
        <v>1162</v>
      </c>
      <c r="C346" t="s">
        <v>61</v>
      </c>
      <c r="D346" t="s">
        <v>1569</v>
      </c>
      <c r="E346" t="s">
        <v>201</v>
      </c>
      <c r="F346" t="s">
        <v>1570</v>
      </c>
      <c r="G346" t="s">
        <v>1164</v>
      </c>
      <c r="H346" t="s">
        <v>1159</v>
      </c>
      <c r="I346">
        <f t="shared" si="5"/>
        <v>1</v>
      </c>
      <c r="J346" t="s">
        <v>121</v>
      </c>
      <c r="K346" t="str" cm="1">
        <f t="array" ref="K346">_xlfn.SWITCH(TRIM(UPPER(J346)),
"BUSINESS", "Short Stay",
"CONFERENCE", "Medium Stay",
"VACATION", "Iong Stay",
"HOLIDAY", "Long Stay",
"V", "Leisure",
"UNKNOWN", "Unknown",
"Other")</f>
        <v>Iong Stay</v>
      </c>
    </row>
    <row r="347" spans="1:11" x14ac:dyDescent="0.3">
      <c r="A347" t="s">
        <v>1571</v>
      </c>
      <c r="B347" t="s">
        <v>1572</v>
      </c>
      <c r="C347" t="s">
        <v>38</v>
      </c>
      <c r="D347" t="s">
        <v>1573</v>
      </c>
      <c r="E347" t="s">
        <v>314</v>
      </c>
      <c r="F347" t="s">
        <v>1574</v>
      </c>
      <c r="G347" t="s">
        <v>1575</v>
      </c>
      <c r="H347" t="s">
        <v>1195</v>
      </c>
      <c r="I347">
        <f t="shared" si="5"/>
        <v>5</v>
      </c>
      <c r="J347" t="s">
        <v>18</v>
      </c>
      <c r="K347" t="str" cm="1">
        <f t="array" ref="K347">_xlfn.SWITCH(TRIM(UPPER(J347)),
"BUSINESS", "Short Stay",
"CONFERENCE", "Medium Stay",
"VACATION", "Iong Stay",
"HOLIDAY", "Long Stay",
"V", "Leisure",
"UNKNOWN", "Unknown",
"Other")</f>
        <v>Short Stay</v>
      </c>
    </row>
    <row r="348" spans="1:11" x14ac:dyDescent="0.3">
      <c r="A348" t="s">
        <v>1576</v>
      </c>
      <c r="B348" t="s">
        <v>482</v>
      </c>
      <c r="C348" t="s">
        <v>54</v>
      </c>
      <c r="D348" t="s">
        <v>1088</v>
      </c>
      <c r="E348" t="s">
        <v>214</v>
      </c>
      <c r="F348" t="s">
        <v>1577</v>
      </c>
      <c r="G348" t="s">
        <v>277</v>
      </c>
      <c r="H348" t="s">
        <v>1176</v>
      </c>
      <c r="I348">
        <f t="shared" si="5"/>
        <v>3</v>
      </c>
      <c r="J348" t="s">
        <v>27</v>
      </c>
      <c r="K348" t="str" cm="1">
        <f t="array" ref="K348">_xlfn.SWITCH(TRIM(UPPER(J348)),
"BUSINESS", "Short Stay",
"CONFERENCE", "Medium Stay",
"VACATION", "Iong Stay",
"HOLIDAY", "Long Stay",
"V", "Leisure",
"UNKNOWN", "Unknown",
"Other")</f>
        <v>Medium Stay</v>
      </c>
    </row>
    <row r="349" spans="1:11" x14ac:dyDescent="0.3">
      <c r="A349" t="s">
        <v>1578</v>
      </c>
      <c r="B349" t="s">
        <v>257</v>
      </c>
      <c r="C349" t="s">
        <v>38</v>
      </c>
      <c r="D349" t="s">
        <v>1579</v>
      </c>
      <c r="E349" t="s">
        <v>77</v>
      </c>
      <c r="F349" t="s">
        <v>1580</v>
      </c>
      <c r="G349" t="s">
        <v>260</v>
      </c>
      <c r="H349" t="s">
        <v>65</v>
      </c>
      <c r="I349">
        <f t="shared" si="5"/>
        <v>5</v>
      </c>
      <c r="J349" t="s">
        <v>18</v>
      </c>
      <c r="K349" t="str" cm="1">
        <f t="array" ref="K349">_xlfn.SWITCH(TRIM(UPPER(J349)),
"BUSINESS", "Short Stay",
"CONFERENCE", "Medium Stay",
"VACATION", "Iong Stay",
"HOLIDAY", "Long Stay",
"V", "Leisure",
"UNKNOWN", "Unknown",
"Other")</f>
        <v>Short Stay</v>
      </c>
    </row>
    <row r="350" spans="1:11" x14ac:dyDescent="0.3">
      <c r="A350" t="s">
        <v>1581</v>
      </c>
      <c r="B350" t="s">
        <v>648</v>
      </c>
      <c r="C350" t="s">
        <v>30</v>
      </c>
      <c r="D350" t="s">
        <v>1582</v>
      </c>
      <c r="E350" t="s">
        <v>476</v>
      </c>
      <c r="F350" t="s">
        <v>1583</v>
      </c>
      <c r="G350" t="s">
        <v>572</v>
      </c>
      <c r="H350" t="s">
        <v>383</v>
      </c>
      <c r="I350">
        <f t="shared" si="5"/>
        <v>4</v>
      </c>
      <c r="J350" t="s">
        <v>121</v>
      </c>
      <c r="K350" t="str" cm="1">
        <f t="array" ref="K350">_xlfn.SWITCH(TRIM(UPPER(J350)),
"BUSINESS", "Short Stay",
"CONFERENCE", "Medium Stay",
"VACATION", "Iong Stay",
"HOLIDAY", "Long Stay",
"V", "Leisure",
"UNKNOWN", "Unknown",
"Other")</f>
        <v>Iong Stay</v>
      </c>
    </row>
    <row r="351" spans="1:11" x14ac:dyDescent="0.3">
      <c r="A351" t="s">
        <v>1584</v>
      </c>
      <c r="B351" t="s">
        <v>1585</v>
      </c>
      <c r="C351" t="s">
        <v>12</v>
      </c>
      <c r="D351" t="s">
        <v>1586</v>
      </c>
      <c r="E351" t="s">
        <v>149</v>
      </c>
      <c r="F351" t="s">
        <v>1587</v>
      </c>
      <c r="G351" t="s">
        <v>1588</v>
      </c>
      <c r="H351" t="s">
        <v>1589</v>
      </c>
      <c r="I351">
        <f t="shared" si="5"/>
        <v>3</v>
      </c>
      <c r="J351" t="s">
        <v>18</v>
      </c>
      <c r="K351" t="str" cm="1">
        <f t="array" ref="K351">_xlfn.SWITCH(TRIM(UPPER(J351)),
"BUSINESS", "Short Stay",
"CONFERENCE", "Medium Stay",
"VACATION", "Iong Stay",
"HOLIDAY", "Long Stay",
"V", "Leisure",
"UNKNOWN", "Unknown",
"Other")</f>
        <v>Short Stay</v>
      </c>
    </row>
    <row r="352" spans="1:11" x14ac:dyDescent="0.3">
      <c r="A352" t="s">
        <v>1590</v>
      </c>
      <c r="B352" t="s">
        <v>1591</v>
      </c>
      <c r="C352" t="s">
        <v>174</v>
      </c>
      <c r="D352" t="s">
        <v>1592</v>
      </c>
      <c r="E352" t="s">
        <v>23</v>
      </c>
      <c r="F352" t="s">
        <v>1593</v>
      </c>
      <c r="G352" t="s">
        <v>426</v>
      </c>
      <c r="H352" t="s">
        <v>1311</v>
      </c>
      <c r="I352">
        <f t="shared" si="5"/>
        <v>5</v>
      </c>
      <c r="J352" t="s">
        <v>121</v>
      </c>
      <c r="K352" t="str" cm="1">
        <f t="array" ref="K352">_xlfn.SWITCH(TRIM(UPPER(J352)),
"BUSINESS", "Short Stay",
"CONFERENCE", "Medium Stay",
"VACATION", "Iong Stay",
"HOLIDAY", "Long Stay",
"V", "Leisure",
"UNKNOWN", "Unknown",
"Other")</f>
        <v>Iong Stay</v>
      </c>
    </row>
    <row r="353" spans="1:11" x14ac:dyDescent="0.3">
      <c r="A353" t="s">
        <v>1594</v>
      </c>
      <c r="B353" t="s">
        <v>717</v>
      </c>
      <c r="C353" t="s">
        <v>83</v>
      </c>
      <c r="D353" t="s">
        <v>1592</v>
      </c>
      <c r="E353" t="s">
        <v>156</v>
      </c>
      <c r="F353" t="s">
        <v>1595</v>
      </c>
      <c r="G353" t="s">
        <v>719</v>
      </c>
      <c r="H353" t="s">
        <v>1285</v>
      </c>
      <c r="I353">
        <f t="shared" si="5"/>
        <v>2</v>
      </c>
      <c r="J353" t="s">
        <v>27</v>
      </c>
      <c r="K353" t="str" cm="1">
        <f t="array" ref="K353">_xlfn.SWITCH(TRIM(UPPER(J353)),
"BUSINESS", "Short Stay",
"CONFERENCE", "Medium Stay",
"VACATION", "Iong Stay",
"HOLIDAY", "Long Stay",
"V", "Leisure",
"UNKNOWN", "Unknown",
"Other")</f>
        <v>Medium Stay</v>
      </c>
    </row>
    <row r="354" spans="1:11" x14ac:dyDescent="0.3">
      <c r="A354" t="s">
        <v>1596</v>
      </c>
      <c r="B354" t="s">
        <v>1597</v>
      </c>
      <c r="C354" t="s">
        <v>61</v>
      </c>
      <c r="D354" t="s">
        <v>1598</v>
      </c>
      <c r="E354" t="s">
        <v>201</v>
      </c>
      <c r="F354" t="s">
        <v>1599</v>
      </c>
      <c r="G354" t="s">
        <v>304</v>
      </c>
      <c r="H354" t="s">
        <v>645</v>
      </c>
      <c r="I354">
        <f t="shared" si="5"/>
        <v>2</v>
      </c>
      <c r="J354" t="s">
        <v>18</v>
      </c>
      <c r="K354" t="str" cm="1">
        <f t="array" ref="K354">_xlfn.SWITCH(TRIM(UPPER(J354)),
"BUSINESS", "Short Stay",
"CONFERENCE", "Medium Stay",
"VACATION", "Iong Stay",
"HOLIDAY", "Long Stay",
"V", "Leisure",
"UNKNOWN", "Unknown",
"Other")</f>
        <v>Short Stay</v>
      </c>
    </row>
    <row r="355" spans="1:11" x14ac:dyDescent="0.3">
      <c r="A355" t="s">
        <v>1600</v>
      </c>
      <c r="B355" t="s">
        <v>1601</v>
      </c>
      <c r="C355" t="s">
        <v>174</v>
      </c>
      <c r="D355" t="s">
        <v>1602</v>
      </c>
      <c r="E355" t="s">
        <v>149</v>
      </c>
      <c r="F355" t="s">
        <v>1603</v>
      </c>
      <c r="G355" t="s">
        <v>1604</v>
      </c>
      <c r="H355" t="s">
        <v>1543</v>
      </c>
      <c r="I355">
        <f t="shared" si="5"/>
        <v>2</v>
      </c>
      <c r="J355" t="s">
        <v>27</v>
      </c>
      <c r="K355" t="str" cm="1">
        <f t="array" ref="K355">_xlfn.SWITCH(TRIM(UPPER(J355)),
"BUSINESS", "Short Stay",
"CONFERENCE", "Medium Stay",
"VACATION", "Iong Stay",
"HOLIDAY", "Long Stay",
"V", "Leisure",
"UNKNOWN", "Unknown",
"Other")</f>
        <v>Medium Stay</v>
      </c>
    </row>
    <row r="356" spans="1:11" x14ac:dyDescent="0.3">
      <c r="A356" t="s">
        <v>1605</v>
      </c>
      <c r="B356" t="s">
        <v>1606</v>
      </c>
      <c r="C356" t="s">
        <v>38</v>
      </c>
      <c r="D356" t="s">
        <v>859</v>
      </c>
      <c r="E356" t="s">
        <v>69</v>
      </c>
      <c r="F356" t="s">
        <v>1607</v>
      </c>
      <c r="G356" t="s">
        <v>524</v>
      </c>
      <c r="H356" t="s">
        <v>695</v>
      </c>
      <c r="I356">
        <f t="shared" si="5"/>
        <v>5</v>
      </c>
      <c r="J356" t="s">
        <v>44</v>
      </c>
      <c r="K356" t="str" cm="1">
        <f t="array" ref="K356">_xlfn.SWITCH(TRIM(UPPER(J356)),
"BUSINESS", "Short Stay",
"CONFERENCE", "Medium Stay",
"VACATION", "Iong Stay",
"HOLIDAY", "Long Stay",
"V", "Leisure",
"UNKNOWN", "Unknown",
"Other")</f>
        <v>Other</v>
      </c>
    </row>
    <row r="357" spans="1:11" x14ac:dyDescent="0.3">
      <c r="A357" t="s">
        <v>1608</v>
      </c>
      <c r="B357" t="s">
        <v>1338</v>
      </c>
      <c r="C357" t="s">
        <v>54</v>
      </c>
      <c r="D357" t="s">
        <v>1609</v>
      </c>
      <c r="E357" t="s">
        <v>40</v>
      </c>
      <c r="F357" t="s">
        <v>1610</v>
      </c>
      <c r="G357" t="s">
        <v>171</v>
      </c>
      <c r="H357" t="s">
        <v>1611</v>
      </c>
      <c r="I357">
        <f t="shared" si="5"/>
        <v>3</v>
      </c>
      <c r="J357" t="s">
        <v>44</v>
      </c>
      <c r="K357" t="str" cm="1">
        <f t="array" ref="K357">_xlfn.SWITCH(TRIM(UPPER(J357)),
"BUSINESS", "Short Stay",
"CONFERENCE", "Medium Stay",
"VACATION", "Iong Stay",
"HOLIDAY", "Long Stay",
"V", "Leisure",
"UNKNOWN", "Unknown",
"Other")</f>
        <v>Other</v>
      </c>
    </row>
    <row r="358" spans="1:11" x14ac:dyDescent="0.3">
      <c r="A358" t="s">
        <v>1612</v>
      </c>
      <c r="B358" t="s">
        <v>492</v>
      </c>
      <c r="C358" t="s">
        <v>97</v>
      </c>
      <c r="D358" t="s">
        <v>1613</v>
      </c>
      <c r="E358" t="s">
        <v>314</v>
      </c>
      <c r="F358" t="s">
        <v>1614</v>
      </c>
      <c r="G358" t="s">
        <v>495</v>
      </c>
      <c r="H358" t="s">
        <v>715</v>
      </c>
      <c r="I358">
        <f t="shared" si="5"/>
        <v>3</v>
      </c>
      <c r="J358" t="s">
        <v>18</v>
      </c>
      <c r="K358" t="str" cm="1">
        <f t="array" ref="K358">_xlfn.SWITCH(TRIM(UPPER(J358)),
"BUSINESS", "Short Stay",
"CONFERENCE", "Medium Stay",
"VACATION", "Iong Stay",
"HOLIDAY", "Long Stay",
"V", "Leisure",
"UNKNOWN", "Unknown",
"Other")</f>
        <v>Short Stay</v>
      </c>
    </row>
    <row r="359" spans="1:11" x14ac:dyDescent="0.3">
      <c r="A359" t="s">
        <v>1615</v>
      </c>
      <c r="B359" t="s">
        <v>229</v>
      </c>
      <c r="C359" t="s">
        <v>38</v>
      </c>
      <c r="D359" t="s">
        <v>1616</v>
      </c>
      <c r="E359" t="s">
        <v>476</v>
      </c>
      <c r="F359" t="s">
        <v>1147</v>
      </c>
      <c r="G359" t="s">
        <v>232</v>
      </c>
      <c r="H359" t="s">
        <v>1066</v>
      </c>
      <c r="I359">
        <f t="shared" si="5"/>
        <v>4</v>
      </c>
      <c r="J359" t="s">
        <v>18</v>
      </c>
      <c r="K359" t="str" cm="1">
        <f t="array" ref="K359">_xlfn.SWITCH(TRIM(UPPER(J359)),
"BUSINESS", "Short Stay",
"CONFERENCE", "Medium Stay",
"VACATION", "Iong Stay",
"HOLIDAY", "Long Stay",
"V", "Leisure",
"UNKNOWN", "Unknown",
"Other")</f>
        <v>Short Stay</v>
      </c>
    </row>
    <row r="360" spans="1:11" x14ac:dyDescent="0.3">
      <c r="A360" t="s">
        <v>1617</v>
      </c>
      <c r="B360" t="s">
        <v>986</v>
      </c>
      <c r="C360" t="s">
        <v>12</v>
      </c>
      <c r="D360" t="s">
        <v>1618</v>
      </c>
      <c r="E360" t="s">
        <v>69</v>
      </c>
      <c r="F360" t="s">
        <v>1619</v>
      </c>
      <c r="G360" t="s">
        <v>770</v>
      </c>
      <c r="H360" t="s">
        <v>362</v>
      </c>
      <c r="I360">
        <f t="shared" si="5"/>
        <v>1</v>
      </c>
      <c r="J360" t="s">
        <v>27</v>
      </c>
      <c r="K360" t="str" cm="1">
        <f t="array" ref="K360">_xlfn.SWITCH(TRIM(UPPER(J360)),
"BUSINESS", "Short Stay",
"CONFERENCE", "Medium Stay",
"VACATION", "Iong Stay",
"HOLIDAY", "Long Stay",
"V", "Leisure",
"UNKNOWN", "Unknown",
"Other")</f>
        <v>Medium Stay</v>
      </c>
    </row>
    <row r="361" spans="1:11" x14ac:dyDescent="0.3">
      <c r="A361" t="s">
        <v>1620</v>
      </c>
      <c r="B361" t="s">
        <v>1448</v>
      </c>
      <c r="C361" t="s">
        <v>30</v>
      </c>
      <c r="D361" t="s">
        <v>1621</v>
      </c>
      <c r="E361" t="s">
        <v>201</v>
      </c>
      <c r="F361" t="s">
        <v>1622</v>
      </c>
      <c r="G361" t="s">
        <v>1091</v>
      </c>
      <c r="H361" t="s">
        <v>913</v>
      </c>
      <c r="I361">
        <f t="shared" si="5"/>
        <v>4</v>
      </c>
      <c r="J361" t="s">
        <v>44</v>
      </c>
      <c r="K361" t="str" cm="1">
        <f t="array" ref="K361">_xlfn.SWITCH(TRIM(UPPER(J361)),
"BUSINESS", "Short Stay",
"CONFERENCE", "Medium Stay",
"VACATION", "Iong Stay",
"HOLIDAY", "Long Stay",
"V", "Leisure",
"UNKNOWN", "Unknown",
"Other")</f>
        <v>Other</v>
      </c>
    </row>
    <row r="362" spans="1:11" x14ac:dyDescent="0.3">
      <c r="A362" t="s">
        <v>1623</v>
      </c>
      <c r="B362" t="s">
        <v>882</v>
      </c>
      <c r="C362" t="s">
        <v>38</v>
      </c>
      <c r="D362" t="s">
        <v>1624</v>
      </c>
      <c r="E362" t="s">
        <v>48</v>
      </c>
      <c r="F362" t="s">
        <v>1625</v>
      </c>
      <c r="G362" t="s">
        <v>885</v>
      </c>
      <c r="H362" t="s">
        <v>1109</v>
      </c>
      <c r="I362">
        <f t="shared" si="5"/>
        <v>5</v>
      </c>
      <c r="J362" t="s">
        <v>18</v>
      </c>
      <c r="K362" t="str" cm="1">
        <f t="array" ref="K362">_xlfn.SWITCH(TRIM(UPPER(J362)),
"BUSINESS", "Short Stay",
"CONFERENCE", "Medium Stay",
"VACATION", "Iong Stay",
"HOLIDAY", "Long Stay",
"V", "Leisure",
"UNKNOWN", "Unknown",
"Other")</f>
        <v>Short Stay</v>
      </c>
    </row>
    <row r="363" spans="1:11" x14ac:dyDescent="0.3">
      <c r="A363" t="s">
        <v>1626</v>
      </c>
      <c r="B363" t="s">
        <v>1627</v>
      </c>
      <c r="C363" t="s">
        <v>83</v>
      </c>
      <c r="D363" t="s">
        <v>1628</v>
      </c>
      <c r="E363" t="s">
        <v>430</v>
      </c>
      <c r="F363" t="s">
        <v>1629</v>
      </c>
      <c r="G363" t="s">
        <v>185</v>
      </c>
      <c r="H363" t="s">
        <v>338</v>
      </c>
      <c r="I363">
        <f t="shared" si="5"/>
        <v>3</v>
      </c>
      <c r="J363" t="s">
        <v>44</v>
      </c>
      <c r="K363" t="str" cm="1">
        <f t="array" ref="K363">_xlfn.SWITCH(TRIM(UPPER(J363)),
"BUSINESS", "Short Stay",
"CONFERENCE", "Medium Stay",
"VACATION", "Iong Stay",
"HOLIDAY", "Long Stay",
"V", "Leisure",
"UNKNOWN", "Unknown",
"Other")</f>
        <v>Other</v>
      </c>
    </row>
    <row r="364" spans="1:11" x14ac:dyDescent="0.3">
      <c r="A364" t="s">
        <v>1630</v>
      </c>
      <c r="B364" t="s">
        <v>1004</v>
      </c>
      <c r="C364" t="s">
        <v>12</v>
      </c>
      <c r="D364" t="s">
        <v>1631</v>
      </c>
      <c r="E364" t="s">
        <v>69</v>
      </c>
      <c r="F364" t="s">
        <v>1632</v>
      </c>
      <c r="G364" t="s">
        <v>317</v>
      </c>
      <c r="H364" t="s">
        <v>1007</v>
      </c>
      <c r="I364">
        <f t="shared" si="5"/>
        <v>4</v>
      </c>
      <c r="J364" t="s">
        <v>27</v>
      </c>
      <c r="K364" t="str" cm="1">
        <f t="array" ref="K364">_xlfn.SWITCH(TRIM(UPPER(J364)),
"BUSINESS", "Short Stay",
"CONFERENCE", "Medium Stay",
"VACATION", "Iong Stay",
"HOLIDAY", "Long Stay",
"V", "Leisure",
"UNKNOWN", "Unknown",
"Other")</f>
        <v>Medium Stay</v>
      </c>
    </row>
    <row r="365" spans="1:11" x14ac:dyDescent="0.3">
      <c r="A365" t="s">
        <v>1633</v>
      </c>
      <c r="B365" t="s">
        <v>1634</v>
      </c>
      <c r="C365" t="s">
        <v>30</v>
      </c>
      <c r="D365" t="s">
        <v>1602</v>
      </c>
      <c r="E365" t="s">
        <v>314</v>
      </c>
      <c r="F365" t="s">
        <v>1635</v>
      </c>
      <c r="G365" t="s">
        <v>1311</v>
      </c>
      <c r="H365" t="s">
        <v>1058</v>
      </c>
      <c r="I365">
        <f t="shared" si="5"/>
        <v>3</v>
      </c>
      <c r="J365" t="s">
        <v>44</v>
      </c>
      <c r="K365" t="str" cm="1">
        <f t="array" ref="K365">_xlfn.SWITCH(TRIM(UPPER(J365)),
"BUSINESS", "Short Stay",
"CONFERENCE", "Medium Stay",
"VACATION", "Iong Stay",
"HOLIDAY", "Long Stay",
"V", "Leisure",
"UNKNOWN", "Unknown",
"Other")</f>
        <v>Other</v>
      </c>
    </row>
    <row r="366" spans="1:11" x14ac:dyDescent="0.3">
      <c r="A366" t="s">
        <v>1636</v>
      </c>
      <c r="B366" t="s">
        <v>846</v>
      </c>
      <c r="C366" t="s">
        <v>30</v>
      </c>
      <c r="D366" t="s">
        <v>1637</v>
      </c>
      <c r="E366" t="s">
        <v>314</v>
      </c>
      <c r="F366" t="s">
        <v>1638</v>
      </c>
      <c r="G366" t="s">
        <v>849</v>
      </c>
      <c r="H366" t="s">
        <v>502</v>
      </c>
      <c r="I366">
        <f t="shared" si="5"/>
        <v>4</v>
      </c>
      <c r="J366" t="s">
        <v>121</v>
      </c>
      <c r="K366" t="str" cm="1">
        <f t="array" ref="K366">_xlfn.SWITCH(TRIM(UPPER(J366)),
"BUSINESS", "Short Stay",
"CONFERENCE", "Medium Stay",
"VACATION", "Iong Stay",
"HOLIDAY", "Long Stay",
"V", "Leisure",
"UNKNOWN", "Unknown",
"Other")</f>
        <v>Iong Stay</v>
      </c>
    </row>
    <row r="367" spans="1:11" x14ac:dyDescent="0.3">
      <c r="A367" t="s">
        <v>1639</v>
      </c>
      <c r="B367" t="s">
        <v>530</v>
      </c>
      <c r="C367" t="s">
        <v>54</v>
      </c>
      <c r="D367" t="s">
        <v>1640</v>
      </c>
      <c r="E367" t="s">
        <v>546</v>
      </c>
      <c r="F367" t="s">
        <v>1641</v>
      </c>
      <c r="G367" t="s">
        <v>512</v>
      </c>
      <c r="H367" t="s">
        <v>523</v>
      </c>
      <c r="I367">
        <f t="shared" si="5"/>
        <v>4</v>
      </c>
      <c r="J367" t="s">
        <v>44</v>
      </c>
      <c r="K367" t="str" cm="1">
        <f t="array" ref="K367">_xlfn.SWITCH(TRIM(UPPER(J367)),
"BUSINESS", "Short Stay",
"CONFERENCE", "Medium Stay",
"VACATION", "Iong Stay",
"HOLIDAY", "Long Stay",
"V", "Leisure",
"UNKNOWN", "Unknown",
"Other")</f>
        <v>Other</v>
      </c>
    </row>
    <row r="368" spans="1:11" x14ac:dyDescent="0.3">
      <c r="A368" t="s">
        <v>1642</v>
      </c>
      <c r="B368" t="s">
        <v>1643</v>
      </c>
      <c r="C368" t="s">
        <v>61</v>
      </c>
      <c r="D368" t="s">
        <v>1644</v>
      </c>
      <c r="E368" t="s">
        <v>430</v>
      </c>
      <c r="F368" t="s">
        <v>1645</v>
      </c>
      <c r="G368" t="s">
        <v>1646</v>
      </c>
      <c r="H368" t="s">
        <v>663</v>
      </c>
      <c r="I368">
        <f t="shared" si="5"/>
        <v>2</v>
      </c>
      <c r="J368" t="s">
        <v>121</v>
      </c>
      <c r="K368" t="str" cm="1">
        <f t="array" ref="K368">_xlfn.SWITCH(TRIM(UPPER(J368)),
"BUSINESS", "Short Stay",
"CONFERENCE", "Medium Stay",
"VACATION", "Iong Stay",
"HOLIDAY", "Long Stay",
"V", "Leisure",
"UNKNOWN", "Unknown",
"Other")</f>
        <v>Iong Stay</v>
      </c>
    </row>
    <row r="369" spans="1:11" x14ac:dyDescent="0.3">
      <c r="A369" t="s">
        <v>1647</v>
      </c>
      <c r="B369" t="s">
        <v>508</v>
      </c>
      <c r="C369" t="s">
        <v>174</v>
      </c>
      <c r="D369" t="s">
        <v>1051</v>
      </c>
      <c r="E369" t="s">
        <v>176</v>
      </c>
      <c r="F369" t="s">
        <v>1648</v>
      </c>
      <c r="G369" t="s">
        <v>511</v>
      </c>
      <c r="H369" t="s">
        <v>634</v>
      </c>
      <c r="I369">
        <f t="shared" si="5"/>
        <v>3</v>
      </c>
      <c r="J369" t="s">
        <v>18</v>
      </c>
      <c r="K369" t="str" cm="1">
        <f t="array" ref="K369">_xlfn.SWITCH(TRIM(UPPER(J369)),
"BUSINESS", "Short Stay",
"CONFERENCE", "Medium Stay",
"VACATION", "Iong Stay",
"HOLIDAY", "Long Stay",
"V", "Leisure",
"UNKNOWN", "Unknown",
"Other")</f>
        <v>Short Stay</v>
      </c>
    </row>
    <row r="370" spans="1:11" x14ac:dyDescent="0.3">
      <c r="A370" t="s">
        <v>1649</v>
      </c>
      <c r="B370" t="s">
        <v>1650</v>
      </c>
      <c r="C370" t="s">
        <v>174</v>
      </c>
      <c r="D370" t="s">
        <v>1651</v>
      </c>
      <c r="E370" t="s">
        <v>458</v>
      </c>
      <c r="F370" t="s">
        <v>1652</v>
      </c>
      <c r="G370" t="s">
        <v>1160</v>
      </c>
      <c r="H370" t="s">
        <v>17</v>
      </c>
      <c r="I370">
        <f t="shared" si="5"/>
        <v>1</v>
      </c>
      <c r="J370" t="s">
        <v>44</v>
      </c>
      <c r="K370" t="str" cm="1">
        <f t="array" ref="K370">_xlfn.SWITCH(TRIM(UPPER(J370)),
"BUSINESS", "Short Stay",
"CONFERENCE", "Medium Stay",
"VACATION", "Iong Stay",
"HOLIDAY", "Long Stay",
"V", "Leisure",
"UNKNOWN", "Unknown",
"Other")</f>
        <v>Other</v>
      </c>
    </row>
    <row r="371" spans="1:11" x14ac:dyDescent="0.3">
      <c r="A371" t="s">
        <v>1653</v>
      </c>
      <c r="B371" t="s">
        <v>268</v>
      </c>
      <c r="C371" t="s">
        <v>38</v>
      </c>
      <c r="D371" t="s">
        <v>819</v>
      </c>
      <c r="E371" t="s">
        <v>201</v>
      </c>
      <c r="F371" t="s">
        <v>1654</v>
      </c>
      <c r="G371" t="s">
        <v>271</v>
      </c>
      <c r="H371" t="s">
        <v>416</v>
      </c>
      <c r="I371">
        <f t="shared" si="5"/>
        <v>5</v>
      </c>
      <c r="J371" t="s">
        <v>18</v>
      </c>
      <c r="K371" t="str" cm="1">
        <f t="array" ref="K371">_xlfn.SWITCH(TRIM(UPPER(J371)),
"BUSINESS", "Short Stay",
"CONFERENCE", "Medium Stay",
"VACATION", "Iong Stay",
"HOLIDAY", "Long Stay",
"V", "Leisure",
"UNKNOWN", "Unknown",
"Other")</f>
        <v>Short Stay</v>
      </c>
    </row>
    <row r="372" spans="1:11" x14ac:dyDescent="0.3">
      <c r="A372" t="s">
        <v>1655</v>
      </c>
      <c r="B372" t="s">
        <v>1656</v>
      </c>
      <c r="C372" t="s">
        <v>21</v>
      </c>
      <c r="D372" t="s">
        <v>1657</v>
      </c>
      <c r="E372" t="s">
        <v>63</v>
      </c>
      <c r="F372" t="s">
        <v>1658</v>
      </c>
      <c r="G372" t="s">
        <v>1659</v>
      </c>
      <c r="H372" t="s">
        <v>764</v>
      </c>
      <c r="I372">
        <f t="shared" si="5"/>
        <v>1</v>
      </c>
      <c r="J372" t="s">
        <v>27</v>
      </c>
      <c r="K372" t="str" cm="1">
        <f t="array" ref="K372">_xlfn.SWITCH(TRIM(UPPER(J372)),
"BUSINESS", "Short Stay",
"CONFERENCE", "Medium Stay",
"VACATION", "Iong Stay",
"HOLIDAY", "Long Stay",
"V", "Leisure",
"UNKNOWN", "Unknown",
"Other")</f>
        <v>Medium Stay</v>
      </c>
    </row>
    <row r="373" spans="1:11" x14ac:dyDescent="0.3">
      <c r="A373" t="s">
        <v>1660</v>
      </c>
      <c r="B373" t="s">
        <v>1661</v>
      </c>
      <c r="C373" t="s">
        <v>83</v>
      </c>
      <c r="D373" t="s">
        <v>1068</v>
      </c>
      <c r="E373" t="s">
        <v>85</v>
      </c>
      <c r="F373" t="s">
        <v>1662</v>
      </c>
      <c r="G373" t="s">
        <v>946</v>
      </c>
      <c r="H373" t="s">
        <v>1220</v>
      </c>
      <c r="I373">
        <f t="shared" si="5"/>
        <v>5</v>
      </c>
      <c r="J373" t="s">
        <v>44</v>
      </c>
      <c r="K373" t="str" cm="1">
        <f t="array" ref="K373">_xlfn.SWITCH(TRIM(UPPER(J373)),
"BUSINESS", "Short Stay",
"CONFERENCE", "Medium Stay",
"VACATION", "Iong Stay",
"HOLIDAY", "Long Stay",
"V", "Leisure",
"UNKNOWN", "Unknown",
"Other")</f>
        <v>Other</v>
      </c>
    </row>
    <row r="374" spans="1:11" x14ac:dyDescent="0.3">
      <c r="A374" t="s">
        <v>1663</v>
      </c>
      <c r="B374" t="s">
        <v>530</v>
      </c>
      <c r="C374" t="s">
        <v>61</v>
      </c>
      <c r="D374" t="s">
        <v>1664</v>
      </c>
      <c r="E374" t="s">
        <v>546</v>
      </c>
      <c r="F374" t="s">
        <v>1665</v>
      </c>
      <c r="G374" t="s">
        <v>512</v>
      </c>
      <c r="H374" t="s">
        <v>524</v>
      </c>
      <c r="I374">
        <f t="shared" si="5"/>
        <v>5</v>
      </c>
      <c r="J374" t="s">
        <v>18</v>
      </c>
      <c r="K374" t="str" cm="1">
        <f t="array" ref="K374">_xlfn.SWITCH(TRIM(UPPER(J374)),
"BUSINESS", "Short Stay",
"CONFERENCE", "Medium Stay",
"VACATION", "Iong Stay",
"HOLIDAY", "Long Stay",
"V", "Leisure",
"UNKNOWN", "Unknown",
"Other")</f>
        <v>Short Stay</v>
      </c>
    </row>
    <row r="375" spans="1:11" x14ac:dyDescent="0.3">
      <c r="A375" t="s">
        <v>1666</v>
      </c>
      <c r="B375" t="s">
        <v>1667</v>
      </c>
      <c r="C375" t="s">
        <v>38</v>
      </c>
      <c r="D375" t="s">
        <v>1668</v>
      </c>
      <c r="E375" t="s">
        <v>149</v>
      </c>
      <c r="F375" t="s">
        <v>1669</v>
      </c>
      <c r="G375" t="s">
        <v>1670</v>
      </c>
      <c r="H375" t="s">
        <v>936</v>
      </c>
      <c r="I375">
        <f t="shared" si="5"/>
        <v>3</v>
      </c>
      <c r="J375" t="s">
        <v>44</v>
      </c>
      <c r="K375" t="str" cm="1">
        <f t="array" ref="K375">_xlfn.SWITCH(TRIM(UPPER(J375)),
"BUSINESS", "Short Stay",
"CONFERENCE", "Medium Stay",
"VACATION", "Iong Stay",
"HOLIDAY", "Long Stay",
"V", "Leisure",
"UNKNOWN", "Unknown",
"Other")</f>
        <v>Other</v>
      </c>
    </row>
    <row r="376" spans="1:11" x14ac:dyDescent="0.3">
      <c r="A376" t="s">
        <v>1671</v>
      </c>
      <c r="B376" t="s">
        <v>799</v>
      </c>
      <c r="C376" t="s">
        <v>38</v>
      </c>
      <c r="D376" t="s">
        <v>1672</v>
      </c>
      <c r="E376" t="s">
        <v>214</v>
      </c>
      <c r="F376" t="s">
        <v>1673</v>
      </c>
      <c r="G376" t="s">
        <v>802</v>
      </c>
      <c r="H376" t="s">
        <v>803</v>
      </c>
      <c r="I376">
        <f t="shared" si="5"/>
        <v>4</v>
      </c>
      <c r="J376" t="s">
        <v>18</v>
      </c>
      <c r="K376" t="str" cm="1">
        <f t="array" ref="K376">_xlfn.SWITCH(TRIM(UPPER(J376)),
"BUSINESS", "Short Stay",
"CONFERENCE", "Medium Stay",
"VACATION", "Iong Stay",
"HOLIDAY", "Long Stay",
"V", "Leisure",
"UNKNOWN", "Unknown",
"Other")</f>
        <v>Short Stay</v>
      </c>
    </row>
    <row r="377" spans="1:11" x14ac:dyDescent="0.3">
      <c r="A377" t="s">
        <v>1674</v>
      </c>
      <c r="B377" t="s">
        <v>1675</v>
      </c>
      <c r="C377" t="s">
        <v>61</v>
      </c>
      <c r="D377" t="s">
        <v>1511</v>
      </c>
      <c r="E377" t="s">
        <v>69</v>
      </c>
      <c r="F377" t="s">
        <v>1676</v>
      </c>
      <c r="G377" t="s">
        <v>919</v>
      </c>
      <c r="H377" t="s">
        <v>1025</v>
      </c>
      <c r="I377">
        <f t="shared" si="5"/>
        <v>3</v>
      </c>
      <c r="J377" t="s">
        <v>44</v>
      </c>
      <c r="K377" t="str" cm="1">
        <f t="array" ref="K377">_xlfn.SWITCH(TRIM(UPPER(J377)),
"BUSINESS", "Short Stay",
"CONFERENCE", "Medium Stay",
"VACATION", "Iong Stay",
"HOLIDAY", "Long Stay",
"V", "Leisure",
"UNKNOWN", "Unknown",
"Other")</f>
        <v>Other</v>
      </c>
    </row>
    <row r="378" spans="1:11" x14ac:dyDescent="0.3">
      <c r="A378" t="s">
        <v>1677</v>
      </c>
      <c r="B378" t="s">
        <v>1678</v>
      </c>
      <c r="C378" t="s">
        <v>21</v>
      </c>
      <c r="D378" t="s">
        <v>1679</v>
      </c>
      <c r="E378" t="s">
        <v>40</v>
      </c>
      <c r="F378" t="s">
        <v>1680</v>
      </c>
      <c r="G378" t="s">
        <v>1681</v>
      </c>
      <c r="H378" t="s">
        <v>409</v>
      </c>
      <c r="I378">
        <f t="shared" si="5"/>
        <v>5</v>
      </c>
      <c r="J378" t="s">
        <v>121</v>
      </c>
      <c r="K378" t="str" cm="1">
        <f t="array" ref="K378">_xlfn.SWITCH(TRIM(UPPER(J378)),
"BUSINESS", "Short Stay",
"CONFERENCE", "Medium Stay",
"VACATION", "Iong Stay",
"HOLIDAY", "Long Stay",
"V", "Leisure",
"UNKNOWN", "Unknown",
"Other")</f>
        <v>Iong Stay</v>
      </c>
    </row>
    <row r="379" spans="1:11" x14ac:dyDescent="0.3">
      <c r="A379" t="s">
        <v>1682</v>
      </c>
      <c r="B379" t="s">
        <v>1606</v>
      </c>
      <c r="C379" t="s">
        <v>83</v>
      </c>
      <c r="D379" t="s">
        <v>1683</v>
      </c>
      <c r="E379" t="s">
        <v>546</v>
      </c>
      <c r="F379" t="s">
        <v>1684</v>
      </c>
      <c r="G379" t="s">
        <v>524</v>
      </c>
      <c r="H379" t="s">
        <v>87</v>
      </c>
      <c r="I379">
        <f t="shared" si="5"/>
        <v>3</v>
      </c>
      <c r="J379" t="s">
        <v>27</v>
      </c>
      <c r="K379" t="str" cm="1">
        <f t="array" ref="K379">_xlfn.SWITCH(TRIM(UPPER(J379)),
"BUSINESS", "Short Stay",
"CONFERENCE", "Medium Stay",
"VACATION", "Iong Stay",
"HOLIDAY", "Long Stay",
"V", "Leisure",
"UNKNOWN", "Unknown",
"Other")</f>
        <v>Medium Stay</v>
      </c>
    </row>
    <row r="380" spans="1:11" x14ac:dyDescent="0.3">
      <c r="A380" t="s">
        <v>1685</v>
      </c>
      <c r="B380" t="s">
        <v>1040</v>
      </c>
      <c r="C380" t="s">
        <v>75</v>
      </c>
      <c r="D380" t="s">
        <v>961</v>
      </c>
      <c r="E380" t="s">
        <v>546</v>
      </c>
      <c r="F380" t="s">
        <v>1686</v>
      </c>
      <c r="G380" t="s">
        <v>1043</v>
      </c>
      <c r="H380" t="s">
        <v>378</v>
      </c>
      <c r="I380">
        <f t="shared" si="5"/>
        <v>3</v>
      </c>
      <c r="J380" t="s">
        <v>44</v>
      </c>
      <c r="K380" t="str" cm="1">
        <f t="array" ref="K380">_xlfn.SWITCH(TRIM(UPPER(J380)),
"BUSINESS", "Short Stay",
"CONFERENCE", "Medium Stay",
"VACATION", "Iong Stay",
"HOLIDAY", "Long Stay",
"V", "Leisure",
"UNKNOWN", "Unknown",
"Other")</f>
        <v>Other</v>
      </c>
    </row>
    <row r="381" spans="1:11" x14ac:dyDescent="0.3">
      <c r="A381" t="s">
        <v>1687</v>
      </c>
      <c r="B381" t="s">
        <v>851</v>
      </c>
      <c r="C381" t="s">
        <v>38</v>
      </c>
      <c r="D381" t="s">
        <v>188</v>
      </c>
      <c r="E381" t="s">
        <v>430</v>
      </c>
      <c r="F381" t="s">
        <v>1688</v>
      </c>
      <c r="G381" t="s">
        <v>204</v>
      </c>
      <c r="H381" t="s">
        <v>1689</v>
      </c>
      <c r="I381">
        <f t="shared" si="5"/>
        <v>2</v>
      </c>
      <c r="J381" t="s">
        <v>18</v>
      </c>
      <c r="K381" t="str" cm="1">
        <f t="array" ref="K381">_xlfn.SWITCH(TRIM(UPPER(J381)),
"BUSINESS", "Short Stay",
"CONFERENCE", "Medium Stay",
"VACATION", "Iong Stay",
"HOLIDAY", "Long Stay",
"V", "Leisure",
"UNKNOWN", "Unknown",
"Other")</f>
        <v>Short Stay</v>
      </c>
    </row>
    <row r="382" spans="1:11" x14ac:dyDescent="0.3">
      <c r="A382" t="s">
        <v>1690</v>
      </c>
      <c r="B382" t="s">
        <v>1231</v>
      </c>
      <c r="C382" t="s">
        <v>61</v>
      </c>
      <c r="D382" t="s">
        <v>1691</v>
      </c>
      <c r="E382" t="s">
        <v>458</v>
      </c>
      <c r="F382" t="s">
        <v>1692</v>
      </c>
      <c r="G382" t="s">
        <v>1234</v>
      </c>
      <c r="H382" t="s">
        <v>1543</v>
      </c>
      <c r="I382">
        <f t="shared" si="5"/>
        <v>3</v>
      </c>
      <c r="J382" t="s">
        <v>44</v>
      </c>
      <c r="K382" t="str" cm="1">
        <f t="array" ref="K382">_xlfn.SWITCH(TRIM(UPPER(J382)),
"BUSINESS", "Short Stay",
"CONFERENCE", "Medium Stay",
"VACATION", "Iong Stay",
"HOLIDAY", "Long Stay",
"V", "Leisure",
"UNKNOWN", "Unknown",
"Other")</f>
        <v>Other</v>
      </c>
    </row>
    <row r="383" spans="1:11" x14ac:dyDescent="0.3">
      <c r="A383" t="s">
        <v>1693</v>
      </c>
      <c r="B383" t="s">
        <v>1114</v>
      </c>
      <c r="C383" t="s">
        <v>12</v>
      </c>
      <c r="D383" t="s">
        <v>1694</v>
      </c>
      <c r="E383" t="s">
        <v>149</v>
      </c>
      <c r="F383" t="s">
        <v>1695</v>
      </c>
      <c r="G383" t="s">
        <v>1117</v>
      </c>
      <c r="H383" t="s">
        <v>1696</v>
      </c>
      <c r="I383">
        <f t="shared" si="5"/>
        <v>3</v>
      </c>
      <c r="J383" t="s">
        <v>121</v>
      </c>
      <c r="K383" t="str" cm="1">
        <f t="array" ref="K383">_xlfn.SWITCH(TRIM(UPPER(J383)),
"BUSINESS", "Short Stay",
"CONFERENCE", "Medium Stay",
"VACATION", "Iong Stay",
"HOLIDAY", "Long Stay",
"V", "Leisure",
"UNKNOWN", "Unknown",
"Other")</f>
        <v>Iong Stay</v>
      </c>
    </row>
    <row r="384" spans="1:11" x14ac:dyDescent="0.3">
      <c r="A384" t="s">
        <v>1697</v>
      </c>
      <c r="B384" t="s">
        <v>1698</v>
      </c>
      <c r="C384" t="s">
        <v>83</v>
      </c>
      <c r="D384" t="s">
        <v>981</v>
      </c>
      <c r="E384" t="s">
        <v>201</v>
      </c>
      <c r="F384" t="s">
        <v>1699</v>
      </c>
      <c r="G384" t="s">
        <v>759</v>
      </c>
      <c r="H384" t="s">
        <v>577</v>
      </c>
      <c r="I384">
        <f t="shared" si="5"/>
        <v>5</v>
      </c>
      <c r="J384" t="s">
        <v>121</v>
      </c>
      <c r="K384" t="str" cm="1">
        <f t="array" ref="K384">_xlfn.SWITCH(TRIM(UPPER(J384)),
"BUSINESS", "Short Stay",
"CONFERENCE", "Medium Stay",
"VACATION", "Iong Stay",
"HOLIDAY", "Long Stay",
"V", "Leisure",
"UNKNOWN", "Unknown",
"Other")</f>
        <v>Iong Stay</v>
      </c>
    </row>
    <row r="385" spans="1:11" x14ac:dyDescent="0.3">
      <c r="A385" t="s">
        <v>1700</v>
      </c>
      <c r="B385" t="s">
        <v>1701</v>
      </c>
      <c r="C385" t="s">
        <v>38</v>
      </c>
      <c r="D385" t="s">
        <v>1702</v>
      </c>
      <c r="E385" t="s">
        <v>32</v>
      </c>
      <c r="F385" t="s">
        <v>1703</v>
      </c>
      <c r="G385" t="s">
        <v>1395</v>
      </c>
      <c r="H385" t="s">
        <v>1256</v>
      </c>
      <c r="I385">
        <f t="shared" si="5"/>
        <v>2</v>
      </c>
      <c r="J385" t="s">
        <v>27</v>
      </c>
      <c r="K385" t="str" cm="1">
        <f t="array" ref="K385">_xlfn.SWITCH(TRIM(UPPER(J385)),
"BUSINESS", "Short Stay",
"CONFERENCE", "Medium Stay",
"VACATION", "Iong Stay",
"HOLIDAY", "Long Stay",
"V", "Leisure",
"UNKNOWN", "Unknown",
"Other")</f>
        <v>Medium Stay</v>
      </c>
    </row>
    <row r="386" spans="1:11" x14ac:dyDescent="0.3">
      <c r="A386" t="s">
        <v>1704</v>
      </c>
      <c r="B386" t="s">
        <v>1705</v>
      </c>
      <c r="C386" t="s">
        <v>21</v>
      </c>
      <c r="D386" t="s">
        <v>1706</v>
      </c>
      <c r="E386" t="s">
        <v>149</v>
      </c>
      <c r="F386" t="s">
        <v>1707</v>
      </c>
      <c r="G386" t="s">
        <v>1371</v>
      </c>
      <c r="H386" t="s">
        <v>621</v>
      </c>
      <c r="I386">
        <f t="shared" si="5"/>
        <v>2</v>
      </c>
      <c r="J386" t="s">
        <v>44</v>
      </c>
      <c r="K386" t="str" cm="1">
        <f t="array" ref="K386">_xlfn.SWITCH(TRIM(UPPER(J386)),
"BUSINESS", "Short Stay",
"CONFERENCE", "Medium Stay",
"VACATION", "Iong Stay",
"HOLIDAY", "Long Stay",
"V", "Leisure",
"UNKNOWN", "Unknown",
"Other")</f>
        <v>Other</v>
      </c>
    </row>
    <row r="387" spans="1:11" x14ac:dyDescent="0.3">
      <c r="A387" t="s">
        <v>1708</v>
      </c>
      <c r="B387" t="s">
        <v>1709</v>
      </c>
      <c r="C387" t="s">
        <v>54</v>
      </c>
      <c r="D387" t="s">
        <v>1710</v>
      </c>
      <c r="E387" t="s">
        <v>40</v>
      </c>
      <c r="F387" t="s">
        <v>1711</v>
      </c>
      <c r="G387" t="s">
        <v>133</v>
      </c>
      <c r="H387" t="s">
        <v>1712</v>
      </c>
      <c r="I387">
        <f t="shared" ref="I387:I450" si="6">H387-G387</f>
        <v>5</v>
      </c>
      <c r="J387" t="s">
        <v>121</v>
      </c>
      <c r="K387" t="str" cm="1">
        <f t="array" ref="K387">_xlfn.SWITCH(TRIM(UPPER(J387)),
"BUSINESS", "Short Stay",
"CONFERENCE", "Medium Stay",
"VACATION", "Iong Stay",
"HOLIDAY", "Long Stay",
"V", "Leisure",
"UNKNOWN", "Unknown",
"Other")</f>
        <v>Iong Stay</v>
      </c>
    </row>
    <row r="388" spans="1:11" x14ac:dyDescent="0.3">
      <c r="A388" t="s">
        <v>1713</v>
      </c>
      <c r="B388" t="s">
        <v>1714</v>
      </c>
      <c r="C388" t="s">
        <v>174</v>
      </c>
      <c r="D388" t="s">
        <v>1715</v>
      </c>
      <c r="E388" t="s">
        <v>69</v>
      </c>
      <c r="F388" t="s">
        <v>1716</v>
      </c>
      <c r="G388" t="s">
        <v>58</v>
      </c>
      <c r="H388" t="s">
        <v>538</v>
      </c>
      <c r="I388">
        <f t="shared" si="6"/>
        <v>3</v>
      </c>
      <c r="J388" t="s">
        <v>121</v>
      </c>
      <c r="K388" t="str" cm="1">
        <f t="array" ref="K388">_xlfn.SWITCH(TRIM(UPPER(J388)),
"BUSINESS", "Short Stay",
"CONFERENCE", "Medium Stay",
"VACATION", "Iong Stay",
"HOLIDAY", "Long Stay",
"V", "Leisure",
"UNKNOWN", "Unknown",
"Other")</f>
        <v>Iong Stay</v>
      </c>
    </row>
    <row r="389" spans="1:11" x14ac:dyDescent="0.3">
      <c r="A389" t="s">
        <v>1717</v>
      </c>
      <c r="B389" t="s">
        <v>1718</v>
      </c>
      <c r="C389" t="s">
        <v>83</v>
      </c>
      <c r="D389" t="s">
        <v>1719</v>
      </c>
      <c r="E389" t="s">
        <v>14</v>
      </c>
      <c r="F389" t="s">
        <v>1720</v>
      </c>
      <c r="G389" t="s">
        <v>877</v>
      </c>
      <c r="H389" t="s">
        <v>1670</v>
      </c>
      <c r="I389">
        <f t="shared" si="6"/>
        <v>3</v>
      </c>
      <c r="J389" t="s">
        <v>44</v>
      </c>
      <c r="K389" t="str" cm="1">
        <f t="array" ref="K389">_xlfn.SWITCH(TRIM(UPPER(J389)),
"BUSINESS", "Short Stay",
"CONFERENCE", "Medium Stay",
"VACATION", "Iong Stay",
"HOLIDAY", "Long Stay",
"V", "Leisure",
"UNKNOWN", "Unknown",
"Other")</f>
        <v>Other</v>
      </c>
    </row>
    <row r="390" spans="1:11" x14ac:dyDescent="0.3">
      <c r="A390" t="s">
        <v>1721</v>
      </c>
      <c r="B390" t="s">
        <v>1722</v>
      </c>
      <c r="C390" t="s">
        <v>30</v>
      </c>
      <c r="D390" t="s">
        <v>733</v>
      </c>
      <c r="E390" t="s">
        <v>314</v>
      </c>
      <c r="F390" t="s">
        <v>1723</v>
      </c>
      <c r="G390" t="s">
        <v>635</v>
      </c>
      <c r="H390" t="s">
        <v>1296</v>
      </c>
      <c r="I390">
        <f t="shared" si="6"/>
        <v>4</v>
      </c>
      <c r="J390" t="s">
        <v>121</v>
      </c>
      <c r="K390" t="str" cm="1">
        <f t="array" ref="K390">_xlfn.SWITCH(TRIM(UPPER(J390)),
"BUSINESS", "Short Stay",
"CONFERENCE", "Medium Stay",
"VACATION", "Iong Stay",
"HOLIDAY", "Long Stay",
"V", "Leisure",
"UNKNOWN", "Unknown",
"Other")</f>
        <v>Iong Stay</v>
      </c>
    </row>
    <row r="391" spans="1:11" x14ac:dyDescent="0.3">
      <c r="A391" t="s">
        <v>1724</v>
      </c>
      <c r="B391" t="s">
        <v>1725</v>
      </c>
      <c r="C391" t="s">
        <v>54</v>
      </c>
      <c r="D391" t="s">
        <v>1726</v>
      </c>
      <c r="E391" t="s">
        <v>214</v>
      </c>
      <c r="F391" t="s">
        <v>1727</v>
      </c>
      <c r="G391" t="s">
        <v>1728</v>
      </c>
      <c r="H391" t="s">
        <v>554</v>
      </c>
      <c r="I391">
        <f t="shared" si="6"/>
        <v>2</v>
      </c>
      <c r="J391" t="s">
        <v>44</v>
      </c>
      <c r="K391" t="str" cm="1">
        <f t="array" ref="K391">_xlfn.SWITCH(TRIM(UPPER(J391)),
"BUSINESS", "Short Stay",
"CONFERENCE", "Medium Stay",
"VACATION", "Iong Stay",
"HOLIDAY", "Long Stay",
"V", "Leisure",
"UNKNOWN", "Unknown",
"Other")</f>
        <v>Other</v>
      </c>
    </row>
    <row r="392" spans="1:11" x14ac:dyDescent="0.3">
      <c r="A392" t="s">
        <v>1729</v>
      </c>
      <c r="B392" t="s">
        <v>874</v>
      </c>
      <c r="C392" t="s">
        <v>174</v>
      </c>
      <c r="D392" t="s">
        <v>1730</v>
      </c>
      <c r="E392" t="s">
        <v>117</v>
      </c>
      <c r="F392" t="s">
        <v>1731</v>
      </c>
      <c r="G392" t="s">
        <v>378</v>
      </c>
      <c r="H392" t="s">
        <v>42</v>
      </c>
      <c r="I392">
        <f t="shared" si="6"/>
        <v>2</v>
      </c>
      <c r="J392" t="s">
        <v>27</v>
      </c>
      <c r="K392" t="str" cm="1">
        <f t="array" ref="K392">_xlfn.SWITCH(TRIM(UPPER(J392)),
"BUSINESS", "Short Stay",
"CONFERENCE", "Medium Stay",
"VACATION", "Iong Stay",
"HOLIDAY", "Long Stay",
"V", "Leisure",
"UNKNOWN", "Unknown",
"Other")</f>
        <v>Medium Stay</v>
      </c>
    </row>
    <row r="393" spans="1:11" x14ac:dyDescent="0.3">
      <c r="A393" t="s">
        <v>1732</v>
      </c>
      <c r="B393" t="s">
        <v>504</v>
      </c>
      <c r="C393" t="s">
        <v>38</v>
      </c>
      <c r="D393" t="s">
        <v>1733</v>
      </c>
      <c r="E393" t="s">
        <v>69</v>
      </c>
      <c r="F393" t="s">
        <v>1734</v>
      </c>
      <c r="G393" t="s">
        <v>289</v>
      </c>
      <c r="H393" t="s">
        <v>730</v>
      </c>
      <c r="I393">
        <f t="shared" si="6"/>
        <v>3</v>
      </c>
      <c r="J393" t="s">
        <v>44</v>
      </c>
      <c r="K393" t="str" cm="1">
        <f t="array" ref="K393">_xlfn.SWITCH(TRIM(UPPER(J393)),
"BUSINESS", "Short Stay",
"CONFERENCE", "Medium Stay",
"VACATION", "Iong Stay",
"HOLIDAY", "Long Stay",
"V", "Leisure",
"UNKNOWN", "Unknown",
"Other")</f>
        <v>Other</v>
      </c>
    </row>
    <row r="394" spans="1:11" x14ac:dyDescent="0.3">
      <c r="A394" t="s">
        <v>1735</v>
      </c>
      <c r="B394" t="s">
        <v>147</v>
      </c>
      <c r="C394" t="s">
        <v>83</v>
      </c>
      <c r="D394" t="s">
        <v>1736</v>
      </c>
      <c r="E394" t="s">
        <v>23</v>
      </c>
      <c r="F394" t="s">
        <v>1737</v>
      </c>
      <c r="G394" t="s">
        <v>151</v>
      </c>
      <c r="H394" t="s">
        <v>1415</v>
      </c>
      <c r="I394">
        <f t="shared" si="6"/>
        <v>3</v>
      </c>
      <c r="J394" t="s">
        <v>44</v>
      </c>
      <c r="K394" t="str" cm="1">
        <f t="array" ref="K394">_xlfn.SWITCH(TRIM(UPPER(J394)),
"BUSINESS", "Short Stay",
"CONFERENCE", "Medium Stay",
"VACATION", "Iong Stay",
"HOLIDAY", "Long Stay",
"V", "Leisure",
"UNKNOWN", "Unknown",
"Other")</f>
        <v>Other</v>
      </c>
    </row>
    <row r="395" spans="1:11" x14ac:dyDescent="0.3">
      <c r="A395" t="s">
        <v>1738</v>
      </c>
      <c r="B395" t="s">
        <v>1739</v>
      </c>
      <c r="C395" t="s">
        <v>75</v>
      </c>
      <c r="D395" t="s">
        <v>784</v>
      </c>
      <c r="E395" t="s">
        <v>546</v>
      </c>
      <c r="F395" t="s">
        <v>1740</v>
      </c>
      <c r="G395" t="s">
        <v>373</v>
      </c>
      <c r="H395" t="s">
        <v>72</v>
      </c>
      <c r="I395">
        <f t="shared" si="6"/>
        <v>1</v>
      </c>
      <c r="J395" t="s">
        <v>27</v>
      </c>
      <c r="K395" t="str" cm="1">
        <f t="array" ref="K395">_xlfn.SWITCH(TRIM(UPPER(J395)),
"BUSINESS", "Short Stay",
"CONFERENCE", "Medium Stay",
"VACATION", "Iong Stay",
"HOLIDAY", "Long Stay",
"V", "Leisure",
"UNKNOWN", "Unknown",
"Other")</f>
        <v>Medium Stay</v>
      </c>
    </row>
    <row r="396" spans="1:11" x14ac:dyDescent="0.3">
      <c r="A396" t="s">
        <v>1741</v>
      </c>
      <c r="B396" t="s">
        <v>1201</v>
      </c>
      <c r="C396" t="s">
        <v>75</v>
      </c>
      <c r="D396" t="s">
        <v>1742</v>
      </c>
      <c r="E396" t="s">
        <v>156</v>
      </c>
      <c r="F396" t="s">
        <v>1743</v>
      </c>
      <c r="G396" t="s">
        <v>1204</v>
      </c>
      <c r="H396" t="s">
        <v>50</v>
      </c>
      <c r="I396">
        <f t="shared" si="6"/>
        <v>5</v>
      </c>
      <c r="J396" t="s">
        <v>18</v>
      </c>
      <c r="K396" t="str" cm="1">
        <f t="array" ref="K396">_xlfn.SWITCH(TRIM(UPPER(J396)),
"BUSINESS", "Short Stay",
"CONFERENCE", "Medium Stay",
"VACATION", "Iong Stay",
"HOLIDAY", "Long Stay",
"V", "Leisure",
"UNKNOWN", "Unknown",
"Other")</f>
        <v>Short Stay</v>
      </c>
    </row>
    <row r="397" spans="1:11" x14ac:dyDescent="0.3">
      <c r="A397" t="s">
        <v>1744</v>
      </c>
      <c r="B397" t="s">
        <v>1745</v>
      </c>
      <c r="C397" t="s">
        <v>61</v>
      </c>
      <c r="D397" t="s">
        <v>1746</v>
      </c>
      <c r="E397" t="s">
        <v>69</v>
      </c>
      <c r="F397" t="s">
        <v>1747</v>
      </c>
      <c r="G397" t="s">
        <v>43</v>
      </c>
      <c r="H397" t="s">
        <v>132</v>
      </c>
      <c r="I397">
        <f t="shared" si="6"/>
        <v>5</v>
      </c>
      <c r="J397" t="s">
        <v>27</v>
      </c>
      <c r="K397" t="str" cm="1">
        <f t="array" ref="K397">_xlfn.SWITCH(TRIM(UPPER(J397)),
"BUSINESS", "Short Stay",
"CONFERENCE", "Medium Stay",
"VACATION", "Iong Stay",
"HOLIDAY", "Long Stay",
"V", "Leisure",
"UNKNOWN", "Unknown",
"Other")</f>
        <v>Medium Stay</v>
      </c>
    </row>
    <row r="398" spans="1:11" x14ac:dyDescent="0.3">
      <c r="A398" t="s">
        <v>1748</v>
      </c>
      <c r="B398" t="s">
        <v>103</v>
      </c>
      <c r="C398" t="s">
        <v>174</v>
      </c>
      <c r="D398" t="s">
        <v>1749</v>
      </c>
      <c r="E398" t="s">
        <v>77</v>
      </c>
      <c r="F398" t="s">
        <v>1750</v>
      </c>
      <c r="G398" t="s">
        <v>106</v>
      </c>
      <c r="H398" t="s">
        <v>1096</v>
      </c>
      <c r="I398">
        <f t="shared" si="6"/>
        <v>4</v>
      </c>
      <c r="J398" t="s">
        <v>27</v>
      </c>
      <c r="K398" t="str" cm="1">
        <f t="array" ref="K398">_xlfn.SWITCH(TRIM(UPPER(J398)),
"BUSINESS", "Short Stay",
"CONFERENCE", "Medium Stay",
"VACATION", "Iong Stay",
"HOLIDAY", "Long Stay",
"V", "Leisure",
"UNKNOWN", "Unknown",
"Other")</f>
        <v>Medium Stay</v>
      </c>
    </row>
    <row r="399" spans="1:11" x14ac:dyDescent="0.3">
      <c r="A399" t="s">
        <v>1751</v>
      </c>
      <c r="B399" t="s">
        <v>412</v>
      </c>
      <c r="C399" t="s">
        <v>54</v>
      </c>
      <c r="D399" t="s">
        <v>1752</v>
      </c>
      <c r="E399" t="s">
        <v>85</v>
      </c>
      <c r="F399" t="s">
        <v>1753</v>
      </c>
      <c r="G399" t="s">
        <v>415</v>
      </c>
      <c r="H399" t="s">
        <v>416</v>
      </c>
      <c r="I399">
        <f t="shared" si="6"/>
        <v>2</v>
      </c>
      <c r="J399" t="s">
        <v>44</v>
      </c>
      <c r="K399" t="str" cm="1">
        <f t="array" ref="K399">_xlfn.SWITCH(TRIM(UPPER(J399)),
"BUSINESS", "Short Stay",
"CONFERENCE", "Medium Stay",
"VACATION", "Iong Stay",
"HOLIDAY", "Long Stay",
"V", "Leisure",
"UNKNOWN", "Unknown",
"Other")</f>
        <v>Other</v>
      </c>
    </row>
    <row r="400" spans="1:11" x14ac:dyDescent="0.3">
      <c r="A400" t="s">
        <v>1754</v>
      </c>
      <c r="B400" t="s">
        <v>456</v>
      </c>
      <c r="C400" t="s">
        <v>30</v>
      </c>
      <c r="D400" t="s">
        <v>1445</v>
      </c>
      <c r="E400" t="s">
        <v>149</v>
      </c>
      <c r="F400" t="s">
        <v>1755</v>
      </c>
      <c r="G400" t="s">
        <v>454</v>
      </c>
      <c r="H400" t="s">
        <v>460</v>
      </c>
      <c r="I400">
        <f t="shared" si="6"/>
        <v>2</v>
      </c>
      <c r="J400" t="s">
        <v>27</v>
      </c>
      <c r="K400" t="str" cm="1">
        <f t="array" ref="K400">_xlfn.SWITCH(TRIM(UPPER(J400)),
"BUSINESS", "Short Stay",
"CONFERENCE", "Medium Stay",
"VACATION", "Iong Stay",
"HOLIDAY", "Long Stay",
"V", "Leisure",
"UNKNOWN", "Unknown",
"Other")</f>
        <v>Medium Stay</v>
      </c>
    </row>
    <row r="401" spans="1:11" x14ac:dyDescent="0.3">
      <c r="A401" t="s">
        <v>1756</v>
      </c>
      <c r="B401" t="s">
        <v>1757</v>
      </c>
      <c r="C401" t="s">
        <v>83</v>
      </c>
      <c r="D401" t="s">
        <v>852</v>
      </c>
      <c r="E401" t="s">
        <v>214</v>
      </c>
      <c r="F401" t="s">
        <v>1758</v>
      </c>
      <c r="G401" t="s">
        <v>1759</v>
      </c>
      <c r="H401" t="s">
        <v>1347</v>
      </c>
      <c r="I401">
        <f t="shared" si="6"/>
        <v>3</v>
      </c>
      <c r="J401" t="s">
        <v>18</v>
      </c>
      <c r="K401" t="str" cm="1">
        <f t="array" ref="K401">_xlfn.SWITCH(TRIM(UPPER(J401)),
"BUSINESS", "Short Stay",
"CONFERENCE", "Medium Stay",
"VACATION", "Iong Stay",
"HOLIDAY", "Long Stay",
"V", "Leisure",
"UNKNOWN", "Unknown",
"Other")</f>
        <v>Short Stay</v>
      </c>
    </row>
    <row r="402" spans="1:11" x14ac:dyDescent="0.3">
      <c r="A402" t="s">
        <v>1760</v>
      </c>
      <c r="B402" t="s">
        <v>1761</v>
      </c>
      <c r="C402" t="s">
        <v>174</v>
      </c>
      <c r="D402" t="s">
        <v>31</v>
      </c>
      <c r="E402" t="s">
        <v>149</v>
      </c>
      <c r="F402" t="s">
        <v>1762</v>
      </c>
      <c r="G402" t="s">
        <v>1763</v>
      </c>
      <c r="H402" t="s">
        <v>553</v>
      </c>
      <c r="I402">
        <f t="shared" si="6"/>
        <v>4</v>
      </c>
      <c r="J402" t="s">
        <v>121</v>
      </c>
      <c r="K402" t="str" cm="1">
        <f t="array" ref="K402">_xlfn.SWITCH(TRIM(UPPER(J402)),
"BUSINESS", "Short Stay",
"CONFERENCE", "Medium Stay",
"VACATION", "Iong Stay",
"HOLIDAY", "Long Stay",
"V", "Leisure",
"UNKNOWN", "Unknown",
"Other")</f>
        <v>Iong Stay</v>
      </c>
    </row>
    <row r="403" spans="1:11" x14ac:dyDescent="0.3">
      <c r="A403" t="s">
        <v>1764</v>
      </c>
      <c r="B403" t="s">
        <v>1765</v>
      </c>
      <c r="C403" t="s">
        <v>21</v>
      </c>
      <c r="D403" t="s">
        <v>1766</v>
      </c>
      <c r="E403" t="s">
        <v>32</v>
      </c>
      <c r="F403" t="s">
        <v>1767</v>
      </c>
      <c r="G403" t="s">
        <v>1768</v>
      </c>
      <c r="H403" t="s">
        <v>159</v>
      </c>
      <c r="I403">
        <f t="shared" si="6"/>
        <v>1</v>
      </c>
      <c r="J403" t="s">
        <v>27</v>
      </c>
      <c r="K403" t="str" cm="1">
        <f t="array" ref="K403">_xlfn.SWITCH(TRIM(UPPER(J403)),
"BUSINESS", "Short Stay",
"CONFERENCE", "Medium Stay",
"VACATION", "Iong Stay",
"HOLIDAY", "Long Stay",
"V", "Leisure",
"UNKNOWN", "Unknown",
"Other")</f>
        <v>Medium Stay</v>
      </c>
    </row>
    <row r="404" spans="1:11" x14ac:dyDescent="0.3">
      <c r="A404" t="s">
        <v>1769</v>
      </c>
      <c r="B404" t="s">
        <v>268</v>
      </c>
      <c r="C404" t="s">
        <v>54</v>
      </c>
      <c r="D404" t="s">
        <v>1770</v>
      </c>
      <c r="E404" t="s">
        <v>156</v>
      </c>
      <c r="F404" t="s">
        <v>1771</v>
      </c>
      <c r="G404" t="s">
        <v>271</v>
      </c>
      <c r="H404" t="s">
        <v>1437</v>
      </c>
      <c r="I404">
        <f t="shared" si="6"/>
        <v>2</v>
      </c>
      <c r="J404" t="s">
        <v>121</v>
      </c>
      <c r="K404" t="str" cm="1">
        <f t="array" ref="K404">_xlfn.SWITCH(TRIM(UPPER(J404)),
"BUSINESS", "Short Stay",
"CONFERENCE", "Medium Stay",
"VACATION", "Iong Stay",
"HOLIDAY", "Long Stay",
"V", "Leisure",
"UNKNOWN", "Unknown",
"Other")</f>
        <v>Iong Stay</v>
      </c>
    </row>
    <row r="405" spans="1:11" x14ac:dyDescent="0.3">
      <c r="A405" t="s">
        <v>1772</v>
      </c>
      <c r="B405" t="s">
        <v>67</v>
      </c>
      <c r="C405" t="s">
        <v>54</v>
      </c>
      <c r="D405" t="s">
        <v>1773</v>
      </c>
      <c r="E405" t="s">
        <v>32</v>
      </c>
      <c r="F405" t="s">
        <v>1774</v>
      </c>
      <c r="G405" t="s">
        <v>71</v>
      </c>
      <c r="H405" t="s">
        <v>72</v>
      </c>
      <c r="I405">
        <f t="shared" si="6"/>
        <v>3</v>
      </c>
      <c r="J405" t="s">
        <v>121</v>
      </c>
      <c r="K405" t="str" cm="1">
        <f t="array" ref="K405">_xlfn.SWITCH(TRIM(UPPER(J405)),
"BUSINESS", "Short Stay",
"CONFERENCE", "Medium Stay",
"VACATION", "Iong Stay",
"HOLIDAY", "Long Stay",
"V", "Leisure",
"UNKNOWN", "Unknown",
"Other")</f>
        <v>Iong Stay</v>
      </c>
    </row>
    <row r="406" spans="1:11" x14ac:dyDescent="0.3">
      <c r="A406" t="s">
        <v>1775</v>
      </c>
      <c r="B406" t="s">
        <v>492</v>
      </c>
      <c r="C406" t="s">
        <v>54</v>
      </c>
      <c r="D406" t="s">
        <v>320</v>
      </c>
      <c r="E406" t="s">
        <v>117</v>
      </c>
      <c r="F406" t="s">
        <v>1776</v>
      </c>
      <c r="G406" t="s">
        <v>495</v>
      </c>
      <c r="H406" t="s">
        <v>496</v>
      </c>
      <c r="I406">
        <f t="shared" si="6"/>
        <v>1</v>
      </c>
      <c r="J406" t="s">
        <v>27</v>
      </c>
      <c r="K406" t="str" cm="1">
        <f t="array" ref="K406">_xlfn.SWITCH(TRIM(UPPER(J406)),
"BUSINESS", "Short Stay",
"CONFERENCE", "Medium Stay",
"VACATION", "Iong Stay",
"HOLIDAY", "Long Stay",
"V", "Leisure",
"UNKNOWN", "Unknown",
"Other")</f>
        <v>Medium Stay</v>
      </c>
    </row>
    <row r="407" spans="1:11" x14ac:dyDescent="0.3">
      <c r="A407" t="s">
        <v>1777</v>
      </c>
      <c r="B407" t="s">
        <v>1032</v>
      </c>
      <c r="C407" t="s">
        <v>12</v>
      </c>
      <c r="D407" t="s">
        <v>1290</v>
      </c>
      <c r="E407" t="s">
        <v>63</v>
      </c>
      <c r="F407" t="s">
        <v>1778</v>
      </c>
      <c r="G407" t="s">
        <v>1035</v>
      </c>
      <c r="H407" t="s">
        <v>677</v>
      </c>
      <c r="I407">
        <f t="shared" si="6"/>
        <v>5</v>
      </c>
      <c r="J407" t="s">
        <v>27</v>
      </c>
      <c r="K407" t="str" cm="1">
        <f t="array" ref="K407">_xlfn.SWITCH(TRIM(UPPER(J407)),
"BUSINESS", "Short Stay",
"CONFERENCE", "Medium Stay",
"VACATION", "Iong Stay",
"HOLIDAY", "Long Stay",
"V", "Leisure",
"UNKNOWN", "Unknown",
"Other")</f>
        <v>Medium Stay</v>
      </c>
    </row>
    <row r="408" spans="1:11" x14ac:dyDescent="0.3">
      <c r="A408" t="s">
        <v>1779</v>
      </c>
      <c r="B408" t="s">
        <v>1075</v>
      </c>
      <c r="C408" t="s">
        <v>21</v>
      </c>
      <c r="D408" t="s">
        <v>1780</v>
      </c>
      <c r="E408" t="s">
        <v>117</v>
      </c>
      <c r="F408" t="s">
        <v>1781</v>
      </c>
      <c r="G408" t="s">
        <v>1078</v>
      </c>
      <c r="H408" t="s">
        <v>265</v>
      </c>
      <c r="I408">
        <f t="shared" si="6"/>
        <v>2</v>
      </c>
      <c r="J408" t="s">
        <v>27</v>
      </c>
      <c r="K408" t="str" cm="1">
        <f t="array" ref="K408">_xlfn.SWITCH(TRIM(UPPER(J408)),
"BUSINESS", "Short Stay",
"CONFERENCE", "Medium Stay",
"VACATION", "Iong Stay",
"HOLIDAY", "Long Stay",
"V", "Leisure",
"UNKNOWN", "Unknown",
"Other")</f>
        <v>Medium Stay</v>
      </c>
    </row>
    <row r="409" spans="1:11" x14ac:dyDescent="0.3">
      <c r="A409" t="s">
        <v>1782</v>
      </c>
      <c r="B409" t="s">
        <v>905</v>
      </c>
      <c r="C409" t="s">
        <v>83</v>
      </c>
      <c r="D409" t="s">
        <v>1783</v>
      </c>
      <c r="E409" t="s">
        <v>32</v>
      </c>
      <c r="F409" t="s">
        <v>1784</v>
      </c>
      <c r="G409" t="s">
        <v>539</v>
      </c>
      <c r="H409" t="s">
        <v>265</v>
      </c>
      <c r="I409">
        <f t="shared" si="6"/>
        <v>5</v>
      </c>
      <c r="J409" t="s">
        <v>18</v>
      </c>
      <c r="K409" t="str" cm="1">
        <f t="array" ref="K409">_xlfn.SWITCH(TRIM(UPPER(J409)),
"BUSINESS", "Short Stay",
"CONFERENCE", "Medium Stay",
"VACATION", "Iong Stay",
"HOLIDAY", "Long Stay",
"V", "Leisure",
"UNKNOWN", "Unknown",
"Other")</f>
        <v>Short Stay</v>
      </c>
    </row>
    <row r="410" spans="1:11" x14ac:dyDescent="0.3">
      <c r="A410" t="s">
        <v>1785</v>
      </c>
      <c r="B410" t="s">
        <v>1212</v>
      </c>
      <c r="C410" t="s">
        <v>83</v>
      </c>
      <c r="D410" t="s">
        <v>1786</v>
      </c>
      <c r="E410" t="s">
        <v>48</v>
      </c>
      <c r="F410" t="s">
        <v>1787</v>
      </c>
      <c r="G410" t="s">
        <v>1007</v>
      </c>
      <c r="H410" t="s">
        <v>1788</v>
      </c>
      <c r="I410">
        <f t="shared" si="6"/>
        <v>1</v>
      </c>
      <c r="J410" t="s">
        <v>18</v>
      </c>
      <c r="K410" t="str" cm="1">
        <f t="array" ref="K410">_xlfn.SWITCH(TRIM(UPPER(J410)),
"BUSINESS", "Short Stay",
"CONFERENCE", "Medium Stay",
"VACATION", "Iong Stay",
"HOLIDAY", "Long Stay",
"V", "Leisure",
"UNKNOWN", "Unknown",
"Other")</f>
        <v>Short Stay</v>
      </c>
    </row>
    <row r="411" spans="1:11" x14ac:dyDescent="0.3">
      <c r="A411" t="s">
        <v>1789</v>
      </c>
      <c r="B411" t="s">
        <v>1790</v>
      </c>
      <c r="C411" t="s">
        <v>75</v>
      </c>
      <c r="D411" t="s">
        <v>1791</v>
      </c>
      <c r="E411" t="s">
        <v>156</v>
      </c>
      <c r="F411" t="s">
        <v>1792</v>
      </c>
      <c r="G411" t="s">
        <v>1793</v>
      </c>
      <c r="H411" t="s">
        <v>454</v>
      </c>
      <c r="I411">
        <f t="shared" si="6"/>
        <v>1</v>
      </c>
      <c r="J411" t="s">
        <v>18</v>
      </c>
      <c r="K411" t="str" cm="1">
        <f t="array" ref="K411">_xlfn.SWITCH(TRIM(UPPER(J411)),
"BUSINESS", "Short Stay",
"CONFERENCE", "Medium Stay",
"VACATION", "Iong Stay",
"HOLIDAY", "Long Stay",
"V", "Leisure",
"UNKNOWN", "Unknown",
"Other")</f>
        <v>Short Stay</v>
      </c>
    </row>
    <row r="412" spans="1:11" x14ac:dyDescent="0.3">
      <c r="A412" t="s">
        <v>1794</v>
      </c>
      <c r="B412" t="s">
        <v>1795</v>
      </c>
      <c r="C412" t="s">
        <v>83</v>
      </c>
      <c r="D412" t="s">
        <v>1640</v>
      </c>
      <c r="E412" t="s">
        <v>77</v>
      </c>
      <c r="F412" t="s">
        <v>1796</v>
      </c>
      <c r="G412" t="s">
        <v>1797</v>
      </c>
      <c r="H412" t="s">
        <v>725</v>
      </c>
      <c r="I412">
        <f t="shared" si="6"/>
        <v>2</v>
      </c>
      <c r="J412" t="s">
        <v>44</v>
      </c>
      <c r="K412" t="str" cm="1">
        <f t="array" ref="K412">_xlfn.SWITCH(TRIM(UPPER(J412)),
"BUSINESS", "Short Stay",
"CONFERENCE", "Medium Stay",
"VACATION", "Iong Stay",
"HOLIDAY", "Long Stay",
"V", "Leisure",
"UNKNOWN", "Unknown",
"Other")</f>
        <v>Other</v>
      </c>
    </row>
    <row r="413" spans="1:11" x14ac:dyDescent="0.3">
      <c r="A413" t="s">
        <v>1798</v>
      </c>
      <c r="B413" t="s">
        <v>1799</v>
      </c>
      <c r="C413" t="s">
        <v>61</v>
      </c>
      <c r="D413" t="s">
        <v>1111</v>
      </c>
      <c r="E413" t="s">
        <v>201</v>
      </c>
      <c r="F413" t="s">
        <v>1800</v>
      </c>
      <c r="G413" t="s">
        <v>1125</v>
      </c>
      <c r="H413" t="s">
        <v>1611</v>
      </c>
      <c r="I413">
        <f t="shared" si="6"/>
        <v>1</v>
      </c>
      <c r="J413" t="s">
        <v>44</v>
      </c>
      <c r="K413" t="str" cm="1">
        <f t="array" ref="K413">_xlfn.SWITCH(TRIM(UPPER(J413)),
"BUSINESS", "Short Stay",
"CONFERENCE", "Medium Stay",
"VACATION", "Iong Stay",
"HOLIDAY", "Long Stay",
"V", "Leisure",
"UNKNOWN", "Unknown",
"Other")</f>
        <v>Other</v>
      </c>
    </row>
    <row r="414" spans="1:11" x14ac:dyDescent="0.3">
      <c r="A414" t="s">
        <v>1801</v>
      </c>
      <c r="B414" t="s">
        <v>450</v>
      </c>
      <c r="C414" t="s">
        <v>97</v>
      </c>
      <c r="D414" t="s">
        <v>1802</v>
      </c>
      <c r="E414" t="s">
        <v>156</v>
      </c>
      <c r="F414" t="s">
        <v>1803</v>
      </c>
      <c r="G414" t="s">
        <v>453</v>
      </c>
      <c r="H414" t="s">
        <v>185</v>
      </c>
      <c r="I414">
        <f t="shared" si="6"/>
        <v>4</v>
      </c>
      <c r="J414" t="s">
        <v>27</v>
      </c>
      <c r="K414" t="str" cm="1">
        <f t="array" ref="K414">_xlfn.SWITCH(TRIM(UPPER(J414)),
"BUSINESS", "Short Stay",
"CONFERENCE", "Medium Stay",
"VACATION", "Iong Stay",
"HOLIDAY", "Long Stay",
"V", "Leisure",
"UNKNOWN", "Unknown",
"Other")</f>
        <v>Medium Stay</v>
      </c>
    </row>
    <row r="415" spans="1:11" x14ac:dyDescent="0.3">
      <c r="A415" t="s">
        <v>1804</v>
      </c>
      <c r="B415" t="s">
        <v>380</v>
      </c>
      <c r="C415" t="s">
        <v>21</v>
      </c>
      <c r="D415" t="s">
        <v>1805</v>
      </c>
      <c r="E415" t="s">
        <v>458</v>
      </c>
      <c r="F415" t="s">
        <v>1806</v>
      </c>
      <c r="G415" t="s">
        <v>383</v>
      </c>
      <c r="H415" t="s">
        <v>233</v>
      </c>
      <c r="I415">
        <f t="shared" si="6"/>
        <v>1</v>
      </c>
      <c r="J415" t="s">
        <v>121</v>
      </c>
      <c r="K415" t="str" cm="1">
        <f t="array" ref="K415">_xlfn.SWITCH(TRIM(UPPER(J415)),
"BUSINESS", "Short Stay",
"CONFERENCE", "Medium Stay",
"VACATION", "Iong Stay",
"HOLIDAY", "Long Stay",
"V", "Leisure",
"UNKNOWN", "Unknown",
"Other")</f>
        <v>Iong Stay</v>
      </c>
    </row>
    <row r="416" spans="1:11" x14ac:dyDescent="0.3">
      <c r="A416" t="s">
        <v>1807</v>
      </c>
      <c r="B416" t="s">
        <v>823</v>
      </c>
      <c r="C416" t="s">
        <v>97</v>
      </c>
      <c r="D416" t="s">
        <v>1808</v>
      </c>
      <c r="E416" t="s">
        <v>40</v>
      </c>
      <c r="F416" t="s">
        <v>1809</v>
      </c>
      <c r="G416" t="s">
        <v>826</v>
      </c>
      <c r="H416" t="s">
        <v>373</v>
      </c>
      <c r="I416">
        <f t="shared" si="6"/>
        <v>3</v>
      </c>
      <c r="J416" t="s">
        <v>121</v>
      </c>
      <c r="K416" t="str" cm="1">
        <f t="array" ref="K416">_xlfn.SWITCH(TRIM(UPPER(J416)),
"BUSINESS", "Short Stay",
"CONFERENCE", "Medium Stay",
"VACATION", "Iong Stay",
"HOLIDAY", "Long Stay",
"V", "Leisure",
"UNKNOWN", "Unknown",
"Other")</f>
        <v>Iong Stay</v>
      </c>
    </row>
    <row r="417" spans="1:11" x14ac:dyDescent="0.3">
      <c r="A417" t="s">
        <v>1810</v>
      </c>
      <c r="B417" t="s">
        <v>273</v>
      </c>
      <c r="C417" t="s">
        <v>54</v>
      </c>
      <c r="D417" t="s">
        <v>1811</v>
      </c>
      <c r="E417" t="s">
        <v>156</v>
      </c>
      <c r="F417" t="s">
        <v>1812</v>
      </c>
      <c r="G417" t="s">
        <v>276</v>
      </c>
      <c r="H417" t="s">
        <v>17</v>
      </c>
      <c r="I417">
        <f t="shared" si="6"/>
        <v>3</v>
      </c>
      <c r="J417" t="s">
        <v>44</v>
      </c>
      <c r="K417" t="str" cm="1">
        <f t="array" ref="K417">_xlfn.SWITCH(TRIM(UPPER(J417)),
"BUSINESS", "Short Stay",
"CONFERENCE", "Medium Stay",
"VACATION", "Iong Stay",
"HOLIDAY", "Long Stay",
"V", "Leisure",
"UNKNOWN", "Unknown",
"Other")</f>
        <v>Other</v>
      </c>
    </row>
    <row r="418" spans="1:11" x14ac:dyDescent="0.3">
      <c r="A418" t="s">
        <v>1813</v>
      </c>
      <c r="B418" t="s">
        <v>465</v>
      </c>
      <c r="C418" t="s">
        <v>12</v>
      </c>
      <c r="D418" t="s">
        <v>1814</v>
      </c>
      <c r="E418" t="s">
        <v>14</v>
      </c>
      <c r="F418" t="s">
        <v>1815</v>
      </c>
      <c r="G418" t="s">
        <v>468</v>
      </c>
      <c r="H418" t="s">
        <v>1109</v>
      </c>
      <c r="I418">
        <f t="shared" si="6"/>
        <v>4</v>
      </c>
      <c r="J418" t="s">
        <v>18</v>
      </c>
      <c r="K418" t="str" cm="1">
        <f t="array" ref="K418">_xlfn.SWITCH(TRIM(UPPER(J418)),
"BUSINESS", "Short Stay",
"CONFERENCE", "Medium Stay",
"VACATION", "Iong Stay",
"HOLIDAY", "Long Stay",
"V", "Leisure",
"UNKNOWN", "Unknown",
"Other")</f>
        <v>Short Stay</v>
      </c>
    </row>
    <row r="419" spans="1:11" x14ac:dyDescent="0.3">
      <c r="A419" t="s">
        <v>1816</v>
      </c>
      <c r="B419" t="s">
        <v>1817</v>
      </c>
      <c r="C419" t="s">
        <v>54</v>
      </c>
      <c r="D419" t="s">
        <v>1818</v>
      </c>
      <c r="E419" t="s">
        <v>14</v>
      </c>
      <c r="F419" t="s">
        <v>1819</v>
      </c>
      <c r="G419" t="s">
        <v>984</v>
      </c>
      <c r="H419" t="s">
        <v>1035</v>
      </c>
      <c r="I419">
        <f t="shared" si="6"/>
        <v>4</v>
      </c>
      <c r="J419" t="s">
        <v>27</v>
      </c>
      <c r="K419" t="str" cm="1">
        <f t="array" ref="K419">_xlfn.SWITCH(TRIM(UPPER(J419)),
"BUSINESS", "Short Stay",
"CONFERENCE", "Medium Stay",
"VACATION", "Iong Stay",
"HOLIDAY", "Long Stay",
"V", "Leisure",
"UNKNOWN", "Unknown",
"Other")</f>
        <v>Medium Stay</v>
      </c>
    </row>
    <row r="420" spans="1:11" x14ac:dyDescent="0.3">
      <c r="A420" t="s">
        <v>1820</v>
      </c>
      <c r="B420" t="s">
        <v>1678</v>
      </c>
      <c r="C420" t="s">
        <v>83</v>
      </c>
      <c r="D420" t="s">
        <v>1821</v>
      </c>
      <c r="E420" t="s">
        <v>48</v>
      </c>
      <c r="F420" t="s">
        <v>1822</v>
      </c>
      <c r="G420" t="s">
        <v>1681</v>
      </c>
      <c r="H420" t="s">
        <v>913</v>
      </c>
      <c r="I420">
        <f t="shared" si="6"/>
        <v>2</v>
      </c>
      <c r="J420" t="s">
        <v>121</v>
      </c>
      <c r="K420" t="str" cm="1">
        <f t="array" ref="K420">_xlfn.SWITCH(TRIM(UPPER(J420)),
"BUSINESS", "Short Stay",
"CONFERENCE", "Medium Stay",
"VACATION", "Iong Stay",
"HOLIDAY", "Long Stay",
"V", "Leisure",
"UNKNOWN", "Unknown",
"Other")</f>
        <v>Iong Stay</v>
      </c>
    </row>
    <row r="421" spans="1:11" x14ac:dyDescent="0.3">
      <c r="A421" t="s">
        <v>1823</v>
      </c>
      <c r="B421" t="s">
        <v>46</v>
      </c>
      <c r="C421" t="s">
        <v>83</v>
      </c>
      <c r="D421" t="s">
        <v>1824</v>
      </c>
      <c r="E421" t="s">
        <v>214</v>
      </c>
      <c r="F421" t="s">
        <v>1825</v>
      </c>
      <c r="G421" t="s">
        <v>50</v>
      </c>
      <c r="H421" t="s">
        <v>1826</v>
      </c>
      <c r="I421">
        <f t="shared" si="6"/>
        <v>4</v>
      </c>
      <c r="J421" t="s">
        <v>121</v>
      </c>
      <c r="K421" t="str" cm="1">
        <f t="array" ref="K421">_xlfn.SWITCH(TRIM(UPPER(J421)),
"BUSINESS", "Short Stay",
"CONFERENCE", "Medium Stay",
"VACATION", "Iong Stay",
"HOLIDAY", "Long Stay",
"V", "Leisure",
"UNKNOWN", "Unknown",
"Other")</f>
        <v>Iong Stay</v>
      </c>
    </row>
    <row r="422" spans="1:11" x14ac:dyDescent="0.3">
      <c r="A422" t="s">
        <v>1827</v>
      </c>
      <c r="B422" t="s">
        <v>1828</v>
      </c>
      <c r="C422" t="s">
        <v>21</v>
      </c>
      <c r="D422" t="s">
        <v>148</v>
      </c>
      <c r="E422" t="s">
        <v>23</v>
      </c>
      <c r="F422" t="s">
        <v>1829</v>
      </c>
      <c r="G422" t="s">
        <v>1151</v>
      </c>
      <c r="H422" t="s">
        <v>1242</v>
      </c>
      <c r="I422">
        <f t="shared" si="6"/>
        <v>3</v>
      </c>
      <c r="J422" t="s">
        <v>27</v>
      </c>
      <c r="K422" t="str" cm="1">
        <f t="array" ref="K422">_xlfn.SWITCH(TRIM(UPPER(J422)),
"BUSINESS", "Short Stay",
"CONFERENCE", "Medium Stay",
"VACATION", "Iong Stay",
"HOLIDAY", "Long Stay",
"V", "Leisure",
"UNKNOWN", "Unknown",
"Other")</f>
        <v>Medium Stay</v>
      </c>
    </row>
    <row r="423" spans="1:11" x14ac:dyDescent="0.3">
      <c r="A423" t="s">
        <v>1830</v>
      </c>
      <c r="B423" t="s">
        <v>1401</v>
      </c>
      <c r="C423" t="s">
        <v>38</v>
      </c>
      <c r="D423" t="s">
        <v>1831</v>
      </c>
      <c r="E423" t="s">
        <v>430</v>
      </c>
      <c r="F423" t="s">
        <v>1832</v>
      </c>
      <c r="G423" t="s">
        <v>1404</v>
      </c>
      <c r="H423" t="s">
        <v>1833</v>
      </c>
      <c r="I423">
        <f t="shared" si="6"/>
        <v>2</v>
      </c>
      <c r="J423" t="s">
        <v>27</v>
      </c>
      <c r="K423" t="str" cm="1">
        <f t="array" ref="K423">_xlfn.SWITCH(TRIM(UPPER(J423)),
"BUSINESS", "Short Stay",
"CONFERENCE", "Medium Stay",
"VACATION", "Iong Stay",
"HOLIDAY", "Long Stay",
"V", "Leisure",
"UNKNOWN", "Unknown",
"Other")</f>
        <v>Medium Stay</v>
      </c>
    </row>
    <row r="424" spans="1:11" x14ac:dyDescent="0.3">
      <c r="A424" t="s">
        <v>1834</v>
      </c>
      <c r="B424" t="s">
        <v>1835</v>
      </c>
      <c r="C424" t="s">
        <v>83</v>
      </c>
      <c r="D424" t="s">
        <v>1836</v>
      </c>
      <c r="E424" t="s">
        <v>77</v>
      </c>
      <c r="F424" t="s">
        <v>1837</v>
      </c>
      <c r="G424" t="s">
        <v>803</v>
      </c>
      <c r="H424" t="s">
        <v>869</v>
      </c>
      <c r="I424">
        <f t="shared" si="6"/>
        <v>4</v>
      </c>
      <c r="J424" t="s">
        <v>44</v>
      </c>
      <c r="K424" t="str" cm="1">
        <f t="array" ref="K424">_xlfn.SWITCH(TRIM(UPPER(J424)),
"BUSINESS", "Short Stay",
"CONFERENCE", "Medium Stay",
"VACATION", "Iong Stay",
"HOLIDAY", "Long Stay",
"V", "Leisure",
"UNKNOWN", "Unknown",
"Other")</f>
        <v>Other</v>
      </c>
    </row>
    <row r="425" spans="1:11" x14ac:dyDescent="0.3">
      <c r="A425" t="s">
        <v>1838</v>
      </c>
      <c r="B425" t="s">
        <v>702</v>
      </c>
      <c r="C425" t="s">
        <v>83</v>
      </c>
      <c r="D425" t="s">
        <v>1839</v>
      </c>
      <c r="E425" t="s">
        <v>176</v>
      </c>
      <c r="F425" t="s">
        <v>1840</v>
      </c>
      <c r="G425" t="s">
        <v>705</v>
      </c>
      <c r="H425" t="s">
        <v>700</v>
      </c>
      <c r="I425">
        <f t="shared" si="6"/>
        <v>4</v>
      </c>
      <c r="J425" t="s">
        <v>44</v>
      </c>
      <c r="K425" t="str" cm="1">
        <f t="array" ref="K425">_xlfn.SWITCH(TRIM(UPPER(J425)),
"BUSINESS", "Short Stay",
"CONFERENCE", "Medium Stay",
"VACATION", "Iong Stay",
"HOLIDAY", "Long Stay",
"V", "Leisure",
"UNKNOWN", "Unknown",
"Other")</f>
        <v>Other</v>
      </c>
    </row>
    <row r="426" spans="1:11" x14ac:dyDescent="0.3">
      <c r="A426" t="s">
        <v>1841</v>
      </c>
      <c r="B426" t="s">
        <v>365</v>
      </c>
      <c r="C426" t="s">
        <v>174</v>
      </c>
      <c r="D426" t="s">
        <v>762</v>
      </c>
      <c r="E426" t="s">
        <v>40</v>
      </c>
      <c r="F426" t="s">
        <v>1842</v>
      </c>
      <c r="G426" t="s">
        <v>368</v>
      </c>
      <c r="H426" t="s">
        <v>93</v>
      </c>
      <c r="I426">
        <f t="shared" si="6"/>
        <v>3</v>
      </c>
      <c r="J426" t="s">
        <v>44</v>
      </c>
      <c r="K426" t="str" cm="1">
        <f t="array" ref="K426">_xlfn.SWITCH(TRIM(UPPER(J426)),
"BUSINESS", "Short Stay",
"CONFERENCE", "Medium Stay",
"VACATION", "Iong Stay",
"HOLIDAY", "Long Stay",
"V", "Leisure",
"UNKNOWN", "Unknown",
"Other")</f>
        <v>Other</v>
      </c>
    </row>
    <row r="427" spans="1:11" x14ac:dyDescent="0.3">
      <c r="A427" t="s">
        <v>1843</v>
      </c>
      <c r="B427" t="s">
        <v>1844</v>
      </c>
      <c r="C427" t="s">
        <v>30</v>
      </c>
      <c r="D427" t="s">
        <v>1845</v>
      </c>
      <c r="E427" t="s">
        <v>458</v>
      </c>
      <c r="F427" t="s">
        <v>1846</v>
      </c>
      <c r="G427" t="s">
        <v>1847</v>
      </c>
      <c r="H427" t="s">
        <v>244</v>
      </c>
      <c r="I427">
        <f t="shared" si="6"/>
        <v>1</v>
      </c>
      <c r="J427" t="s">
        <v>44</v>
      </c>
      <c r="K427" t="str" cm="1">
        <f t="array" ref="K427">_xlfn.SWITCH(TRIM(UPPER(J427)),
"BUSINESS", "Short Stay",
"CONFERENCE", "Medium Stay",
"VACATION", "Iong Stay",
"HOLIDAY", "Long Stay",
"V", "Leisure",
"UNKNOWN", "Unknown",
"Other")</f>
        <v>Other</v>
      </c>
    </row>
    <row r="428" spans="1:11" x14ac:dyDescent="0.3">
      <c r="A428" t="s">
        <v>1848</v>
      </c>
      <c r="B428" t="s">
        <v>1849</v>
      </c>
      <c r="C428" t="s">
        <v>83</v>
      </c>
      <c r="D428" t="s">
        <v>906</v>
      </c>
      <c r="E428" t="s">
        <v>149</v>
      </c>
      <c r="F428" t="s">
        <v>1850</v>
      </c>
      <c r="G428" t="s">
        <v>1611</v>
      </c>
      <c r="H428" t="s">
        <v>548</v>
      </c>
      <c r="I428">
        <f t="shared" si="6"/>
        <v>1</v>
      </c>
      <c r="J428" t="s">
        <v>27</v>
      </c>
      <c r="K428" t="str" cm="1">
        <f t="array" ref="K428">_xlfn.SWITCH(TRIM(UPPER(J428)),
"BUSINESS", "Short Stay",
"CONFERENCE", "Medium Stay",
"VACATION", "Iong Stay",
"HOLIDAY", "Long Stay",
"V", "Leisure",
"UNKNOWN", "Unknown",
"Other")</f>
        <v>Medium Stay</v>
      </c>
    </row>
    <row r="429" spans="1:11" x14ac:dyDescent="0.3">
      <c r="A429" t="s">
        <v>1851</v>
      </c>
      <c r="B429" t="s">
        <v>418</v>
      </c>
      <c r="C429" t="s">
        <v>30</v>
      </c>
      <c r="D429" t="s">
        <v>1852</v>
      </c>
      <c r="E429" t="s">
        <v>214</v>
      </c>
      <c r="F429" t="s">
        <v>1853</v>
      </c>
      <c r="G429" t="s">
        <v>421</v>
      </c>
      <c r="H429" t="s">
        <v>210</v>
      </c>
      <c r="I429">
        <f t="shared" si="6"/>
        <v>5</v>
      </c>
      <c r="J429" t="s">
        <v>121</v>
      </c>
      <c r="K429" t="str" cm="1">
        <f t="array" ref="K429">_xlfn.SWITCH(TRIM(UPPER(J429)),
"BUSINESS", "Short Stay",
"CONFERENCE", "Medium Stay",
"VACATION", "Iong Stay",
"HOLIDAY", "Long Stay",
"V", "Leisure",
"UNKNOWN", "Unknown",
"Other")</f>
        <v>Iong Stay</v>
      </c>
    </row>
    <row r="430" spans="1:11" x14ac:dyDescent="0.3">
      <c r="A430" t="s">
        <v>1854</v>
      </c>
      <c r="B430" t="s">
        <v>1855</v>
      </c>
      <c r="C430" t="s">
        <v>75</v>
      </c>
      <c r="D430" t="s">
        <v>84</v>
      </c>
      <c r="E430" t="s">
        <v>214</v>
      </c>
      <c r="F430" t="s">
        <v>1856</v>
      </c>
      <c r="G430" t="s">
        <v>1172</v>
      </c>
      <c r="H430" t="s">
        <v>1857</v>
      </c>
      <c r="I430">
        <f t="shared" si="6"/>
        <v>1</v>
      </c>
      <c r="J430" t="s">
        <v>27</v>
      </c>
      <c r="K430" t="str" cm="1">
        <f t="array" ref="K430">_xlfn.SWITCH(TRIM(UPPER(J430)),
"BUSINESS", "Short Stay",
"CONFERENCE", "Medium Stay",
"VACATION", "Iong Stay",
"HOLIDAY", "Long Stay",
"V", "Leisure",
"UNKNOWN", "Unknown",
"Other")</f>
        <v>Medium Stay</v>
      </c>
    </row>
    <row r="431" spans="1:11" x14ac:dyDescent="0.3">
      <c r="A431" t="s">
        <v>1858</v>
      </c>
      <c r="B431" t="s">
        <v>1859</v>
      </c>
      <c r="C431" t="s">
        <v>97</v>
      </c>
      <c r="D431" t="s">
        <v>649</v>
      </c>
      <c r="E431" t="s">
        <v>201</v>
      </c>
      <c r="F431" t="s">
        <v>1860</v>
      </c>
      <c r="G431" t="s">
        <v>1861</v>
      </c>
      <c r="H431" t="s">
        <v>1862</v>
      </c>
      <c r="I431">
        <f t="shared" si="6"/>
        <v>2</v>
      </c>
      <c r="J431" t="s">
        <v>121</v>
      </c>
      <c r="K431" t="str" cm="1">
        <f t="array" ref="K431">_xlfn.SWITCH(TRIM(UPPER(J431)),
"BUSINESS", "Short Stay",
"CONFERENCE", "Medium Stay",
"VACATION", "Iong Stay",
"HOLIDAY", "Long Stay",
"V", "Leisure",
"UNKNOWN", "Unknown",
"Other")</f>
        <v>Iong Stay</v>
      </c>
    </row>
    <row r="432" spans="1:11" x14ac:dyDescent="0.3">
      <c r="A432" t="s">
        <v>1863</v>
      </c>
      <c r="B432" t="s">
        <v>1156</v>
      </c>
      <c r="C432" t="s">
        <v>38</v>
      </c>
      <c r="D432" t="s">
        <v>762</v>
      </c>
      <c r="E432" t="s">
        <v>23</v>
      </c>
      <c r="F432" t="s">
        <v>1864</v>
      </c>
      <c r="G432" t="s">
        <v>1159</v>
      </c>
      <c r="H432" t="s">
        <v>1160</v>
      </c>
      <c r="I432">
        <f t="shared" si="6"/>
        <v>4</v>
      </c>
      <c r="J432" t="s">
        <v>121</v>
      </c>
      <c r="K432" t="str" cm="1">
        <f t="array" ref="K432">_xlfn.SWITCH(TRIM(UPPER(J432)),
"BUSINESS", "Short Stay",
"CONFERENCE", "Medium Stay",
"VACATION", "Iong Stay",
"HOLIDAY", "Long Stay",
"V", "Leisure",
"UNKNOWN", "Unknown",
"Other")</f>
        <v>Iong Stay</v>
      </c>
    </row>
    <row r="433" spans="1:11" x14ac:dyDescent="0.3">
      <c r="A433" t="s">
        <v>1865</v>
      </c>
      <c r="B433" t="s">
        <v>1028</v>
      </c>
      <c r="C433" t="s">
        <v>75</v>
      </c>
      <c r="D433" t="s">
        <v>1866</v>
      </c>
      <c r="E433" t="s">
        <v>69</v>
      </c>
      <c r="F433" t="s">
        <v>1867</v>
      </c>
      <c r="G433" t="s">
        <v>1030</v>
      </c>
      <c r="H433" t="s">
        <v>1437</v>
      </c>
      <c r="I433">
        <f t="shared" si="6"/>
        <v>4</v>
      </c>
      <c r="J433" t="s">
        <v>44</v>
      </c>
      <c r="K433" t="str" cm="1">
        <f t="array" ref="K433">_xlfn.SWITCH(TRIM(UPPER(J433)),
"BUSINESS", "Short Stay",
"CONFERENCE", "Medium Stay",
"VACATION", "Iong Stay",
"HOLIDAY", "Long Stay",
"V", "Leisure",
"UNKNOWN", "Unknown",
"Other")</f>
        <v>Other</v>
      </c>
    </row>
    <row r="434" spans="1:11" x14ac:dyDescent="0.3">
      <c r="A434" t="s">
        <v>1868</v>
      </c>
      <c r="B434" t="s">
        <v>1869</v>
      </c>
      <c r="C434" t="s">
        <v>30</v>
      </c>
      <c r="D434" t="s">
        <v>1023</v>
      </c>
      <c r="E434" t="s">
        <v>77</v>
      </c>
      <c r="F434" t="s">
        <v>1870</v>
      </c>
      <c r="G434" t="s">
        <v>404</v>
      </c>
      <c r="H434" t="s">
        <v>303</v>
      </c>
      <c r="I434">
        <f t="shared" si="6"/>
        <v>5</v>
      </c>
      <c r="J434" t="s">
        <v>27</v>
      </c>
      <c r="K434" t="str" cm="1">
        <f t="array" ref="K434">_xlfn.SWITCH(TRIM(UPPER(J434)),
"BUSINESS", "Short Stay",
"CONFERENCE", "Medium Stay",
"VACATION", "Iong Stay",
"HOLIDAY", "Long Stay",
"V", "Leisure",
"UNKNOWN", "Unknown",
"Other")</f>
        <v>Medium Stay</v>
      </c>
    </row>
    <row r="435" spans="1:11" x14ac:dyDescent="0.3">
      <c r="A435" t="s">
        <v>1871</v>
      </c>
      <c r="B435" t="s">
        <v>1872</v>
      </c>
      <c r="C435" t="s">
        <v>83</v>
      </c>
      <c r="D435" t="s">
        <v>1873</v>
      </c>
      <c r="E435" t="s">
        <v>63</v>
      </c>
      <c r="F435" t="s">
        <v>1874</v>
      </c>
      <c r="G435" t="s">
        <v>422</v>
      </c>
      <c r="H435" t="s">
        <v>802</v>
      </c>
      <c r="I435">
        <f t="shared" si="6"/>
        <v>4</v>
      </c>
      <c r="J435" t="s">
        <v>121</v>
      </c>
      <c r="K435" t="str" cm="1">
        <f t="array" ref="K435">_xlfn.SWITCH(TRIM(UPPER(J435)),
"BUSINESS", "Short Stay",
"CONFERENCE", "Medium Stay",
"VACATION", "Iong Stay",
"HOLIDAY", "Long Stay",
"V", "Leisure",
"UNKNOWN", "Unknown",
"Other")</f>
        <v>Iong Stay</v>
      </c>
    </row>
    <row r="436" spans="1:11" x14ac:dyDescent="0.3">
      <c r="A436" t="s">
        <v>1875</v>
      </c>
      <c r="B436" t="s">
        <v>652</v>
      </c>
      <c r="C436" t="s">
        <v>38</v>
      </c>
      <c r="D436" t="s">
        <v>1876</v>
      </c>
      <c r="E436" t="s">
        <v>176</v>
      </c>
      <c r="F436" t="s">
        <v>1877</v>
      </c>
      <c r="G436" t="s">
        <v>127</v>
      </c>
      <c r="H436" t="s">
        <v>1109</v>
      </c>
      <c r="I436">
        <f t="shared" si="6"/>
        <v>1</v>
      </c>
      <c r="J436" t="s">
        <v>121</v>
      </c>
      <c r="K436" t="str" cm="1">
        <f t="array" ref="K436">_xlfn.SWITCH(TRIM(UPPER(J436)),
"BUSINESS", "Short Stay",
"CONFERENCE", "Medium Stay",
"VACATION", "Iong Stay",
"HOLIDAY", "Long Stay",
"V", "Leisure",
"UNKNOWN", "Unknown",
"Other")</f>
        <v>Iong Stay</v>
      </c>
    </row>
    <row r="437" spans="1:11" x14ac:dyDescent="0.3">
      <c r="A437" t="s">
        <v>1878</v>
      </c>
      <c r="B437" t="s">
        <v>1790</v>
      </c>
      <c r="C437" t="s">
        <v>61</v>
      </c>
      <c r="D437" t="s">
        <v>1879</v>
      </c>
      <c r="E437" t="s">
        <v>32</v>
      </c>
      <c r="F437" t="s">
        <v>1880</v>
      </c>
      <c r="G437" t="s">
        <v>1793</v>
      </c>
      <c r="H437" t="s">
        <v>185</v>
      </c>
      <c r="I437">
        <f t="shared" si="6"/>
        <v>2</v>
      </c>
      <c r="J437" t="s">
        <v>27</v>
      </c>
      <c r="K437" t="str" cm="1">
        <f t="array" ref="K437">_xlfn.SWITCH(TRIM(UPPER(J437)),
"BUSINESS", "Short Stay",
"CONFERENCE", "Medium Stay",
"VACATION", "Iong Stay",
"HOLIDAY", "Long Stay",
"V", "Leisure",
"UNKNOWN", "Unknown",
"Other")</f>
        <v>Medium Stay</v>
      </c>
    </row>
    <row r="438" spans="1:11" x14ac:dyDescent="0.3">
      <c r="A438" t="s">
        <v>1881</v>
      </c>
      <c r="B438" t="s">
        <v>1510</v>
      </c>
      <c r="C438" t="s">
        <v>83</v>
      </c>
      <c r="D438" t="s">
        <v>1324</v>
      </c>
      <c r="E438" t="s">
        <v>85</v>
      </c>
      <c r="F438" t="s">
        <v>1882</v>
      </c>
      <c r="G438" t="s">
        <v>101</v>
      </c>
      <c r="H438" t="s">
        <v>621</v>
      </c>
      <c r="I438">
        <f t="shared" si="6"/>
        <v>4</v>
      </c>
      <c r="J438" t="s">
        <v>27</v>
      </c>
      <c r="K438" t="str" cm="1">
        <f t="array" ref="K438">_xlfn.SWITCH(TRIM(UPPER(J438)),
"BUSINESS", "Short Stay",
"CONFERENCE", "Medium Stay",
"VACATION", "Iong Stay",
"HOLIDAY", "Long Stay",
"V", "Leisure",
"UNKNOWN", "Unknown",
"Other")</f>
        <v>Medium Stay</v>
      </c>
    </row>
    <row r="439" spans="1:11" x14ac:dyDescent="0.3">
      <c r="A439" t="s">
        <v>1883</v>
      </c>
      <c r="B439" t="s">
        <v>1114</v>
      </c>
      <c r="C439" t="s">
        <v>38</v>
      </c>
      <c r="D439" t="s">
        <v>618</v>
      </c>
      <c r="E439" t="s">
        <v>476</v>
      </c>
      <c r="F439" t="s">
        <v>1884</v>
      </c>
      <c r="G439" t="s">
        <v>1117</v>
      </c>
      <c r="H439" t="s">
        <v>1007</v>
      </c>
      <c r="I439">
        <f t="shared" si="6"/>
        <v>1</v>
      </c>
      <c r="J439" t="s">
        <v>44</v>
      </c>
      <c r="K439" t="str" cm="1">
        <f t="array" ref="K439">_xlfn.SWITCH(TRIM(UPPER(J439)),
"BUSINESS", "Short Stay",
"CONFERENCE", "Medium Stay",
"VACATION", "Iong Stay",
"HOLIDAY", "Long Stay",
"V", "Leisure",
"UNKNOWN", "Unknown",
"Other")</f>
        <v>Other</v>
      </c>
    </row>
    <row r="440" spans="1:11" x14ac:dyDescent="0.3">
      <c r="A440" t="s">
        <v>1885</v>
      </c>
      <c r="B440" t="s">
        <v>82</v>
      </c>
      <c r="C440" t="s">
        <v>174</v>
      </c>
      <c r="D440" t="s">
        <v>1886</v>
      </c>
      <c r="E440" t="s">
        <v>458</v>
      </c>
      <c r="F440" t="s">
        <v>1887</v>
      </c>
      <c r="G440" t="s">
        <v>87</v>
      </c>
      <c r="H440" t="s">
        <v>791</v>
      </c>
      <c r="I440">
        <f t="shared" si="6"/>
        <v>4</v>
      </c>
      <c r="J440" t="s">
        <v>121</v>
      </c>
      <c r="K440" t="str" cm="1">
        <f t="array" ref="K440">_xlfn.SWITCH(TRIM(UPPER(J440)),
"BUSINESS", "Short Stay",
"CONFERENCE", "Medium Stay",
"VACATION", "Iong Stay",
"HOLIDAY", "Long Stay",
"V", "Leisure",
"UNKNOWN", "Unknown",
"Other")</f>
        <v>Iong Stay</v>
      </c>
    </row>
    <row r="441" spans="1:11" x14ac:dyDescent="0.3">
      <c r="A441" t="s">
        <v>1888</v>
      </c>
      <c r="B441" t="s">
        <v>831</v>
      </c>
      <c r="C441" t="s">
        <v>12</v>
      </c>
      <c r="D441" t="s">
        <v>1889</v>
      </c>
      <c r="E441" t="s">
        <v>40</v>
      </c>
      <c r="F441" t="s">
        <v>1890</v>
      </c>
      <c r="G441" t="s">
        <v>369</v>
      </c>
      <c r="H441" t="s">
        <v>94</v>
      </c>
      <c r="I441">
        <f t="shared" si="6"/>
        <v>3</v>
      </c>
      <c r="J441" t="s">
        <v>18</v>
      </c>
      <c r="K441" t="str" cm="1">
        <f t="array" ref="K441">_xlfn.SWITCH(TRIM(UPPER(J441)),
"BUSINESS", "Short Stay",
"CONFERENCE", "Medium Stay",
"VACATION", "Iong Stay",
"HOLIDAY", "Long Stay",
"V", "Leisure",
"UNKNOWN", "Unknown",
"Other")</f>
        <v>Short Stay</v>
      </c>
    </row>
    <row r="442" spans="1:11" x14ac:dyDescent="0.3">
      <c r="A442" t="s">
        <v>1891</v>
      </c>
      <c r="B442" t="s">
        <v>863</v>
      </c>
      <c r="C442" t="s">
        <v>54</v>
      </c>
      <c r="D442" t="s">
        <v>1892</v>
      </c>
      <c r="E442" t="s">
        <v>458</v>
      </c>
      <c r="F442" t="s">
        <v>1893</v>
      </c>
      <c r="G442" t="s">
        <v>548</v>
      </c>
      <c r="H442" t="s">
        <v>1894</v>
      </c>
      <c r="I442">
        <f t="shared" si="6"/>
        <v>1</v>
      </c>
      <c r="J442" t="s">
        <v>27</v>
      </c>
      <c r="K442" t="str" cm="1">
        <f t="array" ref="K442">_xlfn.SWITCH(TRIM(UPPER(J442)),
"BUSINESS", "Short Stay",
"CONFERENCE", "Medium Stay",
"VACATION", "Iong Stay",
"HOLIDAY", "Long Stay",
"V", "Leisure",
"UNKNOWN", "Unknown",
"Other")</f>
        <v>Medium Stay</v>
      </c>
    </row>
    <row r="443" spans="1:11" x14ac:dyDescent="0.3">
      <c r="A443" t="s">
        <v>1895</v>
      </c>
      <c r="B443" t="s">
        <v>135</v>
      </c>
      <c r="C443" t="s">
        <v>21</v>
      </c>
      <c r="D443" t="s">
        <v>1896</v>
      </c>
      <c r="E443" t="s">
        <v>77</v>
      </c>
      <c r="F443" t="s">
        <v>1897</v>
      </c>
      <c r="G443" t="s">
        <v>138</v>
      </c>
      <c r="H443" t="s">
        <v>139</v>
      </c>
      <c r="I443">
        <f t="shared" si="6"/>
        <v>4</v>
      </c>
      <c r="J443" t="s">
        <v>27</v>
      </c>
      <c r="K443" t="str" cm="1">
        <f t="array" ref="K443">_xlfn.SWITCH(TRIM(UPPER(J443)),
"BUSINESS", "Short Stay",
"CONFERENCE", "Medium Stay",
"VACATION", "Iong Stay",
"HOLIDAY", "Long Stay",
"V", "Leisure",
"UNKNOWN", "Unknown",
"Other")</f>
        <v>Medium Stay</v>
      </c>
    </row>
    <row r="444" spans="1:11" x14ac:dyDescent="0.3">
      <c r="A444" t="s">
        <v>1898</v>
      </c>
      <c r="B444" t="s">
        <v>385</v>
      </c>
      <c r="C444" t="s">
        <v>97</v>
      </c>
      <c r="D444" t="s">
        <v>1899</v>
      </c>
      <c r="E444" t="s">
        <v>176</v>
      </c>
      <c r="F444" t="s">
        <v>1900</v>
      </c>
      <c r="G444" t="s">
        <v>80</v>
      </c>
      <c r="H444" t="s">
        <v>345</v>
      </c>
      <c r="I444">
        <f t="shared" si="6"/>
        <v>1</v>
      </c>
      <c r="J444" t="s">
        <v>27</v>
      </c>
      <c r="K444" t="str" cm="1">
        <f t="array" ref="K444">_xlfn.SWITCH(TRIM(UPPER(J444)),
"BUSINESS", "Short Stay",
"CONFERENCE", "Medium Stay",
"VACATION", "Iong Stay",
"HOLIDAY", "Long Stay",
"V", "Leisure",
"UNKNOWN", "Unknown",
"Other")</f>
        <v>Medium Stay</v>
      </c>
    </row>
    <row r="445" spans="1:11" x14ac:dyDescent="0.3">
      <c r="A445" t="s">
        <v>1901</v>
      </c>
      <c r="B445" t="s">
        <v>1902</v>
      </c>
      <c r="C445" t="s">
        <v>54</v>
      </c>
      <c r="D445" t="s">
        <v>1903</v>
      </c>
      <c r="E445" t="s">
        <v>63</v>
      </c>
      <c r="F445" t="s">
        <v>1904</v>
      </c>
      <c r="G445" t="s">
        <v>1905</v>
      </c>
      <c r="H445" t="s">
        <v>1559</v>
      </c>
      <c r="I445">
        <f t="shared" si="6"/>
        <v>5</v>
      </c>
      <c r="J445" t="s">
        <v>44</v>
      </c>
      <c r="K445" t="str" cm="1">
        <f t="array" ref="K445">_xlfn.SWITCH(TRIM(UPPER(J445)),
"BUSINESS", "Short Stay",
"CONFERENCE", "Medium Stay",
"VACATION", "Iong Stay",
"HOLIDAY", "Long Stay",
"V", "Leisure",
"UNKNOWN", "Unknown",
"Other")</f>
        <v>Other</v>
      </c>
    </row>
    <row r="446" spans="1:11" x14ac:dyDescent="0.3">
      <c r="A446" t="s">
        <v>1906</v>
      </c>
      <c r="B446" t="s">
        <v>1572</v>
      </c>
      <c r="C446" t="s">
        <v>75</v>
      </c>
      <c r="D446" t="s">
        <v>1907</v>
      </c>
      <c r="E446" t="s">
        <v>117</v>
      </c>
      <c r="F446" t="s">
        <v>1362</v>
      </c>
      <c r="G446" t="s">
        <v>1575</v>
      </c>
      <c r="H446" t="s">
        <v>1793</v>
      </c>
      <c r="I446">
        <f t="shared" si="6"/>
        <v>1</v>
      </c>
      <c r="J446" t="s">
        <v>27</v>
      </c>
      <c r="K446" t="str" cm="1">
        <f t="array" ref="K446">_xlfn.SWITCH(TRIM(UPPER(J446)),
"BUSINESS", "Short Stay",
"CONFERENCE", "Medium Stay",
"VACATION", "Iong Stay",
"HOLIDAY", "Long Stay",
"V", "Leisure",
"UNKNOWN", "Unknown",
"Other")</f>
        <v>Medium Stay</v>
      </c>
    </row>
    <row r="447" spans="1:11" x14ac:dyDescent="0.3">
      <c r="A447" t="s">
        <v>1908</v>
      </c>
      <c r="B447" t="s">
        <v>1487</v>
      </c>
      <c r="C447" t="s">
        <v>30</v>
      </c>
      <c r="D447" t="s">
        <v>1909</v>
      </c>
      <c r="E447" t="s">
        <v>430</v>
      </c>
      <c r="F447" t="s">
        <v>1910</v>
      </c>
      <c r="G447" t="s">
        <v>438</v>
      </c>
      <c r="H447" t="s">
        <v>1505</v>
      </c>
      <c r="I447">
        <f t="shared" si="6"/>
        <v>4</v>
      </c>
      <c r="J447" t="s">
        <v>44</v>
      </c>
      <c r="K447" t="str" cm="1">
        <f t="array" ref="K447">_xlfn.SWITCH(TRIM(UPPER(J447)),
"BUSINESS", "Short Stay",
"CONFERENCE", "Medium Stay",
"VACATION", "Iong Stay",
"HOLIDAY", "Long Stay",
"V", "Leisure",
"UNKNOWN", "Unknown",
"Other")</f>
        <v>Other</v>
      </c>
    </row>
    <row r="448" spans="1:11" x14ac:dyDescent="0.3">
      <c r="A448" t="s">
        <v>1911</v>
      </c>
      <c r="B448" t="s">
        <v>1912</v>
      </c>
      <c r="C448" t="s">
        <v>54</v>
      </c>
      <c r="D448" t="s">
        <v>1913</v>
      </c>
      <c r="E448" t="s">
        <v>77</v>
      </c>
      <c r="F448" t="s">
        <v>1914</v>
      </c>
      <c r="G448" t="s">
        <v>363</v>
      </c>
      <c r="H448" t="s">
        <v>1267</v>
      </c>
      <c r="I448">
        <f t="shared" si="6"/>
        <v>3</v>
      </c>
      <c r="J448" t="s">
        <v>44</v>
      </c>
      <c r="K448" t="str" cm="1">
        <f t="array" ref="K448">_xlfn.SWITCH(TRIM(UPPER(J448)),
"BUSINESS", "Short Stay",
"CONFERENCE", "Medium Stay",
"VACATION", "Iong Stay",
"HOLIDAY", "Long Stay",
"V", "Leisure",
"UNKNOWN", "Unknown",
"Other")</f>
        <v>Other</v>
      </c>
    </row>
    <row r="449" spans="1:11" x14ac:dyDescent="0.3">
      <c r="A449" t="s">
        <v>1915</v>
      </c>
      <c r="B449" t="s">
        <v>1916</v>
      </c>
      <c r="C449" t="s">
        <v>83</v>
      </c>
      <c r="D449" t="s">
        <v>953</v>
      </c>
      <c r="E449" t="s">
        <v>14</v>
      </c>
      <c r="F449" t="s">
        <v>1917</v>
      </c>
      <c r="G449" t="s">
        <v>691</v>
      </c>
      <c r="H449" t="s">
        <v>1199</v>
      </c>
      <c r="I449">
        <f t="shared" si="6"/>
        <v>3</v>
      </c>
      <c r="J449" t="s">
        <v>121</v>
      </c>
      <c r="K449" t="str" cm="1">
        <f t="array" ref="K449">_xlfn.SWITCH(TRIM(UPPER(J449)),
"BUSINESS", "Short Stay",
"CONFERENCE", "Medium Stay",
"VACATION", "Iong Stay",
"HOLIDAY", "Long Stay",
"V", "Leisure",
"UNKNOWN", "Unknown",
"Other")</f>
        <v>Iong Stay</v>
      </c>
    </row>
    <row r="450" spans="1:11" x14ac:dyDescent="0.3">
      <c r="A450" t="s">
        <v>1918</v>
      </c>
      <c r="B450" t="s">
        <v>996</v>
      </c>
      <c r="C450" t="s">
        <v>30</v>
      </c>
      <c r="D450" t="s">
        <v>1919</v>
      </c>
      <c r="E450" t="s">
        <v>214</v>
      </c>
      <c r="F450" t="s">
        <v>1920</v>
      </c>
      <c r="G450" t="s">
        <v>998</v>
      </c>
      <c r="H450" t="s">
        <v>999</v>
      </c>
      <c r="I450">
        <f t="shared" si="6"/>
        <v>1</v>
      </c>
      <c r="J450" t="s">
        <v>27</v>
      </c>
      <c r="K450" t="str" cm="1">
        <f t="array" ref="K450">_xlfn.SWITCH(TRIM(UPPER(J450)),
"BUSINESS", "Short Stay",
"CONFERENCE", "Medium Stay",
"VACATION", "Iong Stay",
"HOLIDAY", "Long Stay",
"V", "Leisure",
"UNKNOWN", "Unknown",
"Other")</f>
        <v>Medium Stay</v>
      </c>
    </row>
    <row r="451" spans="1:11" x14ac:dyDescent="0.3">
      <c r="A451" t="s">
        <v>1921</v>
      </c>
      <c r="B451" t="s">
        <v>846</v>
      </c>
      <c r="C451" t="s">
        <v>83</v>
      </c>
      <c r="D451" t="s">
        <v>602</v>
      </c>
      <c r="E451" t="s">
        <v>214</v>
      </c>
      <c r="F451" t="s">
        <v>1922</v>
      </c>
      <c r="G451" t="s">
        <v>849</v>
      </c>
      <c r="H451" t="s">
        <v>502</v>
      </c>
      <c r="I451">
        <f t="shared" ref="I451:I514" si="7">H451-G451</f>
        <v>4</v>
      </c>
      <c r="J451" t="s">
        <v>44</v>
      </c>
      <c r="K451" t="str" cm="1">
        <f t="array" ref="K451">_xlfn.SWITCH(TRIM(UPPER(J451)),
"BUSINESS", "Short Stay",
"CONFERENCE", "Medium Stay",
"VACATION", "Iong Stay",
"HOLIDAY", "Long Stay",
"V", "Leisure",
"UNKNOWN", "Unknown",
"Other")</f>
        <v>Other</v>
      </c>
    </row>
    <row r="452" spans="1:11" x14ac:dyDescent="0.3">
      <c r="A452" t="s">
        <v>1923</v>
      </c>
      <c r="B452" t="s">
        <v>1040</v>
      </c>
      <c r="C452" t="s">
        <v>61</v>
      </c>
      <c r="D452" t="s">
        <v>1924</v>
      </c>
      <c r="E452" t="s">
        <v>48</v>
      </c>
      <c r="F452" t="s">
        <v>1925</v>
      </c>
      <c r="G452" t="s">
        <v>1043</v>
      </c>
      <c r="H452" t="s">
        <v>378</v>
      </c>
      <c r="I452">
        <f t="shared" si="7"/>
        <v>3</v>
      </c>
      <c r="J452" t="s">
        <v>18</v>
      </c>
      <c r="K452" t="str" cm="1">
        <f t="array" ref="K452">_xlfn.SWITCH(TRIM(UPPER(J452)),
"BUSINESS", "Short Stay",
"CONFERENCE", "Medium Stay",
"VACATION", "Iong Stay",
"HOLIDAY", "Long Stay",
"V", "Leisure",
"UNKNOWN", "Unknown",
"Other")</f>
        <v>Short Stay</v>
      </c>
    </row>
    <row r="453" spans="1:11" x14ac:dyDescent="0.3">
      <c r="A453" t="s">
        <v>1926</v>
      </c>
      <c r="B453" t="s">
        <v>1591</v>
      </c>
      <c r="C453" t="s">
        <v>21</v>
      </c>
      <c r="D453" t="s">
        <v>1927</v>
      </c>
      <c r="E453" t="s">
        <v>23</v>
      </c>
      <c r="F453" t="s">
        <v>1928</v>
      </c>
      <c r="G453" t="s">
        <v>426</v>
      </c>
      <c r="H453" t="s">
        <v>735</v>
      </c>
      <c r="I453">
        <f t="shared" si="7"/>
        <v>3</v>
      </c>
      <c r="J453" t="s">
        <v>27</v>
      </c>
      <c r="K453" t="str" cm="1">
        <f t="array" ref="K453">_xlfn.SWITCH(TRIM(UPPER(J453)),
"BUSINESS", "Short Stay",
"CONFERENCE", "Medium Stay",
"VACATION", "Iong Stay",
"HOLIDAY", "Long Stay",
"V", "Leisure",
"UNKNOWN", "Unknown",
"Other")</f>
        <v>Medium Stay</v>
      </c>
    </row>
    <row r="454" spans="1:11" x14ac:dyDescent="0.3">
      <c r="A454" t="s">
        <v>1929</v>
      </c>
      <c r="B454" t="s">
        <v>910</v>
      </c>
      <c r="C454" t="s">
        <v>97</v>
      </c>
      <c r="D454" t="s">
        <v>1930</v>
      </c>
      <c r="E454" t="s">
        <v>23</v>
      </c>
      <c r="F454" t="s">
        <v>1931</v>
      </c>
      <c r="G454" t="s">
        <v>913</v>
      </c>
      <c r="H454" t="s">
        <v>216</v>
      </c>
      <c r="I454">
        <f t="shared" si="7"/>
        <v>2</v>
      </c>
      <c r="J454" t="s">
        <v>44</v>
      </c>
      <c r="K454" t="str" cm="1">
        <f t="array" ref="K454">_xlfn.SWITCH(TRIM(UPPER(J454)),
"BUSINESS", "Short Stay",
"CONFERENCE", "Medium Stay",
"VACATION", "Iong Stay",
"HOLIDAY", "Long Stay",
"V", "Leisure",
"UNKNOWN", "Unknown",
"Other")</f>
        <v>Other</v>
      </c>
    </row>
    <row r="455" spans="1:11" x14ac:dyDescent="0.3">
      <c r="A455" t="s">
        <v>1932</v>
      </c>
      <c r="B455" t="s">
        <v>1933</v>
      </c>
      <c r="C455" t="s">
        <v>61</v>
      </c>
      <c r="D455" t="s">
        <v>1934</v>
      </c>
      <c r="E455" t="s">
        <v>63</v>
      </c>
      <c r="F455" t="s">
        <v>1935</v>
      </c>
      <c r="G455" t="s">
        <v>726</v>
      </c>
      <c r="H455" t="s">
        <v>739</v>
      </c>
      <c r="I455">
        <f t="shared" si="7"/>
        <v>5</v>
      </c>
      <c r="J455" t="s">
        <v>27</v>
      </c>
      <c r="K455" t="str" cm="1">
        <f t="array" ref="K455">_xlfn.SWITCH(TRIM(UPPER(J455)),
"BUSINESS", "Short Stay",
"CONFERENCE", "Medium Stay",
"VACATION", "Iong Stay",
"HOLIDAY", "Long Stay",
"V", "Leisure",
"UNKNOWN", "Unknown",
"Other")</f>
        <v>Medium Stay</v>
      </c>
    </row>
    <row r="456" spans="1:11" x14ac:dyDescent="0.3">
      <c r="A456" t="s">
        <v>1936</v>
      </c>
      <c r="B456" t="s">
        <v>1745</v>
      </c>
      <c r="C456" t="s">
        <v>97</v>
      </c>
      <c r="D456" t="s">
        <v>325</v>
      </c>
      <c r="E456" t="s">
        <v>117</v>
      </c>
      <c r="F456" t="s">
        <v>1937</v>
      </c>
      <c r="G456" t="s">
        <v>43</v>
      </c>
      <c r="H456" t="s">
        <v>937</v>
      </c>
      <c r="I456">
        <f t="shared" si="7"/>
        <v>4</v>
      </c>
      <c r="J456" t="s">
        <v>44</v>
      </c>
      <c r="K456" t="str" cm="1">
        <f t="array" ref="K456">_xlfn.SWITCH(TRIM(UPPER(J456)),
"BUSINESS", "Short Stay",
"CONFERENCE", "Medium Stay",
"VACATION", "Iong Stay",
"HOLIDAY", "Long Stay",
"V", "Leisure",
"UNKNOWN", "Unknown",
"Other")</f>
        <v>Other</v>
      </c>
    </row>
    <row r="457" spans="1:11" x14ac:dyDescent="0.3">
      <c r="A457" t="s">
        <v>1938</v>
      </c>
      <c r="B457" t="s">
        <v>324</v>
      </c>
      <c r="C457" t="s">
        <v>38</v>
      </c>
      <c r="D457" t="s">
        <v>1939</v>
      </c>
      <c r="E457" t="s">
        <v>48</v>
      </c>
      <c r="F457" t="s">
        <v>1940</v>
      </c>
      <c r="G457" t="s">
        <v>327</v>
      </c>
      <c r="H457" t="s">
        <v>744</v>
      </c>
      <c r="I457">
        <f t="shared" si="7"/>
        <v>2</v>
      </c>
      <c r="J457" t="s">
        <v>44</v>
      </c>
      <c r="K457" t="str" cm="1">
        <f t="array" ref="K457">_xlfn.SWITCH(TRIM(UPPER(J457)),
"BUSINESS", "Short Stay",
"CONFERENCE", "Medium Stay",
"VACATION", "Iong Stay",
"HOLIDAY", "Long Stay",
"V", "Leisure",
"UNKNOWN", "Unknown",
"Other")</f>
        <v>Other</v>
      </c>
    </row>
    <row r="458" spans="1:11" x14ac:dyDescent="0.3">
      <c r="A458" t="s">
        <v>1941</v>
      </c>
      <c r="B458" t="s">
        <v>1942</v>
      </c>
      <c r="C458" t="s">
        <v>38</v>
      </c>
      <c r="D458" t="s">
        <v>1228</v>
      </c>
      <c r="E458" t="s">
        <v>430</v>
      </c>
      <c r="F458" t="s">
        <v>1943</v>
      </c>
      <c r="G458" t="s">
        <v>1696</v>
      </c>
      <c r="H458" t="s">
        <v>769</v>
      </c>
      <c r="I458">
        <f t="shared" si="7"/>
        <v>1</v>
      </c>
      <c r="J458" t="s">
        <v>18</v>
      </c>
      <c r="K458" t="str" cm="1">
        <f t="array" ref="K458">_xlfn.SWITCH(TRIM(UPPER(J458)),
"BUSINESS", "Short Stay",
"CONFERENCE", "Medium Stay",
"VACATION", "Iong Stay",
"HOLIDAY", "Long Stay",
"V", "Leisure",
"UNKNOWN", "Unknown",
"Other")</f>
        <v>Short Stay</v>
      </c>
    </row>
    <row r="459" spans="1:11" x14ac:dyDescent="0.3">
      <c r="A459" t="s">
        <v>1944</v>
      </c>
      <c r="B459" t="s">
        <v>1872</v>
      </c>
      <c r="C459" t="s">
        <v>54</v>
      </c>
      <c r="D459" t="s">
        <v>1945</v>
      </c>
      <c r="E459" t="s">
        <v>430</v>
      </c>
      <c r="F459" t="s">
        <v>1946</v>
      </c>
      <c r="G459" t="s">
        <v>422</v>
      </c>
      <c r="H459" t="s">
        <v>802</v>
      </c>
      <c r="I459">
        <f t="shared" si="7"/>
        <v>4</v>
      </c>
      <c r="J459" t="s">
        <v>18</v>
      </c>
      <c r="K459" t="str" cm="1">
        <f t="array" ref="K459">_xlfn.SWITCH(TRIM(UPPER(J459)),
"BUSINESS", "Short Stay",
"CONFERENCE", "Medium Stay",
"VACATION", "Iong Stay",
"HOLIDAY", "Long Stay",
"V", "Leisure",
"UNKNOWN", "Unknown",
"Other")</f>
        <v>Short Stay</v>
      </c>
    </row>
    <row r="460" spans="1:11" x14ac:dyDescent="0.3">
      <c r="A460" t="s">
        <v>1947</v>
      </c>
      <c r="B460" t="s">
        <v>1040</v>
      </c>
      <c r="C460" t="s">
        <v>21</v>
      </c>
      <c r="D460" t="s">
        <v>1948</v>
      </c>
      <c r="E460" t="s">
        <v>63</v>
      </c>
      <c r="F460" t="s">
        <v>275</v>
      </c>
      <c r="G460" t="s">
        <v>1043</v>
      </c>
      <c r="H460" t="s">
        <v>42</v>
      </c>
      <c r="I460">
        <f t="shared" si="7"/>
        <v>5</v>
      </c>
      <c r="J460" t="s">
        <v>44</v>
      </c>
      <c r="K460" t="str" cm="1">
        <f t="array" ref="K460">_xlfn.SWITCH(TRIM(UPPER(J460)),
"BUSINESS", "Short Stay",
"CONFERENCE", "Medium Stay",
"VACATION", "Iong Stay",
"HOLIDAY", "Long Stay",
"V", "Leisure",
"UNKNOWN", "Unknown",
"Other")</f>
        <v>Other</v>
      </c>
    </row>
    <row r="461" spans="1:11" x14ac:dyDescent="0.3">
      <c r="A461" t="s">
        <v>1949</v>
      </c>
      <c r="B461" t="s">
        <v>1745</v>
      </c>
      <c r="C461" t="s">
        <v>75</v>
      </c>
      <c r="D461" t="s">
        <v>1950</v>
      </c>
      <c r="E461" t="s">
        <v>176</v>
      </c>
      <c r="F461" t="s">
        <v>1951</v>
      </c>
      <c r="G461" t="s">
        <v>43</v>
      </c>
      <c r="H461" t="s">
        <v>937</v>
      </c>
      <c r="I461">
        <f t="shared" si="7"/>
        <v>4</v>
      </c>
      <c r="J461" t="s">
        <v>44</v>
      </c>
      <c r="K461" t="str" cm="1">
        <f t="array" ref="K461">_xlfn.SWITCH(TRIM(UPPER(J461)),
"BUSINESS", "Short Stay",
"CONFERENCE", "Medium Stay",
"VACATION", "Iong Stay",
"HOLIDAY", "Long Stay",
"V", "Leisure",
"UNKNOWN", "Unknown",
"Other")</f>
        <v>Other</v>
      </c>
    </row>
    <row r="462" spans="1:11" x14ac:dyDescent="0.3">
      <c r="A462" t="s">
        <v>1952</v>
      </c>
      <c r="B462" t="s">
        <v>1953</v>
      </c>
      <c r="C462" t="s">
        <v>21</v>
      </c>
      <c r="D462" t="s">
        <v>1954</v>
      </c>
      <c r="E462" t="s">
        <v>214</v>
      </c>
      <c r="F462" t="s">
        <v>1955</v>
      </c>
      <c r="G462" t="s">
        <v>1347</v>
      </c>
      <c r="H462" t="s">
        <v>1956</v>
      </c>
      <c r="I462">
        <f t="shared" si="7"/>
        <v>4</v>
      </c>
      <c r="J462" t="s">
        <v>27</v>
      </c>
      <c r="K462" t="str" cm="1">
        <f t="array" ref="K462">_xlfn.SWITCH(TRIM(UPPER(J462)),
"BUSINESS", "Short Stay",
"CONFERENCE", "Medium Stay",
"VACATION", "Iong Stay",
"HOLIDAY", "Long Stay",
"V", "Leisure",
"UNKNOWN", "Unknown",
"Other")</f>
        <v>Medium Stay</v>
      </c>
    </row>
    <row r="463" spans="1:11" x14ac:dyDescent="0.3">
      <c r="A463" t="s">
        <v>1957</v>
      </c>
      <c r="B463" t="s">
        <v>154</v>
      </c>
      <c r="C463" t="s">
        <v>38</v>
      </c>
      <c r="D463" t="s">
        <v>842</v>
      </c>
      <c r="E463" t="s">
        <v>85</v>
      </c>
      <c r="F463" t="s">
        <v>1958</v>
      </c>
      <c r="G463" t="s">
        <v>158</v>
      </c>
      <c r="H463" t="s">
        <v>260</v>
      </c>
      <c r="I463">
        <f t="shared" si="7"/>
        <v>2</v>
      </c>
      <c r="J463" t="s">
        <v>27</v>
      </c>
      <c r="K463" t="str" cm="1">
        <f t="array" ref="K463">_xlfn.SWITCH(TRIM(UPPER(J463)),
"BUSINESS", "Short Stay",
"CONFERENCE", "Medium Stay",
"VACATION", "Iong Stay",
"HOLIDAY", "Long Stay",
"V", "Leisure",
"UNKNOWN", "Unknown",
"Other")</f>
        <v>Medium Stay</v>
      </c>
    </row>
    <row r="464" spans="1:11" x14ac:dyDescent="0.3">
      <c r="A464" t="s">
        <v>1959</v>
      </c>
      <c r="B464" t="s">
        <v>761</v>
      </c>
      <c r="C464" t="s">
        <v>75</v>
      </c>
      <c r="D464" t="s">
        <v>1960</v>
      </c>
      <c r="E464" t="s">
        <v>40</v>
      </c>
      <c r="F464" t="s">
        <v>1961</v>
      </c>
      <c r="G464" t="s">
        <v>399</v>
      </c>
      <c r="H464" t="s">
        <v>861</v>
      </c>
      <c r="I464">
        <f t="shared" si="7"/>
        <v>2</v>
      </c>
      <c r="J464" t="s">
        <v>44</v>
      </c>
      <c r="K464" t="str" cm="1">
        <f t="array" ref="K464">_xlfn.SWITCH(TRIM(UPPER(J464)),
"BUSINESS", "Short Stay",
"CONFERENCE", "Medium Stay",
"VACATION", "Iong Stay",
"HOLIDAY", "Long Stay",
"V", "Leisure",
"UNKNOWN", "Unknown",
"Other")</f>
        <v>Other</v>
      </c>
    </row>
    <row r="465" spans="1:11" x14ac:dyDescent="0.3">
      <c r="A465" t="s">
        <v>1962</v>
      </c>
      <c r="B465" t="s">
        <v>561</v>
      </c>
      <c r="C465" t="s">
        <v>54</v>
      </c>
      <c r="D465" t="s">
        <v>1963</v>
      </c>
      <c r="E465" t="s">
        <v>77</v>
      </c>
      <c r="F465" t="s">
        <v>1964</v>
      </c>
      <c r="G465" t="s">
        <v>563</v>
      </c>
      <c r="H465" t="s">
        <v>250</v>
      </c>
      <c r="I465">
        <f t="shared" si="7"/>
        <v>4</v>
      </c>
      <c r="J465" t="s">
        <v>18</v>
      </c>
      <c r="K465" t="str" cm="1">
        <f t="array" ref="K465">_xlfn.SWITCH(TRIM(UPPER(J465)),
"BUSINESS", "Short Stay",
"CONFERENCE", "Medium Stay",
"VACATION", "Iong Stay",
"HOLIDAY", "Long Stay",
"V", "Leisure",
"UNKNOWN", "Unknown",
"Other")</f>
        <v>Short Stay</v>
      </c>
    </row>
    <row r="466" spans="1:11" x14ac:dyDescent="0.3">
      <c r="A466" t="s">
        <v>1965</v>
      </c>
      <c r="B466" t="s">
        <v>1966</v>
      </c>
      <c r="C466" t="s">
        <v>21</v>
      </c>
      <c r="D466" t="s">
        <v>751</v>
      </c>
      <c r="E466" t="s">
        <v>149</v>
      </c>
      <c r="F466" t="s">
        <v>1967</v>
      </c>
      <c r="G466" t="s">
        <v>1176</v>
      </c>
      <c r="H466" t="s">
        <v>106</v>
      </c>
      <c r="I466">
        <f t="shared" si="7"/>
        <v>3</v>
      </c>
      <c r="J466" t="s">
        <v>18</v>
      </c>
      <c r="K466" t="str" cm="1">
        <f t="array" ref="K466">_xlfn.SWITCH(TRIM(UPPER(J466)),
"BUSINESS", "Short Stay",
"CONFERENCE", "Medium Stay",
"VACATION", "Iong Stay",
"HOLIDAY", "Long Stay",
"V", "Leisure",
"UNKNOWN", "Unknown",
"Other")</f>
        <v>Short Stay</v>
      </c>
    </row>
    <row r="467" spans="1:11" x14ac:dyDescent="0.3">
      <c r="A467" t="s">
        <v>1968</v>
      </c>
      <c r="B467" t="s">
        <v>550</v>
      </c>
      <c r="C467" t="s">
        <v>75</v>
      </c>
      <c r="D467" t="s">
        <v>1236</v>
      </c>
      <c r="E467" t="s">
        <v>458</v>
      </c>
      <c r="F467" t="s">
        <v>1969</v>
      </c>
      <c r="G467" t="s">
        <v>553</v>
      </c>
      <c r="H467" t="s">
        <v>1588</v>
      </c>
      <c r="I467">
        <f t="shared" si="7"/>
        <v>4</v>
      </c>
      <c r="J467" t="s">
        <v>27</v>
      </c>
      <c r="K467" t="str" cm="1">
        <f t="array" ref="K467">_xlfn.SWITCH(TRIM(UPPER(J467)),
"BUSINESS", "Short Stay",
"CONFERENCE", "Medium Stay",
"VACATION", "Iong Stay",
"HOLIDAY", "Long Stay",
"V", "Leisure",
"UNKNOWN", "Unknown",
"Other")</f>
        <v>Medium Stay</v>
      </c>
    </row>
    <row r="468" spans="1:11" x14ac:dyDescent="0.3">
      <c r="A468" t="s">
        <v>1970</v>
      </c>
      <c r="B468" t="s">
        <v>141</v>
      </c>
      <c r="C468" t="s">
        <v>75</v>
      </c>
      <c r="D468" t="s">
        <v>1971</v>
      </c>
      <c r="E468" t="s">
        <v>48</v>
      </c>
      <c r="F468" t="s">
        <v>1972</v>
      </c>
      <c r="G468" t="s">
        <v>144</v>
      </c>
      <c r="H468" t="s">
        <v>725</v>
      </c>
      <c r="I468">
        <f t="shared" si="7"/>
        <v>4</v>
      </c>
      <c r="J468" t="s">
        <v>27</v>
      </c>
      <c r="K468" t="str" cm="1">
        <f t="array" ref="K468">_xlfn.SWITCH(TRIM(UPPER(J468)),
"BUSINESS", "Short Stay",
"CONFERENCE", "Medium Stay",
"VACATION", "Iong Stay",
"HOLIDAY", "Long Stay",
"V", "Leisure",
"UNKNOWN", "Unknown",
"Other")</f>
        <v>Medium Stay</v>
      </c>
    </row>
    <row r="469" spans="1:11" x14ac:dyDescent="0.3">
      <c r="A469" t="s">
        <v>1973</v>
      </c>
      <c r="B469" t="s">
        <v>1245</v>
      </c>
      <c r="C469" t="s">
        <v>174</v>
      </c>
      <c r="D469" t="s">
        <v>76</v>
      </c>
      <c r="E469" t="s">
        <v>430</v>
      </c>
      <c r="F469" t="s">
        <v>1974</v>
      </c>
      <c r="G469" t="s">
        <v>1248</v>
      </c>
      <c r="H469" t="s">
        <v>1763</v>
      </c>
      <c r="I469">
        <f t="shared" si="7"/>
        <v>1</v>
      </c>
      <c r="J469" t="s">
        <v>27</v>
      </c>
      <c r="K469" t="str" cm="1">
        <f t="array" ref="K469">_xlfn.SWITCH(TRIM(UPPER(J469)),
"BUSINESS", "Short Stay",
"CONFERENCE", "Medium Stay",
"VACATION", "Iong Stay",
"HOLIDAY", "Long Stay",
"V", "Leisure",
"UNKNOWN", "Unknown",
"Other")</f>
        <v>Medium Stay</v>
      </c>
    </row>
    <row r="470" spans="1:11" x14ac:dyDescent="0.3">
      <c r="A470" t="s">
        <v>1975</v>
      </c>
      <c r="B470" t="s">
        <v>257</v>
      </c>
      <c r="C470" t="s">
        <v>97</v>
      </c>
      <c r="D470" t="s">
        <v>1791</v>
      </c>
      <c r="E470" t="s">
        <v>149</v>
      </c>
      <c r="F470" t="s">
        <v>1976</v>
      </c>
      <c r="G470" t="s">
        <v>260</v>
      </c>
      <c r="H470" t="s">
        <v>159</v>
      </c>
      <c r="I470">
        <f t="shared" si="7"/>
        <v>2</v>
      </c>
      <c r="J470" t="s">
        <v>18</v>
      </c>
      <c r="K470" t="str" cm="1">
        <f t="array" ref="K470">_xlfn.SWITCH(TRIM(UPPER(J470)),
"BUSINESS", "Short Stay",
"CONFERENCE", "Medium Stay",
"VACATION", "Iong Stay",
"HOLIDAY", "Long Stay",
"V", "Leisure",
"UNKNOWN", "Unknown",
"Other")</f>
        <v>Short Stay</v>
      </c>
    </row>
    <row r="471" spans="1:11" x14ac:dyDescent="0.3">
      <c r="A471" t="s">
        <v>1977</v>
      </c>
      <c r="B471" t="s">
        <v>199</v>
      </c>
      <c r="C471" t="s">
        <v>30</v>
      </c>
      <c r="D471" t="s">
        <v>1978</v>
      </c>
      <c r="E471" t="s">
        <v>201</v>
      </c>
      <c r="F471" t="s">
        <v>1979</v>
      </c>
      <c r="G471" t="s">
        <v>203</v>
      </c>
      <c r="H471" t="s">
        <v>538</v>
      </c>
      <c r="I471">
        <f t="shared" si="7"/>
        <v>4</v>
      </c>
      <c r="J471" t="s">
        <v>44</v>
      </c>
      <c r="K471" t="str" cm="1">
        <f t="array" ref="K471">_xlfn.SWITCH(TRIM(UPPER(J471)),
"BUSINESS", "Short Stay",
"CONFERENCE", "Medium Stay",
"VACATION", "Iong Stay",
"HOLIDAY", "Long Stay",
"V", "Leisure",
"UNKNOWN", "Unknown",
"Other")</f>
        <v>Other</v>
      </c>
    </row>
    <row r="472" spans="1:11" x14ac:dyDescent="0.3">
      <c r="A472" t="s">
        <v>1980</v>
      </c>
      <c r="B472" t="s">
        <v>682</v>
      </c>
      <c r="C472" t="s">
        <v>12</v>
      </c>
      <c r="D472" t="s">
        <v>1981</v>
      </c>
      <c r="E472" t="s">
        <v>23</v>
      </c>
      <c r="F472" t="s">
        <v>1982</v>
      </c>
      <c r="G472" t="s">
        <v>685</v>
      </c>
      <c r="H472" t="s">
        <v>1395</v>
      </c>
      <c r="I472">
        <f t="shared" si="7"/>
        <v>1</v>
      </c>
      <c r="J472" t="s">
        <v>27</v>
      </c>
      <c r="K472" t="str" cm="1">
        <f t="array" ref="K472">_xlfn.SWITCH(TRIM(UPPER(J472)),
"BUSINESS", "Short Stay",
"CONFERENCE", "Medium Stay",
"VACATION", "Iong Stay",
"HOLIDAY", "Long Stay",
"V", "Leisure",
"UNKNOWN", "Unknown",
"Other")</f>
        <v>Medium Stay</v>
      </c>
    </row>
    <row r="473" spans="1:11" x14ac:dyDescent="0.3">
      <c r="A473" t="s">
        <v>1983</v>
      </c>
      <c r="B473" t="s">
        <v>1984</v>
      </c>
      <c r="C473" t="s">
        <v>12</v>
      </c>
      <c r="D473" t="s">
        <v>1442</v>
      </c>
      <c r="E473" t="s">
        <v>314</v>
      </c>
      <c r="F473" t="s">
        <v>1985</v>
      </c>
      <c r="G473" t="s">
        <v>443</v>
      </c>
      <c r="H473" t="s">
        <v>1986</v>
      </c>
      <c r="I473">
        <f t="shared" si="7"/>
        <v>4</v>
      </c>
      <c r="J473" t="s">
        <v>121</v>
      </c>
      <c r="K473" t="str" cm="1">
        <f t="array" ref="K473">_xlfn.SWITCH(TRIM(UPPER(J473)),
"BUSINESS", "Short Stay",
"CONFERENCE", "Medium Stay",
"VACATION", "Iong Stay",
"HOLIDAY", "Long Stay",
"V", "Leisure",
"UNKNOWN", "Unknown",
"Other")</f>
        <v>Iong Stay</v>
      </c>
    </row>
    <row r="474" spans="1:11" x14ac:dyDescent="0.3">
      <c r="A474" t="s">
        <v>1987</v>
      </c>
      <c r="B474" t="s">
        <v>1206</v>
      </c>
      <c r="C474" t="s">
        <v>97</v>
      </c>
      <c r="D474" t="s">
        <v>1988</v>
      </c>
      <c r="E474" t="s">
        <v>430</v>
      </c>
      <c r="F474" t="s">
        <v>1989</v>
      </c>
      <c r="G474" t="s">
        <v>1208</v>
      </c>
      <c r="H474" t="s">
        <v>1407</v>
      </c>
      <c r="I474">
        <f t="shared" si="7"/>
        <v>2</v>
      </c>
      <c r="J474" t="s">
        <v>121</v>
      </c>
      <c r="K474" t="str" cm="1">
        <f t="array" ref="K474">_xlfn.SWITCH(TRIM(UPPER(J474)),
"BUSINESS", "Short Stay",
"CONFERENCE", "Medium Stay",
"VACATION", "Iong Stay",
"HOLIDAY", "Long Stay",
"V", "Leisure",
"UNKNOWN", "Unknown",
"Other")</f>
        <v>Iong Stay</v>
      </c>
    </row>
    <row r="475" spans="1:11" x14ac:dyDescent="0.3">
      <c r="A475" t="s">
        <v>1990</v>
      </c>
      <c r="B475" t="s">
        <v>520</v>
      </c>
      <c r="C475" t="s">
        <v>75</v>
      </c>
      <c r="D475" t="s">
        <v>1991</v>
      </c>
      <c r="E475" t="s">
        <v>149</v>
      </c>
      <c r="F475" t="s">
        <v>1992</v>
      </c>
      <c r="G475" t="s">
        <v>523</v>
      </c>
      <c r="H475" t="s">
        <v>1296</v>
      </c>
      <c r="I475">
        <f t="shared" si="7"/>
        <v>3</v>
      </c>
      <c r="J475" t="s">
        <v>18</v>
      </c>
      <c r="K475" t="str" cm="1">
        <f t="array" ref="K475">_xlfn.SWITCH(TRIM(UPPER(J475)),
"BUSINESS", "Short Stay",
"CONFERENCE", "Medium Stay",
"VACATION", "Iong Stay",
"HOLIDAY", "Long Stay",
"V", "Leisure",
"UNKNOWN", "Unknown",
"Other")</f>
        <v>Short Stay</v>
      </c>
    </row>
    <row r="476" spans="1:11" x14ac:dyDescent="0.3">
      <c r="A476" t="s">
        <v>1993</v>
      </c>
      <c r="B476" t="s">
        <v>1994</v>
      </c>
      <c r="C476" t="s">
        <v>174</v>
      </c>
      <c r="D476" t="s">
        <v>591</v>
      </c>
      <c r="E476" t="s">
        <v>546</v>
      </c>
      <c r="F476" t="s">
        <v>1995</v>
      </c>
      <c r="G476" t="s">
        <v>764</v>
      </c>
      <c r="H476" t="s">
        <v>244</v>
      </c>
      <c r="I476">
        <f t="shared" si="7"/>
        <v>2</v>
      </c>
      <c r="J476" t="s">
        <v>121</v>
      </c>
      <c r="K476" t="str" cm="1">
        <f t="array" ref="K476">_xlfn.SWITCH(TRIM(UPPER(J476)),
"BUSINESS", "Short Stay",
"CONFERENCE", "Medium Stay",
"VACATION", "Iong Stay",
"HOLIDAY", "Long Stay",
"V", "Leisure",
"UNKNOWN", "Unknown",
"Other")</f>
        <v>Iong Stay</v>
      </c>
    </row>
    <row r="477" spans="1:11" x14ac:dyDescent="0.3">
      <c r="A477" t="s">
        <v>1996</v>
      </c>
      <c r="B477" t="s">
        <v>1997</v>
      </c>
      <c r="C477" t="s">
        <v>174</v>
      </c>
      <c r="D477" t="s">
        <v>1998</v>
      </c>
      <c r="E477" t="s">
        <v>201</v>
      </c>
      <c r="F477" t="s">
        <v>1999</v>
      </c>
      <c r="G477" t="s">
        <v>1199</v>
      </c>
      <c r="H477" t="s">
        <v>178</v>
      </c>
      <c r="I477">
        <f t="shared" si="7"/>
        <v>4</v>
      </c>
      <c r="J477" t="s">
        <v>44</v>
      </c>
      <c r="K477" t="str" cm="1">
        <f t="array" ref="K477">_xlfn.SWITCH(TRIM(UPPER(J477)),
"BUSINESS", "Short Stay",
"CONFERENCE", "Medium Stay",
"VACATION", "Iong Stay",
"HOLIDAY", "Long Stay",
"V", "Leisure",
"UNKNOWN", "Unknown",
"Other")</f>
        <v>Other</v>
      </c>
    </row>
    <row r="478" spans="1:11" x14ac:dyDescent="0.3">
      <c r="A478" t="s">
        <v>2000</v>
      </c>
      <c r="B478" t="s">
        <v>2001</v>
      </c>
      <c r="C478" t="s">
        <v>75</v>
      </c>
      <c r="D478" t="s">
        <v>2002</v>
      </c>
      <c r="E478" t="s">
        <v>77</v>
      </c>
      <c r="F478" t="s">
        <v>2003</v>
      </c>
      <c r="G478" t="s">
        <v>1689</v>
      </c>
      <c r="H478" t="s">
        <v>615</v>
      </c>
      <c r="I478">
        <f t="shared" si="7"/>
        <v>1</v>
      </c>
      <c r="J478" t="s">
        <v>121</v>
      </c>
      <c r="K478" t="str" cm="1">
        <f t="array" ref="K478">_xlfn.SWITCH(TRIM(UPPER(J478)),
"BUSINESS", "Short Stay",
"CONFERENCE", "Medium Stay",
"VACATION", "Iong Stay",
"HOLIDAY", "Long Stay",
"V", "Leisure",
"UNKNOWN", "Unknown",
"Other")</f>
        <v>Iong Stay</v>
      </c>
    </row>
    <row r="479" spans="1:11" x14ac:dyDescent="0.3">
      <c r="A479" t="s">
        <v>2004</v>
      </c>
      <c r="B479" t="s">
        <v>1454</v>
      </c>
      <c r="C479" t="s">
        <v>12</v>
      </c>
      <c r="D479" t="s">
        <v>2005</v>
      </c>
      <c r="E479" t="s">
        <v>458</v>
      </c>
      <c r="F479" t="s">
        <v>2006</v>
      </c>
      <c r="G479" t="s">
        <v>1456</v>
      </c>
      <c r="H479" t="s">
        <v>1347</v>
      </c>
      <c r="I479">
        <f t="shared" si="7"/>
        <v>5</v>
      </c>
      <c r="J479" t="s">
        <v>44</v>
      </c>
      <c r="K479" t="str" cm="1">
        <f t="array" ref="K479">_xlfn.SWITCH(TRIM(UPPER(J479)),
"BUSINESS", "Short Stay",
"CONFERENCE", "Medium Stay",
"VACATION", "Iong Stay",
"HOLIDAY", "Long Stay",
"V", "Leisure",
"UNKNOWN", "Unknown",
"Other")</f>
        <v>Other</v>
      </c>
    </row>
    <row r="480" spans="1:11" x14ac:dyDescent="0.3">
      <c r="A480" t="s">
        <v>2007</v>
      </c>
      <c r="B480" t="s">
        <v>2001</v>
      </c>
      <c r="C480" t="s">
        <v>97</v>
      </c>
      <c r="D480" t="s">
        <v>2008</v>
      </c>
      <c r="E480" t="s">
        <v>476</v>
      </c>
      <c r="F480" t="s">
        <v>2009</v>
      </c>
      <c r="G480" t="s">
        <v>1689</v>
      </c>
      <c r="H480" t="s">
        <v>908</v>
      </c>
      <c r="I480">
        <f t="shared" si="7"/>
        <v>4</v>
      </c>
      <c r="J480" t="s">
        <v>121</v>
      </c>
      <c r="K480" t="str" cm="1">
        <f t="array" ref="K480">_xlfn.SWITCH(TRIM(UPPER(J480)),
"BUSINESS", "Short Stay",
"CONFERENCE", "Medium Stay",
"VACATION", "Iong Stay",
"HOLIDAY", "Long Stay",
"V", "Leisure",
"UNKNOWN", "Unknown",
"Other")</f>
        <v>Iong Stay</v>
      </c>
    </row>
    <row r="481" spans="1:11" x14ac:dyDescent="0.3">
      <c r="A481" t="s">
        <v>2010</v>
      </c>
      <c r="B481" t="s">
        <v>1572</v>
      </c>
      <c r="C481" t="s">
        <v>61</v>
      </c>
      <c r="D481" t="s">
        <v>2011</v>
      </c>
      <c r="E481" t="s">
        <v>458</v>
      </c>
      <c r="F481" t="s">
        <v>2012</v>
      </c>
      <c r="G481" t="s">
        <v>1575</v>
      </c>
      <c r="H481" t="s">
        <v>1793</v>
      </c>
      <c r="I481">
        <f t="shared" si="7"/>
        <v>1</v>
      </c>
      <c r="J481" t="s">
        <v>121</v>
      </c>
      <c r="K481" t="str" cm="1">
        <f t="array" ref="K481">_xlfn.SWITCH(TRIM(UPPER(J481)),
"BUSINESS", "Short Stay",
"CONFERENCE", "Medium Stay",
"VACATION", "Iong Stay",
"HOLIDAY", "Long Stay",
"V", "Leisure",
"UNKNOWN", "Unknown",
"Other")</f>
        <v>Iong Stay</v>
      </c>
    </row>
    <row r="482" spans="1:11" x14ac:dyDescent="0.3">
      <c r="A482" t="s">
        <v>2013</v>
      </c>
      <c r="B482" t="s">
        <v>722</v>
      </c>
      <c r="C482" t="s">
        <v>97</v>
      </c>
      <c r="D482" t="s">
        <v>2014</v>
      </c>
      <c r="E482" t="s">
        <v>14</v>
      </c>
      <c r="F482" t="s">
        <v>2015</v>
      </c>
      <c r="G482" t="s">
        <v>725</v>
      </c>
      <c r="H482" t="s">
        <v>511</v>
      </c>
      <c r="I482">
        <f t="shared" si="7"/>
        <v>1</v>
      </c>
      <c r="J482" t="s">
        <v>27</v>
      </c>
      <c r="K482" t="str" cm="1">
        <f t="array" ref="K482">_xlfn.SWITCH(TRIM(UPPER(J482)),
"BUSINESS", "Short Stay",
"CONFERENCE", "Medium Stay",
"VACATION", "Iong Stay",
"HOLIDAY", "Long Stay",
"V", "Leisure",
"UNKNOWN", "Unknown",
"Other")</f>
        <v>Medium Stay</v>
      </c>
    </row>
    <row r="483" spans="1:11" x14ac:dyDescent="0.3">
      <c r="A483" t="s">
        <v>2016</v>
      </c>
      <c r="B483" t="s">
        <v>2017</v>
      </c>
      <c r="C483" t="s">
        <v>61</v>
      </c>
      <c r="D483" t="s">
        <v>864</v>
      </c>
      <c r="E483" t="s">
        <v>214</v>
      </c>
      <c r="F483" t="s">
        <v>2018</v>
      </c>
      <c r="G483" t="s">
        <v>1026</v>
      </c>
      <c r="H483" t="s">
        <v>1415</v>
      </c>
      <c r="I483">
        <f t="shared" si="7"/>
        <v>5</v>
      </c>
      <c r="J483" t="s">
        <v>27</v>
      </c>
      <c r="K483" t="str" cm="1">
        <f t="array" ref="K483">_xlfn.SWITCH(TRIM(UPPER(J483)),
"BUSINESS", "Short Stay",
"CONFERENCE", "Medium Stay",
"VACATION", "Iong Stay",
"HOLIDAY", "Long Stay",
"V", "Leisure",
"UNKNOWN", "Unknown",
"Other")</f>
        <v>Medium Stay</v>
      </c>
    </row>
    <row r="484" spans="1:11" x14ac:dyDescent="0.3">
      <c r="A484" t="s">
        <v>2019</v>
      </c>
      <c r="B484" t="s">
        <v>1323</v>
      </c>
      <c r="C484" t="s">
        <v>54</v>
      </c>
      <c r="D484" t="s">
        <v>2020</v>
      </c>
      <c r="E484" t="s">
        <v>40</v>
      </c>
      <c r="F484" t="s">
        <v>2021</v>
      </c>
      <c r="G484" t="s">
        <v>1326</v>
      </c>
      <c r="H484" t="s">
        <v>289</v>
      </c>
      <c r="I484">
        <f t="shared" si="7"/>
        <v>4</v>
      </c>
      <c r="J484" t="s">
        <v>27</v>
      </c>
      <c r="K484" t="str" cm="1">
        <f t="array" ref="K484">_xlfn.SWITCH(TRIM(UPPER(J484)),
"BUSINESS", "Short Stay",
"CONFERENCE", "Medium Stay",
"VACATION", "Iong Stay",
"HOLIDAY", "Long Stay",
"V", "Leisure",
"UNKNOWN", "Unknown",
"Other")</f>
        <v>Medium Stay</v>
      </c>
    </row>
    <row r="485" spans="1:11" x14ac:dyDescent="0.3">
      <c r="A485" t="s">
        <v>2022</v>
      </c>
      <c r="B485" t="s">
        <v>1004</v>
      </c>
      <c r="C485" t="s">
        <v>83</v>
      </c>
      <c r="D485" t="s">
        <v>944</v>
      </c>
      <c r="E485" t="s">
        <v>214</v>
      </c>
      <c r="F485" t="s">
        <v>2023</v>
      </c>
      <c r="G485" t="s">
        <v>317</v>
      </c>
      <c r="H485" t="s">
        <v>1172</v>
      </c>
      <c r="I485">
        <f t="shared" si="7"/>
        <v>1</v>
      </c>
      <c r="J485" t="s">
        <v>44</v>
      </c>
      <c r="K485" t="str" cm="1">
        <f t="array" ref="K485">_xlfn.SWITCH(TRIM(UPPER(J485)),
"BUSINESS", "Short Stay",
"CONFERENCE", "Medium Stay",
"VACATION", "Iong Stay",
"HOLIDAY", "Long Stay",
"V", "Leisure",
"UNKNOWN", "Unknown",
"Other")</f>
        <v>Other</v>
      </c>
    </row>
    <row r="486" spans="1:11" x14ac:dyDescent="0.3">
      <c r="A486" t="s">
        <v>2024</v>
      </c>
      <c r="B486" t="s">
        <v>2025</v>
      </c>
      <c r="C486" t="s">
        <v>38</v>
      </c>
      <c r="D486" t="s">
        <v>2026</v>
      </c>
      <c r="E486" t="s">
        <v>63</v>
      </c>
      <c r="F486" t="s">
        <v>2027</v>
      </c>
      <c r="G486" t="s">
        <v>1522</v>
      </c>
      <c r="H486" t="s">
        <v>119</v>
      </c>
      <c r="I486">
        <f t="shared" si="7"/>
        <v>2</v>
      </c>
      <c r="J486" t="s">
        <v>44</v>
      </c>
      <c r="K486" t="str" cm="1">
        <f t="array" ref="K486">_xlfn.SWITCH(TRIM(UPPER(J486)),
"BUSINESS", "Short Stay",
"CONFERENCE", "Medium Stay",
"VACATION", "Iong Stay",
"HOLIDAY", "Long Stay",
"V", "Leisure",
"UNKNOWN", "Unknown",
"Other")</f>
        <v>Other</v>
      </c>
    </row>
    <row r="487" spans="1:11" x14ac:dyDescent="0.3">
      <c r="A487" t="s">
        <v>2028</v>
      </c>
      <c r="B487" t="s">
        <v>1591</v>
      </c>
      <c r="C487" t="s">
        <v>21</v>
      </c>
      <c r="D487" t="s">
        <v>1380</v>
      </c>
      <c r="E487" t="s">
        <v>14</v>
      </c>
      <c r="F487" t="s">
        <v>2029</v>
      </c>
      <c r="G487" t="s">
        <v>426</v>
      </c>
      <c r="H487" t="s">
        <v>735</v>
      </c>
      <c r="I487">
        <f t="shared" si="7"/>
        <v>3</v>
      </c>
      <c r="J487" t="s">
        <v>44</v>
      </c>
      <c r="K487" t="str" cm="1">
        <f t="array" ref="K487">_xlfn.SWITCH(TRIM(UPPER(J487)),
"BUSINESS", "Short Stay",
"CONFERENCE", "Medium Stay",
"VACATION", "Iong Stay",
"HOLIDAY", "Long Stay",
"V", "Leisure",
"UNKNOWN", "Unknown",
"Other")</f>
        <v>Other</v>
      </c>
    </row>
    <row r="488" spans="1:11" x14ac:dyDescent="0.3">
      <c r="A488" t="s">
        <v>2030</v>
      </c>
      <c r="B488" t="s">
        <v>445</v>
      </c>
      <c r="C488" t="s">
        <v>21</v>
      </c>
      <c r="D488" t="s">
        <v>2031</v>
      </c>
      <c r="E488" t="s">
        <v>14</v>
      </c>
      <c r="F488" t="s">
        <v>2032</v>
      </c>
      <c r="G488" t="s">
        <v>448</v>
      </c>
      <c r="H488" t="s">
        <v>191</v>
      </c>
      <c r="I488">
        <f t="shared" si="7"/>
        <v>2</v>
      </c>
      <c r="J488" t="s">
        <v>121</v>
      </c>
      <c r="K488" t="str" cm="1">
        <f t="array" ref="K488">_xlfn.SWITCH(TRIM(UPPER(J488)),
"BUSINESS", "Short Stay",
"CONFERENCE", "Medium Stay",
"VACATION", "Iong Stay",
"HOLIDAY", "Long Stay",
"V", "Leisure",
"UNKNOWN", "Unknown",
"Other")</f>
        <v>Iong Stay</v>
      </c>
    </row>
    <row r="489" spans="1:11" x14ac:dyDescent="0.3">
      <c r="A489" t="s">
        <v>2033</v>
      </c>
      <c r="B489" t="s">
        <v>1591</v>
      </c>
      <c r="C489" t="s">
        <v>38</v>
      </c>
      <c r="D489" t="s">
        <v>2034</v>
      </c>
      <c r="E489" t="s">
        <v>63</v>
      </c>
      <c r="F489" t="s">
        <v>2035</v>
      </c>
      <c r="G489" t="s">
        <v>426</v>
      </c>
      <c r="H489" t="s">
        <v>735</v>
      </c>
      <c r="I489">
        <f t="shared" si="7"/>
        <v>3</v>
      </c>
      <c r="J489" t="s">
        <v>27</v>
      </c>
      <c r="K489" t="str" cm="1">
        <f t="array" ref="K489">_xlfn.SWITCH(TRIM(UPPER(J489)),
"BUSINESS", "Short Stay",
"CONFERENCE", "Medium Stay",
"VACATION", "Iong Stay",
"HOLIDAY", "Long Stay",
"V", "Leisure",
"UNKNOWN", "Unknown",
"Other")</f>
        <v>Medium Stay</v>
      </c>
    </row>
    <row r="490" spans="1:11" x14ac:dyDescent="0.3">
      <c r="A490" t="s">
        <v>2036</v>
      </c>
      <c r="B490" t="s">
        <v>273</v>
      </c>
      <c r="C490" t="s">
        <v>83</v>
      </c>
      <c r="D490" t="s">
        <v>2037</v>
      </c>
      <c r="E490" t="s">
        <v>69</v>
      </c>
      <c r="F490" t="s">
        <v>2038</v>
      </c>
      <c r="G490" t="s">
        <v>276</v>
      </c>
      <c r="H490" t="s">
        <v>1176</v>
      </c>
      <c r="I490">
        <f t="shared" si="7"/>
        <v>4</v>
      </c>
      <c r="J490" t="s">
        <v>121</v>
      </c>
      <c r="K490" t="str" cm="1">
        <f t="array" ref="K490">_xlfn.SWITCH(TRIM(UPPER(J490)),
"BUSINESS", "Short Stay",
"CONFERENCE", "Medium Stay",
"VACATION", "Iong Stay",
"HOLIDAY", "Long Stay",
"V", "Leisure",
"UNKNOWN", "Unknown",
"Other")</f>
        <v>Iong Stay</v>
      </c>
    </row>
    <row r="491" spans="1:11" x14ac:dyDescent="0.3">
      <c r="A491" t="s">
        <v>2039</v>
      </c>
      <c r="B491" t="s">
        <v>722</v>
      </c>
      <c r="C491" t="s">
        <v>38</v>
      </c>
      <c r="D491" t="s">
        <v>2040</v>
      </c>
      <c r="E491" t="s">
        <v>77</v>
      </c>
      <c r="F491" t="s">
        <v>2041</v>
      </c>
      <c r="G491" t="s">
        <v>725</v>
      </c>
      <c r="H491" t="s">
        <v>726</v>
      </c>
      <c r="I491">
        <f t="shared" si="7"/>
        <v>2</v>
      </c>
      <c r="J491" t="s">
        <v>121</v>
      </c>
      <c r="K491" t="str" cm="1">
        <f t="array" ref="K491">_xlfn.SWITCH(TRIM(UPPER(J491)),
"BUSINESS", "Short Stay",
"CONFERENCE", "Medium Stay",
"VACATION", "Iong Stay",
"HOLIDAY", "Long Stay",
"V", "Leisure",
"UNKNOWN", "Unknown",
"Other")</f>
        <v>Iong Stay</v>
      </c>
    </row>
    <row r="492" spans="1:11" x14ac:dyDescent="0.3">
      <c r="A492" t="s">
        <v>2042</v>
      </c>
      <c r="B492" t="s">
        <v>2043</v>
      </c>
      <c r="C492" t="s">
        <v>83</v>
      </c>
      <c r="D492" t="s">
        <v>1960</v>
      </c>
      <c r="E492" t="s">
        <v>156</v>
      </c>
      <c r="F492" t="s">
        <v>2044</v>
      </c>
      <c r="G492" t="s">
        <v>1226</v>
      </c>
      <c r="H492" t="s">
        <v>1285</v>
      </c>
      <c r="I492">
        <f t="shared" si="7"/>
        <v>4</v>
      </c>
      <c r="J492" t="s">
        <v>44</v>
      </c>
      <c r="K492" t="str" cm="1">
        <f t="array" ref="K492">_xlfn.SWITCH(TRIM(UPPER(J492)),
"BUSINESS", "Short Stay",
"CONFERENCE", "Medium Stay",
"VACATION", "Iong Stay",
"HOLIDAY", "Long Stay",
"V", "Leisure",
"UNKNOWN", "Unknown",
"Other")</f>
        <v>Other</v>
      </c>
    </row>
    <row r="493" spans="1:11" x14ac:dyDescent="0.3">
      <c r="A493" t="s">
        <v>2045</v>
      </c>
      <c r="B493" t="s">
        <v>851</v>
      </c>
      <c r="C493" t="s">
        <v>97</v>
      </c>
      <c r="D493" t="s">
        <v>2046</v>
      </c>
      <c r="E493" t="s">
        <v>430</v>
      </c>
      <c r="F493" t="s">
        <v>2047</v>
      </c>
      <c r="G493" t="s">
        <v>204</v>
      </c>
      <c r="H493" t="s">
        <v>1689</v>
      </c>
      <c r="I493">
        <f t="shared" si="7"/>
        <v>2</v>
      </c>
      <c r="J493" t="s">
        <v>121</v>
      </c>
      <c r="K493" t="str" cm="1">
        <f t="array" ref="K493">_xlfn.SWITCH(TRIM(UPPER(J493)),
"BUSINESS", "Short Stay",
"CONFERENCE", "Medium Stay",
"VACATION", "Iong Stay",
"HOLIDAY", "Long Stay",
"V", "Leisure",
"UNKNOWN", "Unknown",
"Other")</f>
        <v>Iong Stay</v>
      </c>
    </row>
    <row r="494" spans="1:11" x14ac:dyDescent="0.3">
      <c r="A494" t="s">
        <v>2048</v>
      </c>
      <c r="B494" t="s">
        <v>1872</v>
      </c>
      <c r="C494" t="s">
        <v>61</v>
      </c>
      <c r="D494" t="s">
        <v>1123</v>
      </c>
      <c r="E494" t="s">
        <v>32</v>
      </c>
      <c r="F494" t="s">
        <v>2049</v>
      </c>
      <c r="G494" t="s">
        <v>422</v>
      </c>
      <c r="H494" t="s">
        <v>759</v>
      </c>
      <c r="I494">
        <f t="shared" si="7"/>
        <v>5</v>
      </c>
      <c r="J494" t="s">
        <v>44</v>
      </c>
      <c r="K494" t="str" cm="1">
        <f t="array" ref="K494">_xlfn.SWITCH(TRIM(UPPER(J494)),
"BUSINESS", "Short Stay",
"CONFERENCE", "Medium Stay",
"VACATION", "Iong Stay",
"HOLIDAY", "Long Stay",
"V", "Leisure",
"UNKNOWN", "Unknown",
"Other")</f>
        <v>Other</v>
      </c>
    </row>
    <row r="495" spans="1:11" x14ac:dyDescent="0.3">
      <c r="A495" t="s">
        <v>2050</v>
      </c>
      <c r="B495" t="s">
        <v>2051</v>
      </c>
      <c r="C495" t="s">
        <v>30</v>
      </c>
      <c r="D495" t="s">
        <v>2052</v>
      </c>
      <c r="E495" t="s">
        <v>32</v>
      </c>
      <c r="F495" t="s">
        <v>2053</v>
      </c>
      <c r="G495" t="s">
        <v>1559</v>
      </c>
      <c r="H495" t="s">
        <v>826</v>
      </c>
      <c r="I495">
        <f t="shared" si="7"/>
        <v>1</v>
      </c>
      <c r="J495" t="s">
        <v>18</v>
      </c>
      <c r="K495" t="str" cm="1">
        <f t="array" ref="K495">_xlfn.SWITCH(TRIM(UPPER(J495)),
"BUSINESS", "Short Stay",
"CONFERENCE", "Medium Stay",
"VACATION", "Iong Stay",
"HOLIDAY", "Long Stay",
"V", "Leisure",
"UNKNOWN", "Unknown",
"Other")</f>
        <v>Short Stay</v>
      </c>
    </row>
    <row r="496" spans="1:11" x14ac:dyDescent="0.3">
      <c r="A496" t="s">
        <v>2054</v>
      </c>
      <c r="B496" t="s">
        <v>161</v>
      </c>
      <c r="C496" t="s">
        <v>75</v>
      </c>
      <c r="D496" t="s">
        <v>2055</v>
      </c>
      <c r="E496" t="s">
        <v>69</v>
      </c>
      <c r="F496" t="s">
        <v>2056</v>
      </c>
      <c r="G496" t="s">
        <v>164</v>
      </c>
      <c r="H496" t="s">
        <v>913</v>
      </c>
      <c r="I496">
        <f t="shared" si="7"/>
        <v>3</v>
      </c>
      <c r="J496" t="s">
        <v>44</v>
      </c>
      <c r="K496" t="str" cm="1">
        <f t="array" ref="K496">_xlfn.SWITCH(TRIM(UPPER(J496)),
"BUSINESS", "Short Stay",
"CONFERENCE", "Medium Stay",
"VACATION", "Iong Stay",
"HOLIDAY", "Long Stay",
"V", "Leisure",
"UNKNOWN", "Unknown",
"Other")</f>
        <v>Other</v>
      </c>
    </row>
    <row r="497" spans="1:11" x14ac:dyDescent="0.3">
      <c r="A497" t="s">
        <v>2057</v>
      </c>
      <c r="B497" t="s">
        <v>115</v>
      </c>
      <c r="C497" t="s">
        <v>97</v>
      </c>
      <c r="D497" t="s">
        <v>2058</v>
      </c>
      <c r="E497" t="s">
        <v>476</v>
      </c>
      <c r="F497" t="s">
        <v>2059</v>
      </c>
      <c r="G497" t="s">
        <v>119</v>
      </c>
      <c r="H497" t="s">
        <v>869</v>
      </c>
      <c r="I497">
        <f t="shared" si="7"/>
        <v>3</v>
      </c>
      <c r="J497" t="s">
        <v>44</v>
      </c>
      <c r="K497" t="str" cm="1">
        <f t="array" ref="K497">_xlfn.SWITCH(TRIM(UPPER(J497)),
"BUSINESS", "Short Stay",
"CONFERENCE", "Medium Stay",
"VACATION", "Iong Stay",
"HOLIDAY", "Long Stay",
"V", "Leisure",
"UNKNOWN", "Unknown",
"Other")</f>
        <v>Other</v>
      </c>
    </row>
    <row r="498" spans="1:11" x14ac:dyDescent="0.3">
      <c r="A498" t="s">
        <v>2060</v>
      </c>
      <c r="B498" t="s">
        <v>1709</v>
      </c>
      <c r="C498" t="s">
        <v>38</v>
      </c>
      <c r="D498" t="s">
        <v>1068</v>
      </c>
      <c r="E498" t="s">
        <v>40</v>
      </c>
      <c r="F498" t="s">
        <v>2061</v>
      </c>
      <c r="G498" t="s">
        <v>133</v>
      </c>
      <c r="H498" t="s">
        <v>594</v>
      </c>
      <c r="I498">
        <f t="shared" si="7"/>
        <v>4</v>
      </c>
      <c r="J498" t="s">
        <v>121</v>
      </c>
      <c r="K498" t="str" cm="1">
        <f t="array" ref="K498">_xlfn.SWITCH(TRIM(UPPER(J498)),
"BUSINESS", "Short Stay",
"CONFERENCE", "Medium Stay",
"VACATION", "Iong Stay",
"HOLIDAY", "Long Stay",
"V", "Leisure",
"UNKNOWN", "Unknown",
"Other")</f>
        <v>Iong Stay</v>
      </c>
    </row>
    <row r="499" spans="1:11" x14ac:dyDescent="0.3">
      <c r="A499" t="s">
        <v>2062</v>
      </c>
      <c r="B499" t="s">
        <v>2063</v>
      </c>
      <c r="C499" t="s">
        <v>83</v>
      </c>
      <c r="D499" t="s">
        <v>2064</v>
      </c>
      <c r="E499" t="s">
        <v>32</v>
      </c>
      <c r="F499" t="s">
        <v>2065</v>
      </c>
      <c r="G499" t="s">
        <v>1243</v>
      </c>
      <c r="H499" t="s">
        <v>283</v>
      </c>
      <c r="I499">
        <f t="shared" si="7"/>
        <v>1</v>
      </c>
      <c r="J499" t="s">
        <v>18</v>
      </c>
      <c r="K499" t="str" cm="1">
        <f t="array" ref="K499">_xlfn.SWITCH(TRIM(UPPER(J499)),
"BUSINESS", "Short Stay",
"CONFERENCE", "Medium Stay",
"VACATION", "Iong Stay",
"HOLIDAY", "Long Stay",
"V", "Leisure",
"UNKNOWN", "Unknown",
"Other")</f>
        <v>Short Stay</v>
      </c>
    </row>
    <row r="500" spans="1:11" x14ac:dyDescent="0.3">
      <c r="A500" t="s">
        <v>2066</v>
      </c>
      <c r="B500" t="s">
        <v>1273</v>
      </c>
      <c r="C500" t="s">
        <v>12</v>
      </c>
      <c r="D500" t="s">
        <v>2067</v>
      </c>
      <c r="E500" t="s">
        <v>85</v>
      </c>
      <c r="F500" t="s">
        <v>2068</v>
      </c>
      <c r="G500" t="s">
        <v>797</v>
      </c>
      <c r="H500" t="s">
        <v>1759</v>
      </c>
      <c r="I500">
        <f t="shared" si="7"/>
        <v>1</v>
      </c>
      <c r="J500" t="s">
        <v>121</v>
      </c>
      <c r="K500" t="str" cm="1">
        <f t="array" ref="K500">_xlfn.SWITCH(TRIM(UPPER(J500)),
"BUSINESS", "Short Stay",
"CONFERENCE", "Medium Stay",
"VACATION", "Iong Stay",
"HOLIDAY", "Long Stay",
"V", "Leisure",
"UNKNOWN", "Unknown",
"Other")</f>
        <v>Iong Stay</v>
      </c>
    </row>
    <row r="501" spans="1:11" x14ac:dyDescent="0.3">
      <c r="A501" t="s">
        <v>2069</v>
      </c>
      <c r="B501" t="s">
        <v>986</v>
      </c>
      <c r="C501" t="s">
        <v>38</v>
      </c>
      <c r="D501" t="s">
        <v>2070</v>
      </c>
      <c r="E501" t="s">
        <v>430</v>
      </c>
      <c r="F501" t="s">
        <v>2071</v>
      </c>
      <c r="G501" t="s">
        <v>770</v>
      </c>
      <c r="H501" t="s">
        <v>1267</v>
      </c>
      <c r="I501">
        <f t="shared" si="7"/>
        <v>5</v>
      </c>
      <c r="J501" t="s">
        <v>44</v>
      </c>
      <c r="K501" t="str" cm="1">
        <f t="array" ref="K501">_xlfn.SWITCH(TRIM(UPPER(J501)),
"BUSINESS", "Short Stay",
"CONFERENCE", "Medium Stay",
"VACATION", "Iong Stay",
"HOLIDAY", "Long Stay",
"V", "Leisure",
"UNKNOWN", "Unknown",
"Other")</f>
        <v>Other</v>
      </c>
    </row>
    <row r="502" spans="1:11" x14ac:dyDescent="0.3">
      <c r="A502" t="s">
        <v>2072</v>
      </c>
      <c r="B502" t="s">
        <v>2073</v>
      </c>
      <c r="C502" t="s">
        <v>61</v>
      </c>
      <c r="D502" t="s">
        <v>2074</v>
      </c>
      <c r="E502" t="s">
        <v>23</v>
      </c>
      <c r="F502" t="s">
        <v>2075</v>
      </c>
      <c r="G502" t="s">
        <v>1300</v>
      </c>
      <c r="H502" t="s">
        <v>152</v>
      </c>
      <c r="I502">
        <f t="shared" si="7"/>
        <v>2</v>
      </c>
      <c r="J502" t="s">
        <v>18</v>
      </c>
      <c r="K502" t="str" cm="1">
        <f t="array" ref="K502">_xlfn.SWITCH(TRIM(UPPER(J502)),
"BUSINESS", "Short Stay",
"CONFERENCE", "Medium Stay",
"VACATION", "Iong Stay",
"HOLIDAY", "Long Stay",
"V", "Leisure",
"UNKNOWN", "Unknown",
"Other")</f>
        <v>Short Stay</v>
      </c>
    </row>
    <row r="503" spans="1:11" x14ac:dyDescent="0.3">
      <c r="A503" t="s">
        <v>2076</v>
      </c>
      <c r="B503" t="s">
        <v>428</v>
      </c>
      <c r="C503" t="s">
        <v>97</v>
      </c>
      <c r="D503" t="s">
        <v>906</v>
      </c>
      <c r="E503" t="s">
        <v>476</v>
      </c>
      <c r="F503" t="s">
        <v>2077</v>
      </c>
      <c r="G503" t="s">
        <v>432</v>
      </c>
      <c r="H503" t="s">
        <v>2078</v>
      </c>
      <c r="I503">
        <f t="shared" si="7"/>
        <v>3</v>
      </c>
      <c r="J503" t="s">
        <v>44</v>
      </c>
      <c r="K503" t="str" cm="1">
        <f t="array" ref="K503">_xlfn.SWITCH(TRIM(UPPER(J503)),
"BUSINESS", "Short Stay",
"CONFERENCE", "Medium Stay",
"VACATION", "Iong Stay",
"HOLIDAY", "Long Stay",
"V", "Leisure",
"UNKNOWN", "Unknown",
"Other")</f>
        <v>Other</v>
      </c>
    </row>
    <row r="504" spans="1:11" x14ac:dyDescent="0.3">
      <c r="A504" t="s">
        <v>2079</v>
      </c>
      <c r="B504" t="s">
        <v>1667</v>
      </c>
      <c r="C504" t="s">
        <v>75</v>
      </c>
      <c r="D504" t="s">
        <v>2080</v>
      </c>
      <c r="E504" t="s">
        <v>85</v>
      </c>
      <c r="F504" t="s">
        <v>2081</v>
      </c>
      <c r="G504" t="s">
        <v>1670</v>
      </c>
      <c r="H504" t="s">
        <v>357</v>
      </c>
      <c r="I504">
        <f t="shared" si="7"/>
        <v>2</v>
      </c>
      <c r="J504" t="s">
        <v>44</v>
      </c>
      <c r="K504" t="str" cm="1">
        <f t="array" ref="K504">_xlfn.SWITCH(TRIM(UPPER(J504)),
"BUSINESS", "Short Stay",
"CONFERENCE", "Medium Stay",
"VACATION", "Iong Stay",
"HOLIDAY", "Long Stay",
"V", "Leisure",
"UNKNOWN", "Unknown",
"Other")</f>
        <v>Other</v>
      </c>
    </row>
    <row r="505" spans="1:11" x14ac:dyDescent="0.3">
      <c r="A505" t="s">
        <v>2082</v>
      </c>
      <c r="B505" t="s">
        <v>2083</v>
      </c>
      <c r="C505" t="s">
        <v>75</v>
      </c>
      <c r="D505" t="s">
        <v>2084</v>
      </c>
      <c r="E505" t="s">
        <v>201</v>
      </c>
      <c r="F505" t="s">
        <v>2085</v>
      </c>
      <c r="G505" t="s">
        <v>706</v>
      </c>
      <c r="H505" t="s">
        <v>700</v>
      </c>
      <c r="I505">
        <f t="shared" si="7"/>
        <v>1</v>
      </c>
      <c r="J505" t="s">
        <v>121</v>
      </c>
      <c r="K505" t="str" cm="1">
        <f t="array" ref="K505">_xlfn.SWITCH(TRIM(UPPER(J505)),
"BUSINESS", "Short Stay",
"CONFERENCE", "Medium Stay",
"VACATION", "Iong Stay",
"HOLIDAY", "Long Stay",
"V", "Leisure",
"UNKNOWN", "Unknown",
"Other")</f>
        <v>Iong Stay</v>
      </c>
    </row>
    <row r="506" spans="1:11" x14ac:dyDescent="0.3">
      <c r="A506" t="s">
        <v>2086</v>
      </c>
      <c r="B506" t="s">
        <v>1597</v>
      </c>
      <c r="C506" t="s">
        <v>38</v>
      </c>
      <c r="D506" t="s">
        <v>2087</v>
      </c>
      <c r="E506" t="s">
        <v>32</v>
      </c>
      <c r="F506" t="s">
        <v>2088</v>
      </c>
      <c r="G506" t="s">
        <v>304</v>
      </c>
      <c r="H506" t="s">
        <v>144</v>
      </c>
      <c r="I506">
        <f t="shared" si="7"/>
        <v>4</v>
      </c>
      <c r="J506" t="s">
        <v>27</v>
      </c>
      <c r="K506" t="str" cm="1">
        <f t="array" ref="K506">_xlfn.SWITCH(TRIM(UPPER(J506)),
"BUSINESS", "Short Stay",
"CONFERENCE", "Medium Stay",
"VACATION", "Iong Stay",
"HOLIDAY", "Long Stay",
"V", "Leisure",
"UNKNOWN", "Unknown",
"Other")</f>
        <v>Medium Stay</v>
      </c>
    </row>
    <row r="507" spans="1:11" x14ac:dyDescent="0.3">
      <c r="A507" t="s">
        <v>2089</v>
      </c>
      <c r="B507" t="s">
        <v>846</v>
      </c>
      <c r="C507" t="s">
        <v>54</v>
      </c>
      <c r="D507" t="s">
        <v>2090</v>
      </c>
      <c r="E507" t="s">
        <v>63</v>
      </c>
      <c r="F507" t="s">
        <v>2091</v>
      </c>
      <c r="G507" t="s">
        <v>849</v>
      </c>
      <c r="H507" t="s">
        <v>190</v>
      </c>
      <c r="I507">
        <f t="shared" si="7"/>
        <v>3</v>
      </c>
      <c r="J507" t="s">
        <v>27</v>
      </c>
      <c r="K507" t="str" cm="1">
        <f t="array" ref="K507">_xlfn.SWITCH(TRIM(UPPER(J507)),
"BUSINESS", "Short Stay",
"CONFERENCE", "Medium Stay",
"VACATION", "Iong Stay",
"HOLIDAY", "Long Stay",
"V", "Leisure",
"UNKNOWN", "Unknown",
"Other")</f>
        <v>Medium Stay</v>
      </c>
    </row>
    <row r="508" spans="1:11" x14ac:dyDescent="0.3">
      <c r="A508" t="s">
        <v>2092</v>
      </c>
      <c r="B508" t="s">
        <v>285</v>
      </c>
      <c r="C508" t="s">
        <v>75</v>
      </c>
      <c r="D508" t="s">
        <v>640</v>
      </c>
      <c r="E508" t="s">
        <v>458</v>
      </c>
      <c r="F508" t="s">
        <v>2093</v>
      </c>
      <c r="G508" t="s">
        <v>288</v>
      </c>
      <c r="H508" t="s">
        <v>2094</v>
      </c>
      <c r="I508">
        <f t="shared" si="7"/>
        <v>2</v>
      </c>
      <c r="J508" t="s">
        <v>121</v>
      </c>
      <c r="K508" t="str" cm="1">
        <f t="array" ref="K508">_xlfn.SWITCH(TRIM(UPPER(J508)),
"BUSINESS", "Short Stay",
"CONFERENCE", "Medium Stay",
"VACATION", "Iong Stay",
"HOLIDAY", "Long Stay",
"V", "Leisure",
"UNKNOWN", "Unknown",
"Other")</f>
        <v>Iong Stay</v>
      </c>
    </row>
    <row r="509" spans="1:11" x14ac:dyDescent="0.3">
      <c r="A509" t="s">
        <v>2095</v>
      </c>
      <c r="B509" t="s">
        <v>2096</v>
      </c>
      <c r="C509" t="s">
        <v>61</v>
      </c>
      <c r="D509" t="s">
        <v>2097</v>
      </c>
      <c r="E509" t="s">
        <v>546</v>
      </c>
      <c r="F509" t="s">
        <v>2098</v>
      </c>
      <c r="G509" t="s">
        <v>2078</v>
      </c>
      <c r="H509" t="s">
        <v>1768</v>
      </c>
      <c r="I509">
        <f t="shared" si="7"/>
        <v>4</v>
      </c>
      <c r="J509" t="s">
        <v>44</v>
      </c>
      <c r="K509" t="str" cm="1">
        <f t="array" ref="K509">_xlfn.SWITCH(TRIM(UPPER(J509)),
"BUSINESS", "Short Stay",
"CONFERENCE", "Medium Stay",
"VACATION", "Iong Stay",
"HOLIDAY", "Long Stay",
"V", "Leisure",
"UNKNOWN", "Unknown",
"Other")</f>
        <v>Other</v>
      </c>
    </row>
    <row r="510" spans="1:11" x14ac:dyDescent="0.3">
      <c r="A510" t="s">
        <v>2099</v>
      </c>
      <c r="B510" t="s">
        <v>193</v>
      </c>
      <c r="C510" t="s">
        <v>54</v>
      </c>
      <c r="D510" t="s">
        <v>1127</v>
      </c>
      <c r="E510" t="s">
        <v>117</v>
      </c>
      <c r="F510" t="s">
        <v>2100</v>
      </c>
      <c r="G510" t="s">
        <v>196</v>
      </c>
      <c r="H510" t="s">
        <v>197</v>
      </c>
      <c r="I510">
        <f t="shared" si="7"/>
        <v>3</v>
      </c>
      <c r="J510" t="s">
        <v>121</v>
      </c>
      <c r="K510" t="str" cm="1">
        <f t="array" ref="K510">_xlfn.SWITCH(TRIM(UPPER(J510)),
"BUSINESS", "Short Stay",
"CONFERENCE", "Medium Stay",
"VACATION", "Iong Stay",
"HOLIDAY", "Long Stay",
"V", "Leisure",
"UNKNOWN", "Unknown",
"Other")</f>
        <v>Iong Stay</v>
      </c>
    </row>
    <row r="511" spans="1:11" x14ac:dyDescent="0.3">
      <c r="A511" t="s">
        <v>2101</v>
      </c>
      <c r="B511" t="s">
        <v>401</v>
      </c>
      <c r="C511" t="s">
        <v>54</v>
      </c>
      <c r="D511" t="s">
        <v>527</v>
      </c>
      <c r="E511" t="s">
        <v>85</v>
      </c>
      <c r="F511" t="s">
        <v>2102</v>
      </c>
      <c r="G511" t="s">
        <v>35</v>
      </c>
      <c r="H511" t="s">
        <v>339</v>
      </c>
      <c r="I511">
        <f t="shared" si="7"/>
        <v>2</v>
      </c>
      <c r="J511" t="s">
        <v>27</v>
      </c>
      <c r="K511" t="str" cm="1">
        <f t="array" ref="K511">_xlfn.SWITCH(TRIM(UPPER(J511)),
"BUSINESS", "Short Stay",
"CONFERENCE", "Medium Stay",
"VACATION", "Iong Stay",
"HOLIDAY", "Long Stay",
"V", "Leisure",
"UNKNOWN", "Unknown",
"Other")</f>
        <v>Medium Stay</v>
      </c>
    </row>
    <row r="512" spans="1:11" x14ac:dyDescent="0.3">
      <c r="A512" t="s">
        <v>2103</v>
      </c>
      <c r="B512" t="s">
        <v>2104</v>
      </c>
      <c r="C512" t="s">
        <v>30</v>
      </c>
      <c r="D512" t="s">
        <v>2105</v>
      </c>
      <c r="E512" t="s">
        <v>63</v>
      </c>
      <c r="F512" t="s">
        <v>2106</v>
      </c>
      <c r="G512" t="s">
        <v>2107</v>
      </c>
      <c r="H512" t="s">
        <v>715</v>
      </c>
      <c r="I512">
        <f t="shared" si="7"/>
        <v>1</v>
      </c>
      <c r="J512" t="s">
        <v>44</v>
      </c>
      <c r="K512" t="str" cm="1">
        <f t="array" ref="K512">_xlfn.SWITCH(TRIM(UPPER(J512)),
"BUSINESS", "Short Stay",
"CONFERENCE", "Medium Stay",
"VACATION", "Iong Stay",
"HOLIDAY", "Long Stay",
"V", "Leisure",
"UNKNOWN", "Unknown",
"Other")</f>
        <v>Other</v>
      </c>
    </row>
    <row r="513" spans="1:11" x14ac:dyDescent="0.3">
      <c r="A513" t="s">
        <v>2108</v>
      </c>
      <c r="B513" t="s">
        <v>2109</v>
      </c>
      <c r="C513" t="s">
        <v>97</v>
      </c>
      <c r="D513" t="s">
        <v>2110</v>
      </c>
      <c r="E513" t="s">
        <v>40</v>
      </c>
      <c r="F513" t="s">
        <v>2111</v>
      </c>
      <c r="G513" t="s">
        <v>139</v>
      </c>
      <c r="H513" t="s">
        <v>383</v>
      </c>
      <c r="I513">
        <f t="shared" si="7"/>
        <v>2</v>
      </c>
      <c r="J513" t="s">
        <v>44</v>
      </c>
      <c r="K513" t="str" cm="1">
        <f t="array" ref="K513">_xlfn.SWITCH(TRIM(UPPER(J513)),
"BUSINESS", "Short Stay",
"CONFERENCE", "Medium Stay",
"VACATION", "Iong Stay",
"HOLIDAY", "Long Stay",
"V", "Leisure",
"UNKNOWN", "Unknown",
"Other")</f>
        <v>Other</v>
      </c>
    </row>
    <row r="514" spans="1:11" x14ac:dyDescent="0.3">
      <c r="A514" t="s">
        <v>2112</v>
      </c>
      <c r="B514" t="s">
        <v>1186</v>
      </c>
      <c r="C514" t="s">
        <v>174</v>
      </c>
      <c r="D514" t="s">
        <v>1056</v>
      </c>
      <c r="E514" t="s">
        <v>430</v>
      </c>
      <c r="F514" t="s">
        <v>2113</v>
      </c>
      <c r="G514" t="s">
        <v>931</v>
      </c>
      <c r="H514" t="s">
        <v>392</v>
      </c>
      <c r="I514">
        <f t="shared" si="7"/>
        <v>4</v>
      </c>
      <c r="J514" t="s">
        <v>121</v>
      </c>
      <c r="K514" t="str" cm="1">
        <f t="array" ref="K514">_xlfn.SWITCH(TRIM(UPPER(J514)),
"BUSINESS", "Short Stay",
"CONFERENCE", "Medium Stay",
"VACATION", "Iong Stay",
"HOLIDAY", "Long Stay",
"V", "Leisure",
"UNKNOWN", "Unknown",
"Other")</f>
        <v>Iong Stay</v>
      </c>
    </row>
    <row r="515" spans="1:11" x14ac:dyDescent="0.3">
      <c r="A515" t="s">
        <v>2114</v>
      </c>
      <c r="B515" t="s">
        <v>2115</v>
      </c>
      <c r="C515" t="s">
        <v>61</v>
      </c>
      <c r="D515" t="s">
        <v>2090</v>
      </c>
      <c r="E515" t="s">
        <v>546</v>
      </c>
      <c r="F515" t="s">
        <v>2116</v>
      </c>
      <c r="G515" t="s">
        <v>159</v>
      </c>
      <c r="H515" t="s">
        <v>559</v>
      </c>
      <c r="I515">
        <f t="shared" ref="I515:I578" si="8">H515-G515</f>
        <v>2</v>
      </c>
      <c r="J515" t="s">
        <v>44</v>
      </c>
      <c r="K515" t="str" cm="1">
        <f t="array" ref="K515">_xlfn.SWITCH(TRIM(UPPER(J515)),
"BUSINESS", "Short Stay",
"CONFERENCE", "Medium Stay",
"VACATION", "Iong Stay",
"HOLIDAY", "Long Stay",
"V", "Leisure",
"UNKNOWN", "Unknown",
"Other")</f>
        <v>Other</v>
      </c>
    </row>
    <row r="516" spans="1:11" x14ac:dyDescent="0.3">
      <c r="A516" t="s">
        <v>2117</v>
      </c>
      <c r="B516" t="s">
        <v>67</v>
      </c>
      <c r="C516" t="s">
        <v>174</v>
      </c>
      <c r="D516" t="s">
        <v>1197</v>
      </c>
      <c r="E516" t="s">
        <v>63</v>
      </c>
      <c r="F516" t="s">
        <v>2118</v>
      </c>
      <c r="G516" t="s">
        <v>71</v>
      </c>
      <c r="H516" t="s">
        <v>373</v>
      </c>
      <c r="I516">
        <f t="shared" si="8"/>
        <v>2</v>
      </c>
      <c r="J516" t="s">
        <v>27</v>
      </c>
      <c r="K516" t="str" cm="1">
        <f t="array" ref="K516">_xlfn.SWITCH(TRIM(UPPER(J516)),
"BUSINESS", "Short Stay",
"CONFERENCE", "Medium Stay",
"VACATION", "Iong Stay",
"HOLIDAY", "Long Stay",
"V", "Leisure",
"UNKNOWN", "Unknown",
"Other")</f>
        <v>Medium Stay</v>
      </c>
    </row>
    <row r="517" spans="1:11" x14ac:dyDescent="0.3">
      <c r="A517" t="s">
        <v>2119</v>
      </c>
      <c r="B517" t="s">
        <v>1859</v>
      </c>
      <c r="C517" t="s">
        <v>21</v>
      </c>
      <c r="D517" t="s">
        <v>2120</v>
      </c>
      <c r="E517" t="s">
        <v>85</v>
      </c>
      <c r="F517" t="s">
        <v>2121</v>
      </c>
      <c r="G517" t="s">
        <v>1861</v>
      </c>
      <c r="H517" t="s">
        <v>1588</v>
      </c>
      <c r="I517">
        <f t="shared" si="8"/>
        <v>1</v>
      </c>
      <c r="J517" t="s">
        <v>18</v>
      </c>
      <c r="K517" t="str" cm="1">
        <f t="array" ref="K517">_xlfn.SWITCH(TRIM(UPPER(J517)),
"BUSINESS", "Short Stay",
"CONFERENCE", "Medium Stay",
"VACATION", "Iong Stay",
"HOLIDAY", "Long Stay",
"V", "Leisure",
"UNKNOWN", "Unknown",
"Other")</f>
        <v>Short Stay</v>
      </c>
    </row>
    <row r="518" spans="1:11" x14ac:dyDescent="0.3">
      <c r="A518" t="s">
        <v>2122</v>
      </c>
      <c r="B518" t="s">
        <v>1757</v>
      </c>
      <c r="C518" t="s">
        <v>83</v>
      </c>
      <c r="D518" t="s">
        <v>2123</v>
      </c>
      <c r="E518" t="s">
        <v>69</v>
      </c>
      <c r="F518" t="s">
        <v>2124</v>
      </c>
      <c r="G518" t="s">
        <v>1759</v>
      </c>
      <c r="H518" t="s">
        <v>885</v>
      </c>
      <c r="I518">
        <f t="shared" si="8"/>
        <v>5</v>
      </c>
      <c r="J518" t="s">
        <v>44</v>
      </c>
      <c r="K518" t="str" cm="1">
        <f t="array" ref="K518">_xlfn.SWITCH(TRIM(UPPER(J518)),
"BUSINESS", "Short Stay",
"CONFERENCE", "Medium Stay",
"VACATION", "Iong Stay",
"HOLIDAY", "Long Stay",
"V", "Leisure",
"UNKNOWN", "Unknown",
"Other")</f>
        <v>Other</v>
      </c>
    </row>
    <row r="519" spans="1:11" x14ac:dyDescent="0.3">
      <c r="A519" t="s">
        <v>2125</v>
      </c>
      <c r="B519" t="s">
        <v>1338</v>
      </c>
      <c r="C519" t="s">
        <v>97</v>
      </c>
      <c r="D519" t="s">
        <v>2126</v>
      </c>
      <c r="E519" t="s">
        <v>156</v>
      </c>
      <c r="F519" t="s">
        <v>2127</v>
      </c>
      <c r="G519" t="s">
        <v>171</v>
      </c>
      <c r="H519" t="s">
        <v>1125</v>
      </c>
      <c r="I519">
        <f t="shared" si="8"/>
        <v>2</v>
      </c>
      <c r="J519" t="s">
        <v>27</v>
      </c>
      <c r="K519" t="str" cm="1">
        <f t="array" ref="K519">_xlfn.SWITCH(TRIM(UPPER(J519)),
"BUSINESS", "Short Stay",
"CONFERENCE", "Medium Stay",
"VACATION", "Iong Stay",
"HOLIDAY", "Long Stay",
"V", "Leisure",
"UNKNOWN", "Unknown",
"Other")</f>
        <v>Medium Stay</v>
      </c>
    </row>
    <row r="520" spans="1:11" x14ac:dyDescent="0.3">
      <c r="A520" t="s">
        <v>2128</v>
      </c>
      <c r="B520" t="s">
        <v>482</v>
      </c>
      <c r="C520" t="s">
        <v>12</v>
      </c>
      <c r="D520" t="s">
        <v>1339</v>
      </c>
      <c r="E520" t="s">
        <v>85</v>
      </c>
      <c r="F520" t="s">
        <v>2129</v>
      </c>
      <c r="G520" t="s">
        <v>277</v>
      </c>
      <c r="H520" t="s">
        <v>17</v>
      </c>
      <c r="I520">
        <f t="shared" si="8"/>
        <v>2</v>
      </c>
      <c r="J520" t="s">
        <v>121</v>
      </c>
      <c r="K520" t="str" cm="1">
        <f t="array" ref="K520">_xlfn.SWITCH(TRIM(UPPER(J520)),
"BUSINESS", "Short Stay",
"CONFERENCE", "Medium Stay",
"VACATION", "Iong Stay",
"HOLIDAY", "Long Stay",
"V", "Leisure",
"UNKNOWN", "Unknown",
"Other")</f>
        <v>Iong Stay</v>
      </c>
    </row>
    <row r="521" spans="1:11" x14ac:dyDescent="0.3">
      <c r="A521" t="s">
        <v>2130</v>
      </c>
      <c r="B521" t="s">
        <v>596</v>
      </c>
      <c r="C521" t="s">
        <v>54</v>
      </c>
      <c r="D521" t="s">
        <v>2131</v>
      </c>
      <c r="E521" t="s">
        <v>48</v>
      </c>
      <c r="F521" t="s">
        <v>2132</v>
      </c>
      <c r="G521" t="s">
        <v>599</v>
      </c>
      <c r="H521" t="s">
        <v>538</v>
      </c>
      <c r="I521">
        <f t="shared" si="8"/>
        <v>2</v>
      </c>
      <c r="J521" t="s">
        <v>18</v>
      </c>
      <c r="K521" t="str" cm="1">
        <f t="array" ref="K521">_xlfn.SWITCH(TRIM(UPPER(J521)),
"BUSINESS", "Short Stay",
"CONFERENCE", "Medium Stay",
"VACATION", "Iong Stay",
"HOLIDAY", "Long Stay",
"V", "Leisure",
"UNKNOWN", "Unknown",
"Other")</f>
        <v>Short Stay</v>
      </c>
    </row>
    <row r="522" spans="1:11" x14ac:dyDescent="0.3">
      <c r="A522" t="s">
        <v>2133</v>
      </c>
      <c r="B522" t="s">
        <v>793</v>
      </c>
      <c r="C522" t="s">
        <v>75</v>
      </c>
      <c r="D522" t="s">
        <v>2134</v>
      </c>
      <c r="E522" t="s">
        <v>69</v>
      </c>
      <c r="F522" t="s">
        <v>2135</v>
      </c>
      <c r="G522" t="s">
        <v>796</v>
      </c>
      <c r="H522" t="s">
        <v>1759</v>
      </c>
      <c r="I522">
        <f t="shared" si="8"/>
        <v>4</v>
      </c>
      <c r="J522" t="s">
        <v>44</v>
      </c>
      <c r="K522" t="str" cm="1">
        <f t="array" ref="K522">_xlfn.SWITCH(TRIM(UPPER(J522)),
"BUSINESS", "Short Stay",
"CONFERENCE", "Medium Stay",
"VACATION", "Iong Stay",
"HOLIDAY", "Long Stay",
"V", "Leisure",
"UNKNOWN", "Unknown",
"Other")</f>
        <v>Other</v>
      </c>
    </row>
    <row r="523" spans="1:11" x14ac:dyDescent="0.3">
      <c r="A523" t="s">
        <v>2136</v>
      </c>
      <c r="B523" t="s">
        <v>508</v>
      </c>
      <c r="C523" t="s">
        <v>97</v>
      </c>
      <c r="D523" t="s">
        <v>737</v>
      </c>
      <c r="E523" t="s">
        <v>149</v>
      </c>
      <c r="F523" t="s">
        <v>2137</v>
      </c>
      <c r="G523" t="s">
        <v>511</v>
      </c>
      <c r="H523" t="s">
        <v>512</v>
      </c>
      <c r="I523">
        <f t="shared" si="8"/>
        <v>4</v>
      </c>
      <c r="J523" t="s">
        <v>27</v>
      </c>
      <c r="K523" t="str" cm="1">
        <f t="array" ref="K523">_xlfn.SWITCH(TRIM(UPPER(J523)),
"BUSINESS", "Short Stay",
"CONFERENCE", "Medium Stay",
"VACATION", "Iong Stay",
"HOLIDAY", "Long Stay",
"V", "Leisure",
"UNKNOWN", "Unknown",
"Other")</f>
        <v>Medium Stay</v>
      </c>
    </row>
    <row r="524" spans="1:11" x14ac:dyDescent="0.3">
      <c r="A524" t="s">
        <v>2138</v>
      </c>
      <c r="B524" t="s">
        <v>324</v>
      </c>
      <c r="C524" t="s">
        <v>83</v>
      </c>
      <c r="D524" t="s">
        <v>2139</v>
      </c>
      <c r="E524" t="s">
        <v>14</v>
      </c>
      <c r="F524" t="s">
        <v>2140</v>
      </c>
      <c r="G524" t="s">
        <v>327</v>
      </c>
      <c r="H524" t="s">
        <v>781</v>
      </c>
      <c r="I524">
        <f t="shared" si="8"/>
        <v>3</v>
      </c>
      <c r="J524" t="s">
        <v>121</v>
      </c>
      <c r="K524" t="str" cm="1">
        <f t="array" ref="K524">_xlfn.SWITCH(TRIM(UPPER(J524)),
"BUSINESS", "Short Stay",
"CONFERENCE", "Medium Stay",
"VACATION", "Iong Stay",
"HOLIDAY", "Long Stay",
"V", "Leisure",
"UNKNOWN", "Unknown",
"Other")</f>
        <v>Iong Stay</v>
      </c>
    </row>
    <row r="525" spans="1:11" x14ac:dyDescent="0.3">
      <c r="A525" t="s">
        <v>2141</v>
      </c>
      <c r="B525" t="s">
        <v>2142</v>
      </c>
      <c r="C525" t="s">
        <v>61</v>
      </c>
      <c r="D525" t="s">
        <v>2143</v>
      </c>
      <c r="E525" t="s">
        <v>149</v>
      </c>
      <c r="F525" t="s">
        <v>2144</v>
      </c>
      <c r="G525" t="s">
        <v>999</v>
      </c>
      <c r="H525" t="s">
        <v>568</v>
      </c>
      <c r="I525">
        <f t="shared" si="8"/>
        <v>5</v>
      </c>
      <c r="J525" t="s">
        <v>27</v>
      </c>
      <c r="K525" t="str" cm="1">
        <f t="array" ref="K525">_xlfn.SWITCH(TRIM(UPPER(J525)),
"BUSINESS", "Short Stay",
"CONFERENCE", "Medium Stay",
"VACATION", "Iong Stay",
"HOLIDAY", "Long Stay",
"V", "Leisure",
"UNKNOWN", "Unknown",
"Other")</f>
        <v>Medium Stay</v>
      </c>
    </row>
    <row r="526" spans="1:11" x14ac:dyDescent="0.3">
      <c r="A526" t="s">
        <v>2145</v>
      </c>
      <c r="B526" t="s">
        <v>2146</v>
      </c>
      <c r="C526" t="s">
        <v>12</v>
      </c>
      <c r="D526" t="s">
        <v>2147</v>
      </c>
      <c r="E526" t="s">
        <v>48</v>
      </c>
      <c r="F526" t="s">
        <v>2148</v>
      </c>
      <c r="G526" t="s">
        <v>328</v>
      </c>
      <c r="H526" t="s">
        <v>1575</v>
      </c>
      <c r="I526">
        <f t="shared" si="8"/>
        <v>5</v>
      </c>
      <c r="J526" t="s">
        <v>18</v>
      </c>
      <c r="K526" t="str" cm="1">
        <f t="array" ref="K526">_xlfn.SWITCH(TRIM(UPPER(J526)),
"BUSINESS", "Short Stay",
"CONFERENCE", "Medium Stay",
"VACATION", "Iong Stay",
"HOLIDAY", "Long Stay",
"V", "Leisure",
"UNKNOWN", "Unknown",
"Other")</f>
        <v>Short Stay</v>
      </c>
    </row>
    <row r="527" spans="1:11" x14ac:dyDescent="0.3">
      <c r="A527" t="s">
        <v>2149</v>
      </c>
      <c r="B527" t="s">
        <v>1071</v>
      </c>
      <c r="C527" t="s">
        <v>83</v>
      </c>
      <c r="D527" t="s">
        <v>2150</v>
      </c>
      <c r="E527" t="s">
        <v>156</v>
      </c>
      <c r="F527" t="s">
        <v>2151</v>
      </c>
      <c r="G527" t="s">
        <v>1073</v>
      </c>
      <c r="H527" t="s">
        <v>25</v>
      </c>
      <c r="I527">
        <f t="shared" si="8"/>
        <v>3</v>
      </c>
      <c r="J527" t="s">
        <v>27</v>
      </c>
      <c r="K527" t="str" cm="1">
        <f t="array" ref="K527">_xlfn.SWITCH(TRIM(UPPER(J527)),
"BUSINESS", "Short Stay",
"CONFERENCE", "Medium Stay",
"VACATION", "Iong Stay",
"HOLIDAY", "Long Stay",
"V", "Leisure",
"UNKNOWN", "Unknown",
"Other")</f>
        <v>Medium Stay</v>
      </c>
    </row>
    <row r="528" spans="1:11" x14ac:dyDescent="0.3">
      <c r="A528" t="s">
        <v>2152</v>
      </c>
      <c r="B528" t="s">
        <v>2153</v>
      </c>
      <c r="C528" t="s">
        <v>97</v>
      </c>
      <c r="D528" t="s">
        <v>2154</v>
      </c>
      <c r="E528" t="s">
        <v>48</v>
      </c>
      <c r="F528" t="s">
        <v>2155</v>
      </c>
      <c r="G528" t="s">
        <v>72</v>
      </c>
      <c r="H528" t="s">
        <v>26</v>
      </c>
      <c r="I528">
        <f t="shared" si="8"/>
        <v>3</v>
      </c>
      <c r="J528" t="s">
        <v>18</v>
      </c>
      <c r="K528" t="str" cm="1">
        <f t="array" ref="K528">_xlfn.SWITCH(TRIM(UPPER(J528)),
"BUSINESS", "Short Stay",
"CONFERENCE", "Medium Stay",
"VACATION", "Iong Stay",
"HOLIDAY", "Long Stay",
"V", "Leisure",
"UNKNOWN", "Unknown",
"Other")</f>
        <v>Short Stay</v>
      </c>
    </row>
    <row r="529" spans="1:11" x14ac:dyDescent="0.3">
      <c r="A529" t="s">
        <v>2156</v>
      </c>
      <c r="B529" t="s">
        <v>2157</v>
      </c>
      <c r="C529" t="s">
        <v>97</v>
      </c>
      <c r="D529" t="s">
        <v>2158</v>
      </c>
      <c r="E529" t="s">
        <v>149</v>
      </c>
      <c r="F529" t="s">
        <v>2159</v>
      </c>
      <c r="G529" t="s">
        <v>2160</v>
      </c>
      <c r="H529" t="s">
        <v>227</v>
      </c>
      <c r="I529">
        <f t="shared" si="8"/>
        <v>1</v>
      </c>
      <c r="J529" t="s">
        <v>121</v>
      </c>
      <c r="K529" t="str" cm="1">
        <f t="array" ref="K529">_xlfn.SWITCH(TRIM(UPPER(J529)),
"BUSINESS", "Short Stay",
"CONFERENCE", "Medium Stay",
"VACATION", "Iong Stay",
"HOLIDAY", "Long Stay",
"V", "Leisure",
"UNKNOWN", "Unknown",
"Other")</f>
        <v>Iong Stay</v>
      </c>
    </row>
    <row r="530" spans="1:11" x14ac:dyDescent="0.3">
      <c r="A530" t="s">
        <v>2161</v>
      </c>
      <c r="B530" t="s">
        <v>406</v>
      </c>
      <c r="C530" t="s">
        <v>38</v>
      </c>
      <c r="D530" t="s">
        <v>2162</v>
      </c>
      <c r="E530" t="s">
        <v>201</v>
      </c>
      <c r="F530" t="s">
        <v>2163</v>
      </c>
      <c r="G530" t="s">
        <v>409</v>
      </c>
      <c r="H530" t="s">
        <v>775</v>
      </c>
      <c r="I530">
        <f t="shared" si="8"/>
        <v>5</v>
      </c>
      <c r="J530" t="s">
        <v>121</v>
      </c>
      <c r="K530" t="str" cm="1">
        <f t="array" ref="K530">_xlfn.SWITCH(TRIM(UPPER(J530)),
"BUSINESS", "Short Stay",
"CONFERENCE", "Medium Stay",
"VACATION", "Iong Stay",
"HOLIDAY", "Long Stay",
"V", "Leisure",
"UNKNOWN", "Unknown",
"Other")</f>
        <v>Iong Stay</v>
      </c>
    </row>
    <row r="531" spans="1:11" x14ac:dyDescent="0.3">
      <c r="A531" t="s">
        <v>2164</v>
      </c>
      <c r="B531" t="s">
        <v>900</v>
      </c>
      <c r="C531" t="s">
        <v>174</v>
      </c>
      <c r="D531" t="s">
        <v>466</v>
      </c>
      <c r="E531" t="s">
        <v>149</v>
      </c>
      <c r="F531" t="s">
        <v>2165</v>
      </c>
      <c r="G531" t="s">
        <v>903</v>
      </c>
      <c r="H531" t="s">
        <v>1471</v>
      </c>
      <c r="I531">
        <f t="shared" si="8"/>
        <v>4</v>
      </c>
      <c r="J531" t="s">
        <v>121</v>
      </c>
      <c r="K531" t="str" cm="1">
        <f t="array" ref="K531">_xlfn.SWITCH(TRIM(UPPER(J531)),
"BUSINESS", "Short Stay",
"CONFERENCE", "Medium Stay",
"VACATION", "Iong Stay",
"HOLIDAY", "Long Stay",
"V", "Leisure",
"UNKNOWN", "Unknown",
"Other")</f>
        <v>Iong Stay</v>
      </c>
    </row>
    <row r="532" spans="1:11" x14ac:dyDescent="0.3">
      <c r="A532" t="s">
        <v>2166</v>
      </c>
      <c r="B532" t="s">
        <v>1510</v>
      </c>
      <c r="C532" t="s">
        <v>30</v>
      </c>
      <c r="D532" t="s">
        <v>2167</v>
      </c>
      <c r="E532" t="s">
        <v>156</v>
      </c>
      <c r="F532" t="s">
        <v>2168</v>
      </c>
      <c r="G532" t="s">
        <v>101</v>
      </c>
      <c r="H532" t="s">
        <v>620</v>
      </c>
      <c r="I532">
        <f t="shared" si="8"/>
        <v>3</v>
      </c>
      <c r="J532" t="s">
        <v>121</v>
      </c>
      <c r="K532" t="str" cm="1">
        <f t="array" ref="K532">_xlfn.SWITCH(TRIM(UPPER(J532)),
"BUSINESS", "Short Stay",
"CONFERENCE", "Medium Stay",
"VACATION", "Iong Stay",
"HOLIDAY", "Long Stay",
"V", "Leisure",
"UNKNOWN", "Unknown",
"Other")</f>
        <v>Iong Stay</v>
      </c>
    </row>
    <row r="533" spans="1:11" x14ac:dyDescent="0.3">
      <c r="A533" t="s">
        <v>2169</v>
      </c>
      <c r="B533" t="s">
        <v>1984</v>
      </c>
      <c r="C533" t="s">
        <v>38</v>
      </c>
      <c r="D533" t="s">
        <v>2087</v>
      </c>
      <c r="E533" t="s">
        <v>32</v>
      </c>
      <c r="F533" t="s">
        <v>2170</v>
      </c>
      <c r="G533" t="s">
        <v>443</v>
      </c>
      <c r="H533" t="s">
        <v>971</v>
      </c>
      <c r="I533">
        <f t="shared" si="8"/>
        <v>5</v>
      </c>
      <c r="J533" t="s">
        <v>18</v>
      </c>
      <c r="K533" t="str" cm="1">
        <f t="array" ref="K533">_xlfn.SWITCH(TRIM(UPPER(J533)),
"BUSINESS", "Short Stay",
"CONFERENCE", "Medium Stay",
"VACATION", "Iong Stay",
"HOLIDAY", "Long Stay",
"V", "Leisure",
"UNKNOWN", "Unknown",
"Other")</f>
        <v>Short Stay</v>
      </c>
    </row>
    <row r="534" spans="1:11" x14ac:dyDescent="0.3">
      <c r="A534" t="s">
        <v>2171</v>
      </c>
      <c r="B534" t="s">
        <v>1859</v>
      </c>
      <c r="C534" t="s">
        <v>174</v>
      </c>
      <c r="D534" t="s">
        <v>2172</v>
      </c>
      <c r="E534" t="s">
        <v>23</v>
      </c>
      <c r="F534" t="s">
        <v>2173</v>
      </c>
      <c r="G534" t="s">
        <v>1861</v>
      </c>
      <c r="H534" t="s">
        <v>1862</v>
      </c>
      <c r="I534">
        <f t="shared" si="8"/>
        <v>2</v>
      </c>
      <c r="J534" t="s">
        <v>121</v>
      </c>
      <c r="K534" t="str" cm="1">
        <f t="array" ref="K534">_xlfn.SWITCH(TRIM(UPPER(J534)),
"BUSINESS", "Short Stay",
"CONFERENCE", "Medium Stay",
"VACATION", "Iong Stay",
"HOLIDAY", "Long Stay",
"V", "Leisure",
"UNKNOWN", "Unknown",
"Other")</f>
        <v>Iong Stay</v>
      </c>
    </row>
    <row r="535" spans="1:11" x14ac:dyDescent="0.3">
      <c r="A535" t="s">
        <v>2174</v>
      </c>
      <c r="B535" t="s">
        <v>330</v>
      </c>
      <c r="C535" t="s">
        <v>174</v>
      </c>
      <c r="D535" t="s">
        <v>2175</v>
      </c>
      <c r="E535" t="s">
        <v>69</v>
      </c>
      <c r="F535" t="s">
        <v>2176</v>
      </c>
      <c r="G535" t="s">
        <v>333</v>
      </c>
      <c r="H535" t="s">
        <v>1304</v>
      </c>
      <c r="I535">
        <f t="shared" si="8"/>
        <v>4</v>
      </c>
      <c r="J535" t="s">
        <v>18</v>
      </c>
      <c r="K535" t="str" cm="1">
        <f t="array" ref="K535">_xlfn.SWITCH(TRIM(UPPER(J535)),
"BUSINESS", "Short Stay",
"CONFERENCE", "Medium Stay",
"VACATION", "Iong Stay",
"HOLIDAY", "Long Stay",
"V", "Leisure",
"UNKNOWN", "Unknown",
"Other")</f>
        <v>Short Stay</v>
      </c>
    </row>
    <row r="536" spans="1:11" x14ac:dyDescent="0.3">
      <c r="A536" t="s">
        <v>2177</v>
      </c>
      <c r="B536" t="s">
        <v>2178</v>
      </c>
      <c r="C536" t="s">
        <v>21</v>
      </c>
      <c r="D536" t="s">
        <v>2179</v>
      </c>
      <c r="E536" t="s">
        <v>176</v>
      </c>
      <c r="F536" t="s">
        <v>2180</v>
      </c>
      <c r="G536" t="s">
        <v>735</v>
      </c>
      <c r="H536" t="s">
        <v>310</v>
      </c>
      <c r="I536">
        <f t="shared" si="8"/>
        <v>3</v>
      </c>
      <c r="J536" t="s">
        <v>44</v>
      </c>
      <c r="K536" t="str" cm="1">
        <f t="array" ref="K536">_xlfn.SWITCH(TRIM(UPPER(J536)),
"BUSINESS", "Short Stay",
"CONFERENCE", "Medium Stay",
"VACATION", "Iong Stay",
"HOLIDAY", "Long Stay",
"V", "Leisure",
"UNKNOWN", "Unknown",
"Other")</f>
        <v>Other</v>
      </c>
    </row>
    <row r="537" spans="1:11" x14ac:dyDescent="0.3">
      <c r="A537" t="s">
        <v>2181</v>
      </c>
      <c r="B537" t="s">
        <v>1397</v>
      </c>
      <c r="C537" t="s">
        <v>75</v>
      </c>
      <c r="D537" t="s">
        <v>1988</v>
      </c>
      <c r="E537" t="s">
        <v>85</v>
      </c>
      <c r="F537" t="s">
        <v>2182</v>
      </c>
      <c r="G537" t="s">
        <v>1268</v>
      </c>
      <c r="H537" t="s">
        <v>1681</v>
      </c>
      <c r="I537">
        <f t="shared" si="8"/>
        <v>5</v>
      </c>
      <c r="J537" t="s">
        <v>27</v>
      </c>
      <c r="K537" t="str" cm="1">
        <f t="array" ref="K537">_xlfn.SWITCH(TRIM(UPPER(J537)),
"BUSINESS", "Short Stay",
"CONFERENCE", "Medium Stay",
"VACATION", "Iong Stay",
"HOLIDAY", "Long Stay",
"V", "Leisure",
"UNKNOWN", "Unknown",
"Other")</f>
        <v>Medium Stay</v>
      </c>
    </row>
    <row r="538" spans="1:11" x14ac:dyDescent="0.3">
      <c r="A538" t="s">
        <v>2183</v>
      </c>
      <c r="B538" t="s">
        <v>1156</v>
      </c>
      <c r="C538" t="s">
        <v>21</v>
      </c>
      <c r="D538" t="s">
        <v>2184</v>
      </c>
      <c r="E538" t="s">
        <v>23</v>
      </c>
      <c r="F538" t="s">
        <v>2185</v>
      </c>
      <c r="G538" t="s">
        <v>1159</v>
      </c>
      <c r="H538" t="s">
        <v>276</v>
      </c>
      <c r="I538">
        <f t="shared" si="8"/>
        <v>2</v>
      </c>
      <c r="J538" t="s">
        <v>44</v>
      </c>
      <c r="K538" t="str" cm="1">
        <f t="array" ref="K538">_xlfn.SWITCH(TRIM(UPPER(J538)),
"BUSINESS", "Short Stay",
"CONFERENCE", "Medium Stay",
"VACATION", "Iong Stay",
"HOLIDAY", "Long Stay",
"V", "Leisure",
"UNKNOWN", "Unknown",
"Other")</f>
        <v>Other</v>
      </c>
    </row>
    <row r="539" spans="1:11" x14ac:dyDescent="0.3">
      <c r="A539" t="s">
        <v>2186</v>
      </c>
      <c r="B539" t="s">
        <v>2187</v>
      </c>
      <c r="C539" t="s">
        <v>75</v>
      </c>
      <c r="D539" t="s">
        <v>230</v>
      </c>
      <c r="E539" t="s">
        <v>156</v>
      </c>
      <c r="F539" t="s">
        <v>2188</v>
      </c>
      <c r="G539" t="s">
        <v>1788</v>
      </c>
      <c r="H539" t="s">
        <v>769</v>
      </c>
      <c r="I539">
        <f t="shared" si="8"/>
        <v>2</v>
      </c>
      <c r="J539" t="s">
        <v>27</v>
      </c>
      <c r="K539" t="str" cm="1">
        <f t="array" ref="K539">_xlfn.SWITCH(TRIM(UPPER(J539)),
"BUSINESS", "Short Stay",
"CONFERENCE", "Medium Stay",
"VACATION", "Iong Stay",
"HOLIDAY", "Long Stay",
"V", "Leisure",
"UNKNOWN", "Unknown",
"Other")</f>
        <v>Medium Stay</v>
      </c>
    </row>
    <row r="540" spans="1:11" x14ac:dyDescent="0.3">
      <c r="A540" t="s">
        <v>2189</v>
      </c>
      <c r="B540" t="s">
        <v>2190</v>
      </c>
      <c r="C540" t="s">
        <v>75</v>
      </c>
      <c r="D540" t="s">
        <v>2191</v>
      </c>
      <c r="E540" t="s">
        <v>40</v>
      </c>
      <c r="F540" t="s">
        <v>2192</v>
      </c>
      <c r="G540" t="s">
        <v>1471</v>
      </c>
      <c r="H540" t="s">
        <v>1797</v>
      </c>
      <c r="I540">
        <f t="shared" si="8"/>
        <v>3</v>
      </c>
      <c r="J540" t="s">
        <v>44</v>
      </c>
      <c r="K540" t="str" cm="1">
        <f t="array" ref="K540">_xlfn.SWITCH(TRIM(UPPER(J540)),
"BUSINESS", "Short Stay",
"CONFERENCE", "Medium Stay",
"VACATION", "Iong Stay",
"HOLIDAY", "Long Stay",
"V", "Leisure",
"UNKNOWN", "Unknown",
"Other")</f>
        <v>Other</v>
      </c>
    </row>
    <row r="541" spans="1:11" x14ac:dyDescent="0.3">
      <c r="A541" t="s">
        <v>2193</v>
      </c>
      <c r="B541" t="s">
        <v>1634</v>
      </c>
      <c r="C541" t="s">
        <v>61</v>
      </c>
      <c r="D541" t="s">
        <v>2194</v>
      </c>
      <c r="E541" t="s">
        <v>458</v>
      </c>
      <c r="F541" t="s">
        <v>2195</v>
      </c>
      <c r="G541" t="s">
        <v>1311</v>
      </c>
      <c r="H541" t="s">
        <v>1243</v>
      </c>
      <c r="I541">
        <f t="shared" si="8"/>
        <v>5</v>
      </c>
      <c r="J541" t="s">
        <v>18</v>
      </c>
      <c r="K541" t="str" cm="1">
        <f t="array" ref="K541">_xlfn.SWITCH(TRIM(UPPER(J541)),
"BUSINESS", "Short Stay",
"CONFERENCE", "Medium Stay",
"VACATION", "Iong Stay",
"HOLIDAY", "Long Stay",
"V", "Leisure",
"UNKNOWN", "Unknown",
"Other")</f>
        <v>Short Stay</v>
      </c>
    </row>
    <row r="542" spans="1:11" x14ac:dyDescent="0.3">
      <c r="A542" t="s">
        <v>2196</v>
      </c>
      <c r="B542" t="s">
        <v>224</v>
      </c>
      <c r="C542" t="s">
        <v>54</v>
      </c>
      <c r="D542" t="s">
        <v>2197</v>
      </c>
      <c r="E542" t="s">
        <v>546</v>
      </c>
      <c r="F542" t="s">
        <v>2198</v>
      </c>
      <c r="G542" t="s">
        <v>227</v>
      </c>
      <c r="H542" t="s">
        <v>691</v>
      </c>
      <c r="I542">
        <f t="shared" si="8"/>
        <v>2</v>
      </c>
      <c r="J542" t="s">
        <v>27</v>
      </c>
      <c r="K542" t="str" cm="1">
        <f t="array" ref="K542">_xlfn.SWITCH(TRIM(UPPER(J542)),
"BUSINESS", "Short Stay",
"CONFERENCE", "Medium Stay",
"VACATION", "Iong Stay",
"HOLIDAY", "Long Stay",
"V", "Leisure",
"UNKNOWN", "Unknown",
"Other")</f>
        <v>Medium Stay</v>
      </c>
    </row>
    <row r="543" spans="1:11" x14ac:dyDescent="0.3">
      <c r="A543" t="s">
        <v>2199</v>
      </c>
      <c r="B543" t="s">
        <v>2200</v>
      </c>
      <c r="C543" t="s">
        <v>21</v>
      </c>
      <c r="D543" t="s">
        <v>2201</v>
      </c>
      <c r="E543" t="s">
        <v>40</v>
      </c>
      <c r="F543" t="s">
        <v>2202</v>
      </c>
      <c r="G543" t="s">
        <v>120</v>
      </c>
      <c r="H543" t="s">
        <v>869</v>
      </c>
      <c r="I543">
        <f t="shared" si="8"/>
        <v>1</v>
      </c>
      <c r="J543" t="s">
        <v>27</v>
      </c>
      <c r="K543" t="str" cm="1">
        <f t="array" ref="K543">_xlfn.SWITCH(TRIM(UPPER(J543)),
"BUSINESS", "Short Stay",
"CONFERENCE", "Medium Stay",
"VACATION", "Iong Stay",
"HOLIDAY", "Long Stay",
"V", "Leisure",
"UNKNOWN", "Unknown",
"Other")</f>
        <v>Medium Stay</v>
      </c>
    </row>
    <row r="544" spans="1:11" x14ac:dyDescent="0.3">
      <c r="A544" t="s">
        <v>2203</v>
      </c>
      <c r="B544" t="s">
        <v>1487</v>
      </c>
      <c r="C544" t="s">
        <v>83</v>
      </c>
      <c r="D544" t="s">
        <v>2204</v>
      </c>
      <c r="E544" t="s">
        <v>214</v>
      </c>
      <c r="F544" t="s">
        <v>2205</v>
      </c>
      <c r="G544" t="s">
        <v>438</v>
      </c>
      <c r="H544" t="s">
        <v>998</v>
      </c>
      <c r="I544">
        <f t="shared" si="8"/>
        <v>1</v>
      </c>
      <c r="J544" t="s">
        <v>44</v>
      </c>
      <c r="K544" t="str" cm="1">
        <f t="array" ref="K544">_xlfn.SWITCH(TRIM(UPPER(J544)),
"BUSINESS", "Short Stay",
"CONFERENCE", "Medium Stay",
"VACATION", "Iong Stay",
"HOLIDAY", "Long Stay",
"V", "Leisure",
"UNKNOWN", "Unknown",
"Other")</f>
        <v>Other</v>
      </c>
    </row>
    <row r="545" spans="1:11" x14ac:dyDescent="0.3">
      <c r="A545" t="s">
        <v>2206</v>
      </c>
      <c r="B545" t="s">
        <v>2207</v>
      </c>
      <c r="C545" t="s">
        <v>38</v>
      </c>
      <c r="D545" t="s">
        <v>2208</v>
      </c>
      <c r="E545" t="s">
        <v>214</v>
      </c>
      <c r="F545" t="s">
        <v>2209</v>
      </c>
      <c r="G545" t="s">
        <v>1956</v>
      </c>
      <c r="H545" t="s">
        <v>421</v>
      </c>
      <c r="I545">
        <f t="shared" si="8"/>
        <v>1</v>
      </c>
      <c r="J545" t="s">
        <v>18</v>
      </c>
      <c r="K545" t="str" cm="1">
        <f t="array" ref="K545">_xlfn.SWITCH(TRIM(UPPER(J545)),
"BUSINESS", "Short Stay",
"CONFERENCE", "Medium Stay",
"VACATION", "Iong Stay",
"HOLIDAY", "Long Stay",
"V", "Leisure",
"UNKNOWN", "Unknown",
"Other")</f>
        <v>Short Stay</v>
      </c>
    </row>
    <row r="546" spans="1:11" x14ac:dyDescent="0.3">
      <c r="A546" t="s">
        <v>2210</v>
      </c>
      <c r="B546" t="s">
        <v>173</v>
      </c>
      <c r="C546" t="s">
        <v>75</v>
      </c>
      <c r="D546" t="s">
        <v>2211</v>
      </c>
      <c r="E546" t="s">
        <v>32</v>
      </c>
      <c r="F546" t="s">
        <v>2212</v>
      </c>
      <c r="G546" t="s">
        <v>178</v>
      </c>
      <c r="H546" t="s">
        <v>1105</v>
      </c>
      <c r="I546">
        <f t="shared" si="8"/>
        <v>1</v>
      </c>
      <c r="J546" t="s">
        <v>18</v>
      </c>
      <c r="K546" t="str" cm="1">
        <f t="array" ref="K546">_xlfn.SWITCH(TRIM(UPPER(J546)),
"BUSINESS", "Short Stay",
"CONFERENCE", "Medium Stay",
"VACATION", "Iong Stay",
"HOLIDAY", "Long Stay",
"V", "Leisure",
"UNKNOWN", "Unknown",
"Other")</f>
        <v>Short Stay</v>
      </c>
    </row>
    <row r="547" spans="1:11" x14ac:dyDescent="0.3">
      <c r="A547" t="s">
        <v>2213</v>
      </c>
      <c r="B547" t="s">
        <v>1553</v>
      </c>
      <c r="C547" t="s">
        <v>38</v>
      </c>
      <c r="D547" t="s">
        <v>2214</v>
      </c>
      <c r="E547" t="s">
        <v>546</v>
      </c>
      <c r="F547" t="s">
        <v>2215</v>
      </c>
      <c r="G547" t="s">
        <v>1555</v>
      </c>
      <c r="H547" t="s">
        <v>559</v>
      </c>
      <c r="I547">
        <f t="shared" si="8"/>
        <v>1</v>
      </c>
      <c r="J547" t="s">
        <v>27</v>
      </c>
      <c r="K547" t="str" cm="1">
        <f t="array" ref="K547">_xlfn.SWITCH(TRIM(UPPER(J547)),
"BUSINESS", "Short Stay",
"CONFERENCE", "Medium Stay",
"VACATION", "Iong Stay",
"HOLIDAY", "Long Stay",
"V", "Leisure",
"UNKNOWN", "Unknown",
"Other")</f>
        <v>Medium Stay</v>
      </c>
    </row>
    <row r="548" spans="1:11" x14ac:dyDescent="0.3">
      <c r="A548" t="s">
        <v>2216</v>
      </c>
      <c r="B548" t="s">
        <v>252</v>
      </c>
      <c r="C548" t="s">
        <v>83</v>
      </c>
      <c r="D548" t="s">
        <v>475</v>
      </c>
      <c r="E548" t="s">
        <v>48</v>
      </c>
      <c r="F548" t="s">
        <v>2217</v>
      </c>
      <c r="G548" t="s">
        <v>88</v>
      </c>
      <c r="H548" t="s">
        <v>316</v>
      </c>
      <c r="I548">
        <f t="shared" si="8"/>
        <v>2</v>
      </c>
      <c r="J548" t="s">
        <v>18</v>
      </c>
      <c r="K548" t="str" cm="1">
        <f t="array" ref="K548">_xlfn.SWITCH(TRIM(UPPER(J548)),
"BUSINESS", "Short Stay",
"CONFERENCE", "Medium Stay",
"VACATION", "Iong Stay",
"HOLIDAY", "Long Stay",
"V", "Leisure",
"UNKNOWN", "Unknown",
"Other")</f>
        <v>Short Stay</v>
      </c>
    </row>
    <row r="549" spans="1:11" x14ac:dyDescent="0.3">
      <c r="A549" t="s">
        <v>2218</v>
      </c>
      <c r="B549" t="s">
        <v>2219</v>
      </c>
      <c r="C549" t="s">
        <v>30</v>
      </c>
      <c r="D549" t="s">
        <v>2220</v>
      </c>
      <c r="E549" t="s">
        <v>458</v>
      </c>
      <c r="F549" t="s">
        <v>1750</v>
      </c>
      <c r="G549" t="s">
        <v>1085</v>
      </c>
      <c r="H549" t="s">
        <v>1588</v>
      </c>
      <c r="I549">
        <f t="shared" si="8"/>
        <v>2</v>
      </c>
      <c r="J549" t="s">
        <v>18</v>
      </c>
      <c r="K549" t="str" cm="1">
        <f t="array" ref="K549">_xlfn.SWITCH(TRIM(UPPER(J549)),
"BUSINESS", "Short Stay",
"CONFERENCE", "Medium Stay",
"VACATION", "Iong Stay",
"HOLIDAY", "Long Stay",
"V", "Leisure",
"UNKNOWN", "Unknown",
"Other")</f>
        <v>Short Stay</v>
      </c>
    </row>
    <row r="550" spans="1:11" x14ac:dyDescent="0.3">
      <c r="A550" t="s">
        <v>2221</v>
      </c>
      <c r="B550" t="s">
        <v>2222</v>
      </c>
      <c r="C550" t="s">
        <v>21</v>
      </c>
      <c r="D550" t="s">
        <v>1981</v>
      </c>
      <c r="E550" t="s">
        <v>14</v>
      </c>
      <c r="F550" t="s">
        <v>2223</v>
      </c>
      <c r="G550" t="s">
        <v>937</v>
      </c>
      <c r="H550" t="s">
        <v>700</v>
      </c>
      <c r="I550">
        <f t="shared" si="8"/>
        <v>3</v>
      </c>
      <c r="J550" t="s">
        <v>44</v>
      </c>
      <c r="K550" t="str" cm="1">
        <f t="array" ref="K550">_xlfn.SWITCH(TRIM(UPPER(J550)),
"BUSINESS", "Short Stay",
"CONFERENCE", "Medium Stay",
"VACATION", "Iong Stay",
"HOLIDAY", "Long Stay",
"V", "Leisure",
"UNKNOWN", "Unknown",
"Other")</f>
        <v>Other</v>
      </c>
    </row>
    <row r="551" spans="1:11" x14ac:dyDescent="0.3">
      <c r="A551" t="s">
        <v>2224</v>
      </c>
      <c r="B551" t="s">
        <v>1323</v>
      </c>
      <c r="C551" t="s">
        <v>54</v>
      </c>
      <c r="D551" t="s">
        <v>1538</v>
      </c>
      <c r="E551" t="s">
        <v>314</v>
      </c>
      <c r="F551" t="s">
        <v>2225</v>
      </c>
      <c r="G551" t="s">
        <v>1326</v>
      </c>
      <c r="H551" t="s">
        <v>289</v>
      </c>
      <c r="I551">
        <f t="shared" si="8"/>
        <v>4</v>
      </c>
      <c r="J551" t="s">
        <v>27</v>
      </c>
      <c r="K551" t="str" cm="1">
        <f t="array" ref="K551">_xlfn.SWITCH(TRIM(UPPER(J551)),
"BUSINESS", "Short Stay",
"CONFERENCE", "Medium Stay",
"VACATION", "Iong Stay",
"HOLIDAY", "Long Stay",
"V", "Leisure",
"UNKNOWN", "Unknown",
"Other")</f>
        <v>Medium Stay</v>
      </c>
    </row>
    <row r="552" spans="1:11" x14ac:dyDescent="0.3">
      <c r="A552" t="s">
        <v>2226</v>
      </c>
      <c r="B552" t="s">
        <v>29</v>
      </c>
      <c r="C552" t="s">
        <v>97</v>
      </c>
      <c r="D552" t="s">
        <v>2227</v>
      </c>
      <c r="E552" t="s">
        <v>14</v>
      </c>
      <c r="F552" t="s">
        <v>2228</v>
      </c>
      <c r="G552" t="s">
        <v>34</v>
      </c>
      <c r="H552" t="s">
        <v>749</v>
      </c>
      <c r="I552">
        <f t="shared" si="8"/>
        <v>5</v>
      </c>
      <c r="J552" t="s">
        <v>27</v>
      </c>
      <c r="K552" t="str" cm="1">
        <f t="array" ref="K552">_xlfn.SWITCH(TRIM(UPPER(J552)),
"BUSINESS", "Short Stay",
"CONFERENCE", "Medium Stay",
"VACATION", "Iong Stay",
"HOLIDAY", "Long Stay",
"V", "Leisure",
"UNKNOWN", "Unknown",
"Other")</f>
        <v>Medium Stay</v>
      </c>
    </row>
    <row r="553" spans="1:11" x14ac:dyDescent="0.3">
      <c r="A553" t="s">
        <v>2229</v>
      </c>
      <c r="B553" t="s">
        <v>1790</v>
      </c>
      <c r="C553" t="s">
        <v>21</v>
      </c>
      <c r="D553" t="s">
        <v>2230</v>
      </c>
      <c r="E553" t="s">
        <v>430</v>
      </c>
      <c r="F553" t="s">
        <v>2231</v>
      </c>
      <c r="G553" t="s">
        <v>1793</v>
      </c>
      <c r="H553" t="s">
        <v>460</v>
      </c>
      <c r="I553">
        <f t="shared" si="8"/>
        <v>3</v>
      </c>
      <c r="J553" t="s">
        <v>27</v>
      </c>
      <c r="K553" t="str" cm="1">
        <f t="array" ref="K553">_xlfn.SWITCH(TRIM(UPPER(J553)),
"BUSINESS", "Short Stay",
"CONFERENCE", "Medium Stay",
"VACATION", "Iong Stay",
"HOLIDAY", "Long Stay",
"V", "Leisure",
"UNKNOWN", "Unknown",
"Other")</f>
        <v>Medium Stay</v>
      </c>
    </row>
    <row r="554" spans="1:11" x14ac:dyDescent="0.3">
      <c r="A554" t="s">
        <v>2232</v>
      </c>
      <c r="B554" t="s">
        <v>530</v>
      </c>
      <c r="C554" t="s">
        <v>61</v>
      </c>
      <c r="D554" t="s">
        <v>2233</v>
      </c>
      <c r="E554" t="s">
        <v>32</v>
      </c>
      <c r="F554" t="s">
        <v>2234</v>
      </c>
      <c r="G554" t="s">
        <v>512</v>
      </c>
      <c r="H554" t="s">
        <v>635</v>
      </c>
      <c r="I554">
        <f t="shared" si="8"/>
        <v>3</v>
      </c>
      <c r="J554" t="s">
        <v>18</v>
      </c>
      <c r="K554" t="str" cm="1">
        <f t="array" ref="K554">_xlfn.SWITCH(TRIM(UPPER(J554)),
"BUSINESS", "Short Stay",
"CONFERENCE", "Medium Stay",
"VACATION", "Iong Stay",
"HOLIDAY", "Long Stay",
"V", "Leisure",
"UNKNOWN", "Unknown",
"Other")</f>
        <v>Short Stay</v>
      </c>
    </row>
    <row r="555" spans="1:11" x14ac:dyDescent="0.3">
      <c r="A555" t="s">
        <v>2235</v>
      </c>
      <c r="B555" t="s">
        <v>910</v>
      </c>
      <c r="C555" t="s">
        <v>174</v>
      </c>
      <c r="D555" t="s">
        <v>2236</v>
      </c>
      <c r="E555" t="s">
        <v>23</v>
      </c>
      <c r="F555" t="s">
        <v>2237</v>
      </c>
      <c r="G555" t="s">
        <v>913</v>
      </c>
      <c r="H555" t="s">
        <v>856</v>
      </c>
      <c r="I555">
        <f t="shared" si="8"/>
        <v>4</v>
      </c>
      <c r="J555" t="s">
        <v>18</v>
      </c>
      <c r="K555" t="str" cm="1">
        <f t="array" ref="K555">_xlfn.SWITCH(TRIM(UPPER(J555)),
"BUSINESS", "Short Stay",
"CONFERENCE", "Medium Stay",
"VACATION", "Iong Stay",
"HOLIDAY", "Long Stay",
"V", "Leisure",
"UNKNOWN", "Unknown",
"Other")</f>
        <v>Short Stay</v>
      </c>
    </row>
    <row r="556" spans="1:11" x14ac:dyDescent="0.3">
      <c r="A556" t="s">
        <v>2238</v>
      </c>
      <c r="B556" t="s">
        <v>777</v>
      </c>
      <c r="C556" t="s">
        <v>54</v>
      </c>
      <c r="D556" t="s">
        <v>2239</v>
      </c>
      <c r="E556" t="s">
        <v>546</v>
      </c>
      <c r="F556" t="s">
        <v>2240</v>
      </c>
      <c r="G556" t="s">
        <v>780</v>
      </c>
      <c r="H556" t="s">
        <v>963</v>
      </c>
      <c r="I556">
        <f t="shared" si="8"/>
        <v>5</v>
      </c>
      <c r="J556" t="s">
        <v>27</v>
      </c>
      <c r="K556" t="str" cm="1">
        <f t="array" ref="K556">_xlfn.SWITCH(TRIM(UPPER(J556)),
"BUSINESS", "Short Stay",
"CONFERENCE", "Medium Stay",
"VACATION", "Iong Stay",
"HOLIDAY", "Long Stay",
"V", "Leisure",
"UNKNOWN", "Unknown",
"Other")</f>
        <v>Medium Stay</v>
      </c>
    </row>
    <row r="557" spans="1:11" x14ac:dyDescent="0.3">
      <c r="A557" t="s">
        <v>2241</v>
      </c>
      <c r="B557" t="s">
        <v>2207</v>
      </c>
      <c r="C557" t="s">
        <v>38</v>
      </c>
      <c r="D557" t="s">
        <v>2242</v>
      </c>
      <c r="E557" t="s">
        <v>48</v>
      </c>
      <c r="F557" t="s">
        <v>2243</v>
      </c>
      <c r="G557" t="s">
        <v>1956</v>
      </c>
      <c r="H557" t="s">
        <v>1109</v>
      </c>
      <c r="I557">
        <f t="shared" si="8"/>
        <v>3</v>
      </c>
      <c r="J557" t="s">
        <v>18</v>
      </c>
      <c r="K557" t="str" cm="1">
        <f t="array" ref="K557">_xlfn.SWITCH(TRIM(UPPER(J557)),
"BUSINESS", "Short Stay",
"CONFERENCE", "Medium Stay",
"VACATION", "Iong Stay",
"HOLIDAY", "Long Stay",
"V", "Leisure",
"UNKNOWN", "Unknown",
"Other")</f>
        <v>Short Stay</v>
      </c>
    </row>
    <row r="558" spans="1:11" x14ac:dyDescent="0.3">
      <c r="A558" t="s">
        <v>2244</v>
      </c>
      <c r="B558" t="s">
        <v>187</v>
      </c>
      <c r="C558" t="s">
        <v>21</v>
      </c>
      <c r="D558" t="s">
        <v>2245</v>
      </c>
      <c r="E558" t="s">
        <v>14</v>
      </c>
      <c r="F558" t="s">
        <v>2246</v>
      </c>
      <c r="G558" t="s">
        <v>190</v>
      </c>
      <c r="H558" t="s">
        <v>100</v>
      </c>
      <c r="I558">
        <f t="shared" si="8"/>
        <v>2</v>
      </c>
      <c r="J558" t="s">
        <v>27</v>
      </c>
      <c r="K558" t="str" cm="1">
        <f t="array" ref="K558">_xlfn.SWITCH(TRIM(UPPER(J558)),
"BUSINESS", "Short Stay",
"CONFERENCE", "Medium Stay",
"VACATION", "Iong Stay",
"HOLIDAY", "Long Stay",
"V", "Leisure",
"UNKNOWN", "Unknown",
"Other")</f>
        <v>Medium Stay</v>
      </c>
    </row>
    <row r="559" spans="1:11" x14ac:dyDescent="0.3">
      <c r="A559" t="s">
        <v>2247</v>
      </c>
      <c r="B559" t="s">
        <v>910</v>
      </c>
      <c r="C559" t="s">
        <v>30</v>
      </c>
      <c r="D559" t="s">
        <v>2248</v>
      </c>
      <c r="E559" t="s">
        <v>156</v>
      </c>
      <c r="F559" t="s">
        <v>2249</v>
      </c>
      <c r="G559" t="s">
        <v>913</v>
      </c>
      <c r="H559" t="s">
        <v>410</v>
      </c>
      <c r="I559">
        <f t="shared" si="8"/>
        <v>5</v>
      </c>
      <c r="J559" t="s">
        <v>121</v>
      </c>
      <c r="K559" t="str" cm="1">
        <f t="array" ref="K559">_xlfn.SWITCH(TRIM(UPPER(J559)),
"BUSINESS", "Short Stay",
"CONFERENCE", "Medium Stay",
"VACATION", "Iong Stay",
"HOLIDAY", "Long Stay",
"V", "Leisure",
"UNKNOWN", "Unknown",
"Other")</f>
        <v>Iong Stay</v>
      </c>
    </row>
    <row r="560" spans="1:11" x14ac:dyDescent="0.3">
      <c r="A560" t="s">
        <v>2250</v>
      </c>
      <c r="B560" t="s">
        <v>1149</v>
      </c>
      <c r="C560" t="s">
        <v>38</v>
      </c>
      <c r="D560" t="s">
        <v>2251</v>
      </c>
      <c r="E560" t="s">
        <v>117</v>
      </c>
      <c r="F560" t="s">
        <v>2252</v>
      </c>
      <c r="G560" t="s">
        <v>393</v>
      </c>
      <c r="H560" t="s">
        <v>1311</v>
      </c>
      <c r="I560">
        <f t="shared" si="8"/>
        <v>4</v>
      </c>
      <c r="J560" t="s">
        <v>44</v>
      </c>
      <c r="K560" t="str" cm="1">
        <f t="array" ref="K560">_xlfn.SWITCH(TRIM(UPPER(J560)),
"BUSINESS", "Short Stay",
"CONFERENCE", "Medium Stay",
"VACATION", "Iong Stay",
"HOLIDAY", "Long Stay",
"V", "Leisure",
"UNKNOWN", "Unknown",
"Other")</f>
        <v>Other</v>
      </c>
    </row>
    <row r="561" spans="1:11" x14ac:dyDescent="0.3">
      <c r="A561" t="s">
        <v>2253</v>
      </c>
      <c r="B561" t="s">
        <v>1149</v>
      </c>
      <c r="C561" t="s">
        <v>21</v>
      </c>
      <c r="D561" t="s">
        <v>2254</v>
      </c>
      <c r="E561" t="s">
        <v>40</v>
      </c>
      <c r="F561" t="s">
        <v>2255</v>
      </c>
      <c r="G561" t="s">
        <v>393</v>
      </c>
      <c r="H561" t="s">
        <v>735</v>
      </c>
      <c r="I561">
        <f t="shared" si="8"/>
        <v>2</v>
      </c>
      <c r="J561" t="s">
        <v>121</v>
      </c>
      <c r="K561" t="str" cm="1">
        <f t="array" ref="K561">_xlfn.SWITCH(TRIM(UPPER(J561)),
"BUSINESS", "Short Stay",
"CONFERENCE", "Medium Stay",
"VACATION", "Iong Stay",
"HOLIDAY", "Long Stay",
"V", "Leisure",
"UNKNOWN", "Unknown",
"Other")</f>
        <v>Iong Stay</v>
      </c>
    </row>
    <row r="562" spans="1:11" x14ac:dyDescent="0.3">
      <c r="A562" t="s">
        <v>2256</v>
      </c>
      <c r="B562" t="s">
        <v>2257</v>
      </c>
      <c r="C562" t="s">
        <v>75</v>
      </c>
      <c r="D562" t="s">
        <v>1909</v>
      </c>
      <c r="E562" t="s">
        <v>430</v>
      </c>
      <c r="F562" t="s">
        <v>2258</v>
      </c>
      <c r="G562" t="s">
        <v>753</v>
      </c>
      <c r="H562" t="s">
        <v>485</v>
      </c>
      <c r="I562">
        <f t="shared" si="8"/>
        <v>1</v>
      </c>
      <c r="J562" t="s">
        <v>121</v>
      </c>
      <c r="K562" t="str" cm="1">
        <f t="array" ref="K562">_xlfn.SWITCH(TRIM(UPPER(J562)),
"BUSINESS", "Short Stay",
"CONFERENCE", "Medium Stay",
"VACATION", "Iong Stay",
"HOLIDAY", "Long Stay",
"V", "Leisure",
"UNKNOWN", "Unknown",
"Other")</f>
        <v>Iong Stay</v>
      </c>
    </row>
    <row r="563" spans="1:11" x14ac:dyDescent="0.3">
      <c r="A563" t="s">
        <v>2259</v>
      </c>
      <c r="B563" t="s">
        <v>2260</v>
      </c>
      <c r="C563" t="s">
        <v>83</v>
      </c>
      <c r="D563" t="s">
        <v>2261</v>
      </c>
      <c r="E563" t="s">
        <v>40</v>
      </c>
      <c r="F563" t="s">
        <v>2262</v>
      </c>
      <c r="G563" t="s">
        <v>255</v>
      </c>
      <c r="H563" t="s">
        <v>517</v>
      </c>
      <c r="I563">
        <f t="shared" si="8"/>
        <v>1</v>
      </c>
      <c r="J563" t="s">
        <v>44</v>
      </c>
      <c r="K563" t="str" cm="1">
        <f t="array" ref="K563">_xlfn.SWITCH(TRIM(UPPER(J563)),
"BUSINESS", "Short Stay",
"CONFERENCE", "Medium Stay",
"VACATION", "Iong Stay",
"HOLIDAY", "Long Stay",
"V", "Leisure",
"UNKNOWN", "Unknown",
"Other")</f>
        <v>Other</v>
      </c>
    </row>
    <row r="564" spans="1:11" x14ac:dyDescent="0.3">
      <c r="A564" t="s">
        <v>2263</v>
      </c>
      <c r="B564" t="s">
        <v>2264</v>
      </c>
      <c r="C564" t="s">
        <v>61</v>
      </c>
      <c r="D564" t="s">
        <v>666</v>
      </c>
      <c r="E564" t="s">
        <v>149</v>
      </c>
      <c r="F564" t="s">
        <v>2265</v>
      </c>
      <c r="G564" t="s">
        <v>1857</v>
      </c>
      <c r="H564" t="s">
        <v>1788</v>
      </c>
      <c r="I564">
        <f t="shared" si="8"/>
        <v>3</v>
      </c>
      <c r="J564" t="s">
        <v>44</v>
      </c>
      <c r="K564" t="str" cm="1">
        <f t="array" ref="K564">_xlfn.SWITCH(TRIM(UPPER(J564)),
"BUSINESS", "Short Stay",
"CONFERENCE", "Medium Stay",
"VACATION", "Iong Stay",
"HOLIDAY", "Long Stay",
"V", "Leisure",
"UNKNOWN", "Unknown",
"Other")</f>
        <v>Other</v>
      </c>
    </row>
    <row r="565" spans="1:11" x14ac:dyDescent="0.3">
      <c r="A565" t="s">
        <v>2266</v>
      </c>
      <c r="B565" t="s">
        <v>688</v>
      </c>
      <c r="C565" t="s">
        <v>21</v>
      </c>
      <c r="D565" t="s">
        <v>2097</v>
      </c>
      <c r="E565" t="s">
        <v>40</v>
      </c>
      <c r="F565" t="s">
        <v>2267</v>
      </c>
      <c r="G565" t="s">
        <v>298</v>
      </c>
      <c r="H565" t="s">
        <v>691</v>
      </c>
      <c r="I565">
        <f t="shared" si="8"/>
        <v>1</v>
      </c>
      <c r="J565" t="s">
        <v>44</v>
      </c>
      <c r="K565" t="str" cm="1">
        <f t="array" ref="K565">_xlfn.SWITCH(TRIM(UPPER(J565)),
"BUSINESS", "Short Stay",
"CONFERENCE", "Medium Stay",
"VACATION", "Iong Stay",
"HOLIDAY", "Long Stay",
"V", "Leisure",
"UNKNOWN", "Unknown",
"Other")</f>
        <v>Other</v>
      </c>
    </row>
    <row r="566" spans="1:11" x14ac:dyDescent="0.3">
      <c r="A566" t="s">
        <v>2268</v>
      </c>
      <c r="B566" t="s">
        <v>1709</v>
      </c>
      <c r="C566" t="s">
        <v>174</v>
      </c>
      <c r="D566" t="s">
        <v>1802</v>
      </c>
      <c r="E566" t="s">
        <v>85</v>
      </c>
      <c r="F566" t="s">
        <v>2269</v>
      </c>
      <c r="G566" t="s">
        <v>133</v>
      </c>
      <c r="H566" t="s">
        <v>593</v>
      </c>
      <c r="I566">
        <f t="shared" si="8"/>
        <v>3</v>
      </c>
      <c r="J566" t="s">
        <v>18</v>
      </c>
      <c r="K566" t="str" cm="1">
        <f t="array" ref="K566">_xlfn.SWITCH(TRIM(UPPER(J566)),
"BUSINESS", "Short Stay",
"CONFERENCE", "Medium Stay",
"VACATION", "Iong Stay",
"HOLIDAY", "Long Stay",
"V", "Leisure",
"UNKNOWN", "Unknown",
"Other")</f>
        <v>Short Stay</v>
      </c>
    </row>
    <row r="567" spans="1:11" x14ac:dyDescent="0.3">
      <c r="A567" t="s">
        <v>2270</v>
      </c>
      <c r="B567" t="s">
        <v>1133</v>
      </c>
      <c r="C567" t="s">
        <v>30</v>
      </c>
      <c r="D567" t="s">
        <v>2271</v>
      </c>
      <c r="E567" t="s">
        <v>458</v>
      </c>
      <c r="F567" t="s">
        <v>2272</v>
      </c>
      <c r="G567" t="s">
        <v>107</v>
      </c>
      <c r="H567" t="s">
        <v>685</v>
      </c>
      <c r="I567">
        <f t="shared" si="8"/>
        <v>2</v>
      </c>
      <c r="J567" t="s">
        <v>18</v>
      </c>
      <c r="K567" t="str" cm="1">
        <f t="array" ref="K567">_xlfn.SWITCH(TRIM(UPPER(J567)),
"BUSINESS", "Short Stay",
"CONFERENCE", "Medium Stay",
"VACATION", "Iong Stay",
"HOLIDAY", "Long Stay",
"V", "Leisure",
"UNKNOWN", "Unknown",
"Other")</f>
        <v>Short Stay</v>
      </c>
    </row>
    <row r="568" spans="1:11" x14ac:dyDescent="0.3">
      <c r="A568" t="s">
        <v>2273</v>
      </c>
      <c r="B568" t="s">
        <v>312</v>
      </c>
      <c r="C568" t="s">
        <v>97</v>
      </c>
      <c r="D568" t="s">
        <v>1426</v>
      </c>
      <c r="E568" t="s">
        <v>201</v>
      </c>
      <c r="F568" t="s">
        <v>2274</v>
      </c>
      <c r="G568" t="s">
        <v>316</v>
      </c>
      <c r="H568" t="s">
        <v>518</v>
      </c>
      <c r="I568">
        <f t="shared" si="8"/>
        <v>3</v>
      </c>
      <c r="J568" t="s">
        <v>18</v>
      </c>
      <c r="K568" t="str" cm="1">
        <f t="array" ref="K568">_xlfn.SWITCH(TRIM(UPPER(J568)),
"BUSINESS", "Short Stay",
"CONFERENCE", "Medium Stay",
"VACATION", "Iong Stay",
"HOLIDAY", "Long Stay",
"V", "Leisure",
"UNKNOWN", "Unknown",
"Other")</f>
        <v>Short Stay</v>
      </c>
    </row>
    <row r="569" spans="1:11" x14ac:dyDescent="0.3">
      <c r="A569" t="s">
        <v>2275</v>
      </c>
      <c r="B569" t="s">
        <v>2043</v>
      </c>
      <c r="C569" t="s">
        <v>61</v>
      </c>
      <c r="D569" t="s">
        <v>2276</v>
      </c>
      <c r="E569" t="s">
        <v>85</v>
      </c>
      <c r="F569" t="s">
        <v>2277</v>
      </c>
      <c r="G569" t="s">
        <v>1226</v>
      </c>
      <c r="H569" t="s">
        <v>1256</v>
      </c>
      <c r="I569">
        <f t="shared" si="8"/>
        <v>1</v>
      </c>
      <c r="J569" t="s">
        <v>27</v>
      </c>
      <c r="K569" t="str" cm="1">
        <f t="array" ref="K569">_xlfn.SWITCH(TRIM(UPPER(J569)),
"BUSINESS", "Short Stay",
"CONFERENCE", "Medium Stay",
"VACATION", "Iong Stay",
"HOLIDAY", "Long Stay",
"V", "Leisure",
"UNKNOWN", "Unknown",
"Other")</f>
        <v>Medium Stay</v>
      </c>
    </row>
    <row r="570" spans="1:11" x14ac:dyDescent="0.3">
      <c r="A570" t="s">
        <v>2278</v>
      </c>
      <c r="B570" t="s">
        <v>1028</v>
      </c>
      <c r="C570" t="s">
        <v>12</v>
      </c>
      <c r="D570" t="s">
        <v>767</v>
      </c>
      <c r="E570" t="s">
        <v>69</v>
      </c>
      <c r="F570" t="s">
        <v>2279</v>
      </c>
      <c r="G570" t="s">
        <v>1030</v>
      </c>
      <c r="H570" t="s">
        <v>1543</v>
      </c>
      <c r="I570">
        <f t="shared" si="8"/>
        <v>1</v>
      </c>
      <c r="J570" t="s">
        <v>18</v>
      </c>
      <c r="K570" t="str" cm="1">
        <f t="array" ref="K570">_xlfn.SWITCH(TRIM(UPPER(J570)),
"BUSINESS", "Short Stay",
"CONFERENCE", "Medium Stay",
"VACATION", "Iong Stay",
"HOLIDAY", "Long Stay",
"V", "Leisure",
"UNKNOWN", "Unknown",
"Other")</f>
        <v>Short Stay</v>
      </c>
    </row>
    <row r="571" spans="1:11" x14ac:dyDescent="0.3">
      <c r="A571" t="s">
        <v>2280</v>
      </c>
      <c r="B571" t="s">
        <v>652</v>
      </c>
      <c r="C571" t="s">
        <v>83</v>
      </c>
      <c r="D571" t="s">
        <v>2281</v>
      </c>
      <c r="E571" t="s">
        <v>149</v>
      </c>
      <c r="F571" t="s">
        <v>2282</v>
      </c>
      <c r="G571" t="s">
        <v>127</v>
      </c>
      <c r="H571" t="s">
        <v>1109</v>
      </c>
      <c r="I571">
        <f t="shared" si="8"/>
        <v>1</v>
      </c>
      <c r="J571" t="s">
        <v>44</v>
      </c>
      <c r="K571" t="str" cm="1">
        <f t="array" ref="K571">_xlfn.SWITCH(TRIM(UPPER(J571)),
"BUSINESS", "Short Stay",
"CONFERENCE", "Medium Stay",
"VACATION", "Iong Stay",
"HOLIDAY", "Long Stay",
"V", "Leisure",
"UNKNOWN", "Unknown",
"Other")</f>
        <v>Other</v>
      </c>
    </row>
    <row r="572" spans="1:11" x14ac:dyDescent="0.3">
      <c r="A572" t="s">
        <v>2283</v>
      </c>
      <c r="B572" t="s">
        <v>199</v>
      </c>
      <c r="C572" t="s">
        <v>30</v>
      </c>
      <c r="D572" t="s">
        <v>2208</v>
      </c>
      <c r="E572" t="s">
        <v>214</v>
      </c>
      <c r="F572" t="s">
        <v>2284</v>
      </c>
      <c r="G572" t="s">
        <v>203</v>
      </c>
      <c r="H572" t="s">
        <v>538</v>
      </c>
      <c r="I572">
        <f t="shared" si="8"/>
        <v>4</v>
      </c>
      <c r="J572" t="s">
        <v>121</v>
      </c>
      <c r="K572" t="str" cm="1">
        <f t="array" ref="K572">_xlfn.SWITCH(TRIM(UPPER(J572)),
"BUSINESS", "Short Stay",
"CONFERENCE", "Medium Stay",
"VACATION", "Iong Stay",
"HOLIDAY", "Long Stay",
"V", "Leisure",
"UNKNOWN", "Unknown",
"Other")</f>
        <v>Iong Stay</v>
      </c>
    </row>
    <row r="573" spans="1:11" x14ac:dyDescent="0.3">
      <c r="A573" t="s">
        <v>2285</v>
      </c>
      <c r="B573" t="s">
        <v>456</v>
      </c>
      <c r="C573" t="s">
        <v>21</v>
      </c>
      <c r="D573" t="s">
        <v>1274</v>
      </c>
      <c r="E573" t="s">
        <v>214</v>
      </c>
      <c r="F573" t="s">
        <v>1188</v>
      </c>
      <c r="G573" t="s">
        <v>454</v>
      </c>
      <c r="H573" t="s">
        <v>460</v>
      </c>
      <c r="I573">
        <f t="shared" si="8"/>
        <v>2</v>
      </c>
      <c r="J573" t="s">
        <v>27</v>
      </c>
      <c r="K573" t="str" cm="1">
        <f t="array" ref="K573">_xlfn.SWITCH(TRIM(UPPER(J573)),
"BUSINESS", "Short Stay",
"CONFERENCE", "Medium Stay",
"VACATION", "Iong Stay",
"HOLIDAY", "Long Stay",
"V", "Leisure",
"UNKNOWN", "Unknown",
"Other")</f>
        <v>Medium Stay</v>
      </c>
    </row>
    <row r="574" spans="1:11" x14ac:dyDescent="0.3">
      <c r="A574" t="s">
        <v>2286</v>
      </c>
      <c r="B574" t="s">
        <v>2287</v>
      </c>
      <c r="C574" t="s">
        <v>174</v>
      </c>
      <c r="D574" t="s">
        <v>2288</v>
      </c>
      <c r="E574" t="s">
        <v>458</v>
      </c>
      <c r="F574" t="s">
        <v>2289</v>
      </c>
      <c r="G574" t="s">
        <v>2290</v>
      </c>
      <c r="H574" t="s">
        <v>443</v>
      </c>
      <c r="I574">
        <f t="shared" si="8"/>
        <v>1</v>
      </c>
      <c r="J574" t="s">
        <v>27</v>
      </c>
      <c r="K574" t="str" cm="1">
        <f t="array" ref="K574">_xlfn.SWITCH(TRIM(UPPER(J574)),
"BUSINESS", "Short Stay",
"CONFERENCE", "Medium Stay",
"VACATION", "Iong Stay",
"HOLIDAY", "Long Stay",
"V", "Leisure",
"UNKNOWN", "Unknown",
"Other")</f>
        <v>Medium Stay</v>
      </c>
    </row>
    <row r="575" spans="1:11" x14ac:dyDescent="0.3">
      <c r="A575" t="s">
        <v>2291</v>
      </c>
      <c r="B575" t="s">
        <v>809</v>
      </c>
      <c r="C575" t="s">
        <v>38</v>
      </c>
      <c r="D575" t="s">
        <v>2292</v>
      </c>
      <c r="E575" t="s">
        <v>149</v>
      </c>
      <c r="F575" t="s">
        <v>2293</v>
      </c>
      <c r="G575" t="s">
        <v>812</v>
      </c>
      <c r="H575" t="s">
        <v>813</v>
      </c>
      <c r="I575">
        <f t="shared" si="8"/>
        <v>1</v>
      </c>
      <c r="J575" t="s">
        <v>18</v>
      </c>
      <c r="K575" t="str" cm="1">
        <f t="array" ref="K575">_xlfn.SWITCH(TRIM(UPPER(J575)),
"BUSINESS", "Short Stay",
"CONFERENCE", "Medium Stay",
"VACATION", "Iong Stay",
"HOLIDAY", "Long Stay",
"V", "Leisure",
"UNKNOWN", "Unknown",
"Other")</f>
        <v>Short Stay</v>
      </c>
    </row>
    <row r="576" spans="1:11" x14ac:dyDescent="0.3">
      <c r="A576" t="s">
        <v>2294</v>
      </c>
      <c r="B576" t="s">
        <v>1032</v>
      </c>
      <c r="C576" t="s">
        <v>21</v>
      </c>
      <c r="D576" t="s">
        <v>2295</v>
      </c>
      <c r="E576" t="s">
        <v>430</v>
      </c>
      <c r="F576" t="s">
        <v>2296</v>
      </c>
      <c r="G576" t="s">
        <v>1035</v>
      </c>
      <c r="H576" t="s">
        <v>677</v>
      </c>
      <c r="I576">
        <f t="shared" si="8"/>
        <v>5</v>
      </c>
      <c r="J576" t="s">
        <v>44</v>
      </c>
      <c r="K576" t="str" cm="1">
        <f t="array" ref="K576">_xlfn.SWITCH(TRIM(UPPER(J576)),
"BUSINESS", "Short Stay",
"CONFERENCE", "Medium Stay",
"VACATION", "Iong Stay",
"HOLIDAY", "Long Stay",
"V", "Leisure",
"UNKNOWN", "Unknown",
"Other")</f>
        <v>Other</v>
      </c>
    </row>
    <row r="577" spans="1:11" x14ac:dyDescent="0.3">
      <c r="A577" t="s">
        <v>2297</v>
      </c>
      <c r="B577" t="s">
        <v>406</v>
      </c>
      <c r="C577" t="s">
        <v>54</v>
      </c>
      <c r="D577" t="s">
        <v>2298</v>
      </c>
      <c r="E577" t="s">
        <v>458</v>
      </c>
      <c r="F577" t="s">
        <v>2299</v>
      </c>
      <c r="G577" t="s">
        <v>409</v>
      </c>
      <c r="H577" t="s">
        <v>410</v>
      </c>
      <c r="I577">
        <f t="shared" si="8"/>
        <v>2</v>
      </c>
      <c r="J577" t="s">
        <v>44</v>
      </c>
      <c r="K577" t="str" cm="1">
        <f t="array" ref="K577">_xlfn.SWITCH(TRIM(UPPER(J577)),
"BUSINESS", "Short Stay",
"CONFERENCE", "Medium Stay",
"VACATION", "Iong Stay",
"HOLIDAY", "Long Stay",
"V", "Leisure",
"UNKNOWN", "Unknown",
"Other")</f>
        <v>Other</v>
      </c>
    </row>
    <row r="578" spans="1:11" x14ac:dyDescent="0.3">
      <c r="A578" t="s">
        <v>2300</v>
      </c>
      <c r="B578" t="s">
        <v>1318</v>
      </c>
      <c r="C578" t="s">
        <v>21</v>
      </c>
      <c r="D578" t="s">
        <v>2301</v>
      </c>
      <c r="E578" t="s">
        <v>476</v>
      </c>
      <c r="F578" t="s">
        <v>2302</v>
      </c>
      <c r="G578" t="s">
        <v>989</v>
      </c>
      <c r="H578" t="s">
        <v>1833</v>
      </c>
      <c r="I578">
        <f t="shared" si="8"/>
        <v>3</v>
      </c>
      <c r="J578" t="s">
        <v>27</v>
      </c>
      <c r="K578" t="str" cm="1">
        <f t="array" ref="K578">_xlfn.SWITCH(TRIM(UPPER(J578)),
"BUSINESS", "Short Stay",
"CONFERENCE", "Medium Stay",
"VACATION", "Iong Stay",
"HOLIDAY", "Long Stay",
"V", "Leisure",
"UNKNOWN", "Unknown",
"Other")</f>
        <v>Medium Stay</v>
      </c>
    </row>
    <row r="579" spans="1:11" x14ac:dyDescent="0.3">
      <c r="A579" t="s">
        <v>2303</v>
      </c>
      <c r="B579" t="s">
        <v>1206</v>
      </c>
      <c r="C579" t="s">
        <v>54</v>
      </c>
      <c r="D579" t="s">
        <v>2304</v>
      </c>
      <c r="E579" t="s">
        <v>546</v>
      </c>
      <c r="F579" t="s">
        <v>2305</v>
      </c>
      <c r="G579" t="s">
        <v>1208</v>
      </c>
      <c r="H579" t="s">
        <v>984</v>
      </c>
      <c r="I579">
        <f t="shared" ref="I579:I642" si="9">H579-G579</f>
        <v>3</v>
      </c>
      <c r="J579" t="s">
        <v>121</v>
      </c>
      <c r="K579" t="str" cm="1">
        <f t="array" ref="K579">_xlfn.SWITCH(TRIM(UPPER(J579)),
"BUSINESS", "Short Stay",
"CONFERENCE", "Medium Stay",
"VACATION", "Iong Stay",
"HOLIDAY", "Long Stay",
"V", "Leisure",
"UNKNOWN", "Unknown",
"Other")</f>
        <v>Iong Stay</v>
      </c>
    </row>
    <row r="580" spans="1:11" x14ac:dyDescent="0.3">
      <c r="A580" t="s">
        <v>2306</v>
      </c>
      <c r="B580" t="s">
        <v>347</v>
      </c>
      <c r="C580" t="s">
        <v>97</v>
      </c>
      <c r="D580" t="s">
        <v>2307</v>
      </c>
      <c r="E580" t="s">
        <v>117</v>
      </c>
      <c r="F580" t="s">
        <v>2308</v>
      </c>
      <c r="G580" t="s">
        <v>350</v>
      </c>
      <c r="H580" t="s">
        <v>351</v>
      </c>
      <c r="I580">
        <f t="shared" si="9"/>
        <v>4</v>
      </c>
      <c r="J580" t="s">
        <v>18</v>
      </c>
      <c r="K580" t="str" cm="1">
        <f t="array" ref="K580">_xlfn.SWITCH(TRIM(UPPER(J580)),
"BUSINESS", "Short Stay",
"CONFERENCE", "Medium Stay",
"VACATION", "Iong Stay",
"HOLIDAY", "Long Stay",
"V", "Leisure",
"UNKNOWN", "Unknown",
"Other")</f>
        <v>Short Stay</v>
      </c>
    </row>
    <row r="581" spans="1:11" x14ac:dyDescent="0.3">
      <c r="A581" t="s">
        <v>2309</v>
      </c>
      <c r="B581" t="s">
        <v>2178</v>
      </c>
      <c r="C581" t="s">
        <v>174</v>
      </c>
      <c r="D581" t="s">
        <v>2310</v>
      </c>
      <c r="E581" t="s">
        <v>14</v>
      </c>
      <c r="F581" t="s">
        <v>2311</v>
      </c>
      <c r="G581" t="s">
        <v>735</v>
      </c>
      <c r="H581" t="s">
        <v>1311</v>
      </c>
      <c r="I581">
        <f t="shared" si="9"/>
        <v>2</v>
      </c>
      <c r="J581" t="s">
        <v>44</v>
      </c>
      <c r="K581" t="str" cm="1">
        <f t="array" ref="K581">_xlfn.SWITCH(TRIM(UPPER(J581)),
"BUSINESS", "Short Stay",
"CONFERENCE", "Medium Stay",
"VACATION", "Iong Stay",
"HOLIDAY", "Long Stay",
"V", "Leisure",
"UNKNOWN", "Unknown",
"Other")</f>
        <v>Other</v>
      </c>
    </row>
    <row r="582" spans="1:11" x14ac:dyDescent="0.3">
      <c r="A582" t="s">
        <v>2312</v>
      </c>
      <c r="B582" t="s">
        <v>2146</v>
      </c>
      <c r="C582" t="s">
        <v>174</v>
      </c>
      <c r="D582" t="s">
        <v>836</v>
      </c>
      <c r="E582" t="s">
        <v>214</v>
      </c>
      <c r="F582" t="s">
        <v>2313</v>
      </c>
      <c r="G582" t="s">
        <v>328</v>
      </c>
      <c r="H582" t="s">
        <v>677</v>
      </c>
      <c r="I582">
        <f t="shared" si="9"/>
        <v>1</v>
      </c>
      <c r="J582" t="s">
        <v>18</v>
      </c>
      <c r="K582" t="str" cm="1">
        <f t="array" ref="K582">_xlfn.SWITCH(TRIM(UPPER(J582)),
"BUSINESS", "Short Stay",
"CONFERENCE", "Medium Stay",
"VACATION", "Iong Stay",
"HOLIDAY", "Long Stay",
"V", "Leisure",
"UNKNOWN", "Unknown",
"Other")</f>
        <v>Short Stay</v>
      </c>
    </row>
    <row r="583" spans="1:11" x14ac:dyDescent="0.3">
      <c r="A583" t="s">
        <v>2314</v>
      </c>
      <c r="B583" t="s">
        <v>2104</v>
      </c>
      <c r="C583" t="s">
        <v>12</v>
      </c>
      <c r="D583" t="s">
        <v>1892</v>
      </c>
      <c r="E583" t="s">
        <v>23</v>
      </c>
      <c r="F583" t="s">
        <v>2315</v>
      </c>
      <c r="G583" t="s">
        <v>2107</v>
      </c>
      <c r="H583" t="s">
        <v>989</v>
      </c>
      <c r="I583">
        <f t="shared" si="9"/>
        <v>5</v>
      </c>
      <c r="J583" t="s">
        <v>18</v>
      </c>
      <c r="K583" t="str" cm="1">
        <f t="array" ref="K583">_xlfn.SWITCH(TRIM(UPPER(J583)),
"BUSINESS", "Short Stay",
"CONFERENCE", "Medium Stay",
"VACATION", "Iong Stay",
"HOLIDAY", "Long Stay",
"V", "Leisure",
"UNKNOWN", "Unknown",
"Other")</f>
        <v>Short Stay</v>
      </c>
    </row>
    <row r="584" spans="1:11" x14ac:dyDescent="0.3">
      <c r="A584" t="s">
        <v>2316</v>
      </c>
      <c r="B584" t="s">
        <v>623</v>
      </c>
      <c r="C584" t="s">
        <v>61</v>
      </c>
      <c r="D584" t="s">
        <v>2317</v>
      </c>
      <c r="E584" t="s">
        <v>32</v>
      </c>
      <c r="F584" t="s">
        <v>2318</v>
      </c>
      <c r="G584" t="s">
        <v>625</v>
      </c>
      <c r="H584" t="s">
        <v>1347</v>
      </c>
      <c r="I584">
        <f t="shared" si="9"/>
        <v>2</v>
      </c>
      <c r="J584" t="s">
        <v>18</v>
      </c>
      <c r="K584" t="str" cm="1">
        <f t="array" ref="K584">_xlfn.SWITCH(TRIM(UPPER(J584)),
"BUSINESS", "Short Stay",
"CONFERENCE", "Medium Stay",
"VACATION", "Iong Stay",
"HOLIDAY", "Long Stay",
"V", "Leisure",
"UNKNOWN", "Unknown",
"Other")</f>
        <v>Short Stay</v>
      </c>
    </row>
    <row r="585" spans="1:11" x14ac:dyDescent="0.3">
      <c r="A585" t="s">
        <v>2319</v>
      </c>
      <c r="B585" t="s">
        <v>2001</v>
      </c>
      <c r="C585" t="s">
        <v>54</v>
      </c>
      <c r="D585" t="s">
        <v>934</v>
      </c>
      <c r="E585" t="s">
        <v>458</v>
      </c>
      <c r="F585" t="s">
        <v>2320</v>
      </c>
      <c r="G585" t="s">
        <v>1689</v>
      </c>
      <c r="H585" t="s">
        <v>908</v>
      </c>
      <c r="I585">
        <f t="shared" si="9"/>
        <v>4</v>
      </c>
      <c r="J585" t="s">
        <v>121</v>
      </c>
      <c r="K585" t="str" cm="1">
        <f t="array" ref="K585">_xlfn.SWITCH(TRIM(UPPER(J585)),
"BUSINESS", "Short Stay",
"CONFERENCE", "Medium Stay",
"VACATION", "Iong Stay",
"HOLIDAY", "Long Stay",
"V", "Leisure",
"UNKNOWN", "Unknown",
"Other")</f>
        <v>Iong Stay</v>
      </c>
    </row>
    <row r="586" spans="1:11" x14ac:dyDescent="0.3">
      <c r="A586" t="s">
        <v>2321</v>
      </c>
      <c r="B586" t="s">
        <v>2322</v>
      </c>
      <c r="C586" t="s">
        <v>61</v>
      </c>
      <c r="D586" t="s">
        <v>2323</v>
      </c>
      <c r="E586" t="s">
        <v>63</v>
      </c>
      <c r="F586" t="s">
        <v>2324</v>
      </c>
      <c r="G586" t="s">
        <v>485</v>
      </c>
      <c r="H586" t="s">
        <v>1225</v>
      </c>
      <c r="I586">
        <f t="shared" si="9"/>
        <v>3</v>
      </c>
      <c r="J586" t="s">
        <v>18</v>
      </c>
      <c r="K586" t="str" cm="1">
        <f t="array" ref="K586">_xlfn.SWITCH(TRIM(UPPER(J586)),
"BUSINESS", "Short Stay",
"CONFERENCE", "Medium Stay",
"VACATION", "Iong Stay",
"HOLIDAY", "Long Stay",
"V", "Leisure",
"UNKNOWN", "Unknown",
"Other")</f>
        <v>Short Stay</v>
      </c>
    </row>
    <row r="587" spans="1:11" x14ac:dyDescent="0.3">
      <c r="A587" t="s">
        <v>2325</v>
      </c>
      <c r="B587" t="s">
        <v>708</v>
      </c>
      <c r="C587" t="s">
        <v>54</v>
      </c>
      <c r="D587" t="s">
        <v>194</v>
      </c>
      <c r="E587" t="s">
        <v>458</v>
      </c>
      <c r="F587" t="s">
        <v>2326</v>
      </c>
      <c r="G587" t="s">
        <v>658</v>
      </c>
      <c r="H587" t="s">
        <v>951</v>
      </c>
      <c r="I587">
        <f t="shared" si="9"/>
        <v>5</v>
      </c>
      <c r="J587" t="s">
        <v>121</v>
      </c>
      <c r="K587" t="str" cm="1">
        <f t="array" ref="K587">_xlfn.SWITCH(TRIM(UPPER(J587)),
"BUSINESS", "Short Stay",
"CONFERENCE", "Medium Stay",
"VACATION", "Iong Stay",
"HOLIDAY", "Long Stay",
"V", "Leisure",
"UNKNOWN", "Unknown",
"Other")</f>
        <v>Iong Stay</v>
      </c>
    </row>
    <row r="588" spans="1:11" x14ac:dyDescent="0.3">
      <c r="A588" t="s">
        <v>2327</v>
      </c>
      <c r="B588" t="s">
        <v>2328</v>
      </c>
      <c r="C588" t="s">
        <v>54</v>
      </c>
      <c r="D588" t="s">
        <v>2329</v>
      </c>
      <c r="E588" t="s">
        <v>40</v>
      </c>
      <c r="F588" t="s">
        <v>2330</v>
      </c>
      <c r="G588" t="s">
        <v>533</v>
      </c>
      <c r="H588" t="s">
        <v>523</v>
      </c>
      <c r="I588">
        <f t="shared" si="9"/>
        <v>3</v>
      </c>
      <c r="J588" t="s">
        <v>18</v>
      </c>
      <c r="K588" t="str" cm="1">
        <f t="array" ref="K588">_xlfn.SWITCH(TRIM(UPPER(J588)),
"BUSINESS", "Short Stay",
"CONFERENCE", "Medium Stay",
"VACATION", "Iong Stay",
"HOLIDAY", "Long Stay",
"V", "Leisure",
"UNKNOWN", "Unknown",
"Other")</f>
        <v>Short Stay</v>
      </c>
    </row>
    <row r="589" spans="1:11" x14ac:dyDescent="0.3">
      <c r="A589" t="s">
        <v>2331</v>
      </c>
      <c r="B589" t="s">
        <v>1032</v>
      </c>
      <c r="C589" t="s">
        <v>12</v>
      </c>
      <c r="D589" t="s">
        <v>2332</v>
      </c>
      <c r="E589" t="s">
        <v>63</v>
      </c>
      <c r="F589" t="s">
        <v>2333</v>
      </c>
      <c r="G589" t="s">
        <v>1035</v>
      </c>
      <c r="H589" t="s">
        <v>744</v>
      </c>
      <c r="I589">
        <f t="shared" si="9"/>
        <v>1</v>
      </c>
      <c r="J589" t="s">
        <v>44</v>
      </c>
      <c r="K589" t="str" cm="1">
        <f t="array" ref="K589">_xlfn.SWITCH(TRIM(UPPER(J589)),
"BUSINESS", "Short Stay",
"CONFERENCE", "Medium Stay",
"VACATION", "Iong Stay",
"HOLIDAY", "Long Stay",
"V", "Leisure",
"UNKNOWN", "Unknown",
"Other")</f>
        <v>Other</v>
      </c>
    </row>
    <row r="590" spans="1:11" x14ac:dyDescent="0.3">
      <c r="A590" t="s">
        <v>2334</v>
      </c>
      <c r="B590" t="s">
        <v>2335</v>
      </c>
      <c r="C590" t="s">
        <v>174</v>
      </c>
      <c r="D590" t="s">
        <v>784</v>
      </c>
      <c r="E590" t="s">
        <v>85</v>
      </c>
      <c r="F590" t="s">
        <v>2336</v>
      </c>
      <c r="G590" t="s">
        <v>1826</v>
      </c>
      <c r="H590" t="s">
        <v>1768</v>
      </c>
      <c r="I590">
        <f t="shared" si="9"/>
        <v>2</v>
      </c>
      <c r="J590" t="s">
        <v>18</v>
      </c>
      <c r="K590" t="str" cm="1">
        <f t="array" ref="K590">_xlfn.SWITCH(TRIM(UPPER(J590)),
"BUSINESS", "Short Stay",
"CONFERENCE", "Medium Stay",
"VACATION", "Iong Stay",
"HOLIDAY", "Long Stay",
"V", "Leisure",
"UNKNOWN", "Unknown",
"Other")</f>
        <v>Short Stay</v>
      </c>
    </row>
    <row r="591" spans="1:11" x14ac:dyDescent="0.3">
      <c r="A591" t="s">
        <v>2337</v>
      </c>
      <c r="B591" t="s">
        <v>2338</v>
      </c>
      <c r="C591" t="s">
        <v>30</v>
      </c>
      <c r="D591" t="s">
        <v>1909</v>
      </c>
      <c r="E591" t="s">
        <v>176</v>
      </c>
      <c r="F591" t="s">
        <v>2339</v>
      </c>
      <c r="G591" t="s">
        <v>2340</v>
      </c>
      <c r="H591" t="s">
        <v>184</v>
      </c>
      <c r="I591">
        <f t="shared" si="9"/>
        <v>1</v>
      </c>
      <c r="J591" t="s">
        <v>44</v>
      </c>
      <c r="K591" t="str" cm="1">
        <f t="array" ref="K591">_xlfn.SWITCH(TRIM(UPPER(J591)),
"BUSINESS", "Short Stay",
"CONFERENCE", "Medium Stay",
"VACATION", "Iong Stay",
"HOLIDAY", "Long Stay",
"V", "Leisure",
"UNKNOWN", "Unknown",
"Other")</f>
        <v>Other</v>
      </c>
    </row>
    <row r="592" spans="1:11" x14ac:dyDescent="0.3">
      <c r="A592" t="s">
        <v>2341</v>
      </c>
      <c r="B592" t="s">
        <v>1997</v>
      </c>
      <c r="C592" t="s">
        <v>54</v>
      </c>
      <c r="D592" t="s">
        <v>1742</v>
      </c>
      <c r="E592" t="s">
        <v>40</v>
      </c>
      <c r="F592" t="s">
        <v>2342</v>
      </c>
      <c r="G592" t="s">
        <v>1199</v>
      </c>
      <c r="H592" t="s">
        <v>222</v>
      </c>
      <c r="I592">
        <f t="shared" si="9"/>
        <v>1</v>
      </c>
      <c r="J592" t="s">
        <v>121</v>
      </c>
      <c r="K592" t="str" cm="1">
        <f t="array" ref="K592">_xlfn.SWITCH(TRIM(UPPER(J592)),
"BUSINESS", "Short Stay",
"CONFERENCE", "Medium Stay",
"VACATION", "Iong Stay",
"HOLIDAY", "Long Stay",
"V", "Leisure",
"UNKNOWN", "Unknown",
"Other")</f>
        <v>Iong Stay</v>
      </c>
    </row>
    <row r="593" spans="1:11" x14ac:dyDescent="0.3">
      <c r="A593" t="s">
        <v>2343</v>
      </c>
      <c r="B593" t="s">
        <v>708</v>
      </c>
      <c r="C593" t="s">
        <v>61</v>
      </c>
      <c r="D593" t="s">
        <v>2344</v>
      </c>
      <c r="E593" t="s">
        <v>14</v>
      </c>
      <c r="F593" t="s">
        <v>2345</v>
      </c>
      <c r="G593" t="s">
        <v>658</v>
      </c>
      <c r="H593" t="s">
        <v>951</v>
      </c>
      <c r="I593">
        <f t="shared" si="9"/>
        <v>5</v>
      </c>
      <c r="J593" t="s">
        <v>121</v>
      </c>
      <c r="K593" t="str" cm="1">
        <f t="array" ref="K593">_xlfn.SWITCH(TRIM(UPPER(J593)),
"BUSINESS", "Short Stay",
"CONFERENCE", "Medium Stay",
"VACATION", "Iong Stay",
"HOLIDAY", "Long Stay",
"V", "Leisure",
"UNKNOWN", "Unknown",
"Other")</f>
        <v>Iong Stay</v>
      </c>
    </row>
    <row r="594" spans="1:11" x14ac:dyDescent="0.3">
      <c r="A594" t="s">
        <v>2346</v>
      </c>
      <c r="B594" t="s">
        <v>831</v>
      </c>
      <c r="C594" t="s">
        <v>54</v>
      </c>
      <c r="D594" t="s">
        <v>2347</v>
      </c>
      <c r="E594" t="s">
        <v>77</v>
      </c>
      <c r="F594" t="s">
        <v>2348</v>
      </c>
      <c r="G594" t="s">
        <v>369</v>
      </c>
      <c r="H594" t="s">
        <v>730</v>
      </c>
      <c r="I594">
        <f t="shared" si="9"/>
        <v>4</v>
      </c>
      <c r="J594" t="s">
        <v>44</v>
      </c>
      <c r="K594" t="str" cm="1">
        <f t="array" ref="K594">_xlfn.SWITCH(TRIM(UPPER(J594)),
"BUSINESS", "Short Stay",
"CONFERENCE", "Medium Stay",
"VACATION", "Iong Stay",
"HOLIDAY", "Long Stay",
"V", "Leisure",
"UNKNOWN", "Unknown",
"Other")</f>
        <v>Other</v>
      </c>
    </row>
    <row r="595" spans="1:11" x14ac:dyDescent="0.3">
      <c r="A595" t="s">
        <v>2349</v>
      </c>
      <c r="B595" t="s">
        <v>772</v>
      </c>
      <c r="C595" t="s">
        <v>174</v>
      </c>
      <c r="D595" t="s">
        <v>2350</v>
      </c>
      <c r="E595" t="s">
        <v>546</v>
      </c>
      <c r="F595" t="s">
        <v>2351</v>
      </c>
      <c r="G595" t="s">
        <v>775</v>
      </c>
      <c r="H595" t="s">
        <v>190</v>
      </c>
      <c r="I595">
        <f t="shared" si="9"/>
        <v>2</v>
      </c>
      <c r="J595" t="s">
        <v>27</v>
      </c>
      <c r="K595" t="str" cm="1">
        <f t="array" ref="K595">_xlfn.SWITCH(TRIM(UPPER(J595)),
"BUSINESS", "Short Stay",
"CONFERENCE", "Medium Stay",
"VACATION", "Iong Stay",
"HOLIDAY", "Long Stay",
"V", "Leisure",
"UNKNOWN", "Unknown",
"Other")</f>
        <v>Medium Stay</v>
      </c>
    </row>
    <row r="596" spans="1:11" x14ac:dyDescent="0.3">
      <c r="A596" t="s">
        <v>2352</v>
      </c>
      <c r="B596" t="s">
        <v>1869</v>
      </c>
      <c r="C596" t="s">
        <v>61</v>
      </c>
      <c r="D596" t="s">
        <v>2353</v>
      </c>
      <c r="E596" t="s">
        <v>430</v>
      </c>
      <c r="F596" t="s">
        <v>2354</v>
      </c>
      <c r="G596" t="s">
        <v>404</v>
      </c>
      <c r="H596" t="s">
        <v>946</v>
      </c>
      <c r="I596">
        <f t="shared" si="9"/>
        <v>1</v>
      </c>
      <c r="J596" t="s">
        <v>44</v>
      </c>
      <c r="K596" t="str" cm="1">
        <f t="array" ref="K596">_xlfn.SWITCH(TRIM(UPPER(J596)),
"BUSINESS", "Short Stay",
"CONFERENCE", "Medium Stay",
"VACATION", "Iong Stay",
"HOLIDAY", "Long Stay",
"V", "Leisure",
"UNKNOWN", "Unknown",
"Other")</f>
        <v>Other</v>
      </c>
    </row>
    <row r="597" spans="1:11" x14ac:dyDescent="0.3">
      <c r="A597" t="s">
        <v>2355</v>
      </c>
      <c r="B597" t="s">
        <v>2356</v>
      </c>
      <c r="C597" t="s">
        <v>12</v>
      </c>
      <c r="D597" t="s">
        <v>2357</v>
      </c>
      <c r="E597" t="s">
        <v>430</v>
      </c>
      <c r="F597" t="s">
        <v>2358</v>
      </c>
      <c r="G597" t="s">
        <v>856</v>
      </c>
      <c r="H597" t="s">
        <v>501</v>
      </c>
      <c r="I597">
        <f t="shared" si="9"/>
        <v>2</v>
      </c>
      <c r="J597" t="s">
        <v>121</v>
      </c>
      <c r="K597" t="str" cm="1">
        <f t="array" ref="K597">_xlfn.SWITCH(TRIM(UPPER(J597)),
"BUSINESS", "Short Stay",
"CONFERENCE", "Medium Stay",
"VACATION", "Iong Stay",
"HOLIDAY", "Long Stay",
"V", "Leisure",
"UNKNOWN", "Unknown",
"Other")</f>
        <v>Iong Stay</v>
      </c>
    </row>
    <row r="598" spans="1:11" x14ac:dyDescent="0.3">
      <c r="A598" t="s">
        <v>2359</v>
      </c>
      <c r="B598" t="s">
        <v>1302</v>
      </c>
      <c r="C598" t="s">
        <v>174</v>
      </c>
      <c r="D598" t="s">
        <v>2360</v>
      </c>
      <c r="E598" t="s">
        <v>149</v>
      </c>
      <c r="F598" t="s">
        <v>2361</v>
      </c>
      <c r="G598" t="s">
        <v>1304</v>
      </c>
      <c r="H598" t="s">
        <v>1260</v>
      </c>
      <c r="I598">
        <f t="shared" si="9"/>
        <v>5</v>
      </c>
      <c r="J598" t="s">
        <v>27</v>
      </c>
      <c r="K598" t="str" cm="1">
        <f t="array" ref="K598">_xlfn.SWITCH(TRIM(UPPER(J598)),
"BUSINESS", "Short Stay",
"CONFERENCE", "Medium Stay",
"VACATION", "Iong Stay",
"HOLIDAY", "Long Stay",
"V", "Leisure",
"UNKNOWN", "Unknown",
"Other")</f>
        <v>Medium Stay</v>
      </c>
    </row>
    <row r="599" spans="1:11" x14ac:dyDescent="0.3">
      <c r="A599" t="s">
        <v>2362</v>
      </c>
      <c r="B599" t="s">
        <v>2363</v>
      </c>
      <c r="C599" t="s">
        <v>21</v>
      </c>
      <c r="D599" t="s">
        <v>213</v>
      </c>
      <c r="E599" t="s">
        <v>149</v>
      </c>
      <c r="F599" t="s">
        <v>2364</v>
      </c>
      <c r="G599" t="s">
        <v>357</v>
      </c>
      <c r="H599" t="s">
        <v>936</v>
      </c>
      <c r="I599">
        <f t="shared" si="9"/>
        <v>1</v>
      </c>
      <c r="J599" t="s">
        <v>18</v>
      </c>
      <c r="K599" t="str" cm="1">
        <f t="array" ref="K599">_xlfn.SWITCH(TRIM(UPPER(J599)),
"BUSINESS", "Short Stay",
"CONFERENCE", "Medium Stay",
"VACATION", "Iong Stay",
"HOLIDAY", "Long Stay",
"V", "Leisure",
"UNKNOWN", "Unknown",
"Other")</f>
        <v>Short Stay</v>
      </c>
    </row>
    <row r="600" spans="1:11" x14ac:dyDescent="0.3">
      <c r="A600" t="s">
        <v>2365</v>
      </c>
      <c r="B600" t="s">
        <v>440</v>
      </c>
      <c r="C600" t="s">
        <v>38</v>
      </c>
      <c r="D600" t="s">
        <v>2366</v>
      </c>
      <c r="E600" t="s">
        <v>176</v>
      </c>
      <c r="F600" t="s">
        <v>2367</v>
      </c>
      <c r="G600" t="s">
        <v>94</v>
      </c>
      <c r="H600" t="s">
        <v>730</v>
      </c>
      <c r="I600">
        <f t="shared" si="9"/>
        <v>1</v>
      </c>
      <c r="J600" t="s">
        <v>121</v>
      </c>
      <c r="K600" t="str" cm="1">
        <f t="array" ref="K600">_xlfn.SWITCH(TRIM(UPPER(J600)),
"BUSINESS", "Short Stay",
"CONFERENCE", "Medium Stay",
"VACATION", "Iong Stay",
"HOLIDAY", "Long Stay",
"V", "Leisure",
"UNKNOWN", "Unknown",
"Other")</f>
        <v>Iong Stay</v>
      </c>
    </row>
    <row r="601" spans="1:11" x14ac:dyDescent="0.3">
      <c r="A601" t="s">
        <v>2368</v>
      </c>
      <c r="B601" t="s">
        <v>241</v>
      </c>
      <c r="C601" t="s">
        <v>83</v>
      </c>
      <c r="D601" t="s">
        <v>939</v>
      </c>
      <c r="E601" t="s">
        <v>156</v>
      </c>
      <c r="F601" t="s">
        <v>2369</v>
      </c>
      <c r="G601" t="s">
        <v>244</v>
      </c>
      <c r="H601" t="s">
        <v>350</v>
      </c>
      <c r="I601">
        <f t="shared" si="9"/>
        <v>2</v>
      </c>
      <c r="J601" t="s">
        <v>121</v>
      </c>
      <c r="K601" t="str" cm="1">
        <f t="array" ref="K601">_xlfn.SWITCH(TRIM(UPPER(J601)),
"BUSINESS", "Short Stay",
"CONFERENCE", "Medium Stay",
"VACATION", "Iong Stay",
"HOLIDAY", "Long Stay",
"V", "Leisure",
"UNKNOWN", "Unknown",
"Other")</f>
        <v>Iong Stay</v>
      </c>
    </row>
    <row r="602" spans="1:11" x14ac:dyDescent="0.3">
      <c r="A602" t="s">
        <v>2370</v>
      </c>
      <c r="B602" t="s">
        <v>1178</v>
      </c>
      <c r="C602" t="s">
        <v>30</v>
      </c>
      <c r="D602" t="s">
        <v>2371</v>
      </c>
      <c r="E602" t="s">
        <v>32</v>
      </c>
      <c r="F602" t="s">
        <v>2372</v>
      </c>
      <c r="G602" t="s">
        <v>1181</v>
      </c>
      <c r="H602" t="s">
        <v>399</v>
      </c>
      <c r="I602">
        <f t="shared" si="9"/>
        <v>5</v>
      </c>
      <c r="J602" t="s">
        <v>44</v>
      </c>
      <c r="K602" t="str" cm="1">
        <f t="array" ref="K602">_xlfn.SWITCH(TRIM(UPPER(J602)),
"BUSINESS", "Short Stay",
"CONFERENCE", "Medium Stay",
"VACATION", "Iong Stay",
"HOLIDAY", "Long Stay",
"V", "Leisure",
"UNKNOWN", "Unknown",
"Other")</f>
        <v>Other</v>
      </c>
    </row>
    <row r="603" spans="1:11" x14ac:dyDescent="0.3">
      <c r="A603" t="s">
        <v>2373</v>
      </c>
      <c r="B603" t="s">
        <v>2374</v>
      </c>
      <c r="C603" t="s">
        <v>97</v>
      </c>
      <c r="D603" t="s">
        <v>2375</v>
      </c>
      <c r="E603" t="s">
        <v>149</v>
      </c>
      <c r="F603" t="s">
        <v>2376</v>
      </c>
      <c r="G603" t="s">
        <v>113</v>
      </c>
      <c r="H603" t="s">
        <v>426</v>
      </c>
      <c r="I603">
        <f t="shared" si="9"/>
        <v>1</v>
      </c>
      <c r="J603" t="s">
        <v>18</v>
      </c>
      <c r="K603" t="str" cm="1">
        <f t="array" ref="K603">_xlfn.SWITCH(TRIM(UPPER(J603)),
"BUSINESS", "Short Stay",
"CONFERENCE", "Medium Stay",
"VACATION", "Iong Stay",
"HOLIDAY", "Long Stay",
"V", "Leisure",
"UNKNOWN", "Unknown",
"Other")</f>
        <v>Short Stay</v>
      </c>
    </row>
    <row r="604" spans="1:11" x14ac:dyDescent="0.3">
      <c r="A604" t="s">
        <v>2377</v>
      </c>
      <c r="B604" t="s">
        <v>674</v>
      </c>
      <c r="C604" t="s">
        <v>38</v>
      </c>
      <c r="D604" t="s">
        <v>1628</v>
      </c>
      <c r="E604" t="s">
        <v>458</v>
      </c>
      <c r="F604" t="s">
        <v>2378</v>
      </c>
      <c r="G604" t="s">
        <v>677</v>
      </c>
      <c r="H604" t="s">
        <v>1793</v>
      </c>
      <c r="I604">
        <f t="shared" si="9"/>
        <v>5</v>
      </c>
      <c r="J604" t="s">
        <v>18</v>
      </c>
      <c r="K604" t="str" cm="1">
        <f t="array" ref="K604">_xlfn.SWITCH(TRIM(UPPER(J604)),
"BUSINESS", "Short Stay",
"CONFERENCE", "Medium Stay",
"VACATION", "Iong Stay",
"HOLIDAY", "Long Stay",
"V", "Leisure",
"UNKNOWN", "Unknown",
"Other")</f>
        <v>Short Stay</v>
      </c>
    </row>
    <row r="605" spans="1:11" x14ac:dyDescent="0.3">
      <c r="A605" t="s">
        <v>2379</v>
      </c>
      <c r="B605" t="s">
        <v>717</v>
      </c>
      <c r="C605" t="s">
        <v>174</v>
      </c>
      <c r="D605" t="s">
        <v>2380</v>
      </c>
      <c r="E605" t="s">
        <v>149</v>
      </c>
      <c r="F605" t="s">
        <v>2381</v>
      </c>
      <c r="G605" t="s">
        <v>719</v>
      </c>
      <c r="H605" t="s">
        <v>686</v>
      </c>
      <c r="I605">
        <f t="shared" si="9"/>
        <v>1</v>
      </c>
      <c r="J605" t="s">
        <v>27</v>
      </c>
      <c r="K605" t="str" cm="1">
        <f t="array" ref="K605">_xlfn.SWITCH(TRIM(UPPER(J605)),
"BUSINESS", "Short Stay",
"CONFERENCE", "Medium Stay",
"VACATION", "Iong Stay",
"HOLIDAY", "Long Stay",
"V", "Leisure",
"UNKNOWN", "Unknown",
"Other")</f>
        <v>Medium Stay</v>
      </c>
    </row>
    <row r="606" spans="1:11" x14ac:dyDescent="0.3">
      <c r="A606" t="s">
        <v>2382</v>
      </c>
      <c r="B606" t="s">
        <v>2104</v>
      </c>
      <c r="C606" t="s">
        <v>61</v>
      </c>
      <c r="D606" t="s">
        <v>2383</v>
      </c>
      <c r="E606" t="s">
        <v>63</v>
      </c>
      <c r="F606" t="s">
        <v>2384</v>
      </c>
      <c r="G606" t="s">
        <v>2107</v>
      </c>
      <c r="H606" t="s">
        <v>363</v>
      </c>
      <c r="I606">
        <f t="shared" si="9"/>
        <v>4</v>
      </c>
      <c r="J606" t="s">
        <v>44</v>
      </c>
      <c r="K606" t="str" cm="1">
        <f t="array" ref="K606">_xlfn.SWITCH(TRIM(UPPER(J606)),
"BUSINESS", "Short Stay",
"CONFERENCE", "Medium Stay",
"VACATION", "Iong Stay",
"HOLIDAY", "Long Stay",
"V", "Leisure",
"UNKNOWN", "Unknown",
"Other")</f>
        <v>Other</v>
      </c>
    </row>
    <row r="607" spans="1:11" x14ac:dyDescent="0.3">
      <c r="A607" t="s">
        <v>2385</v>
      </c>
      <c r="B607" t="s">
        <v>905</v>
      </c>
      <c r="C607" t="s">
        <v>75</v>
      </c>
      <c r="D607" t="s">
        <v>2386</v>
      </c>
      <c r="E607" t="s">
        <v>48</v>
      </c>
      <c r="F607" t="s">
        <v>2387</v>
      </c>
      <c r="G607" t="s">
        <v>539</v>
      </c>
      <c r="H607" t="s">
        <v>908</v>
      </c>
      <c r="I607">
        <f t="shared" si="9"/>
        <v>2</v>
      </c>
      <c r="J607" t="s">
        <v>121</v>
      </c>
      <c r="K607" t="str" cm="1">
        <f t="array" ref="K607">_xlfn.SWITCH(TRIM(UPPER(J607)),
"BUSINESS", "Short Stay",
"CONFERENCE", "Medium Stay",
"VACATION", "Iong Stay",
"HOLIDAY", "Long Stay",
"V", "Leisure",
"UNKNOWN", "Unknown",
"Other")</f>
        <v>Iong Stay</v>
      </c>
    </row>
    <row r="608" spans="1:11" x14ac:dyDescent="0.3">
      <c r="A608" t="s">
        <v>2388</v>
      </c>
      <c r="B608" t="s">
        <v>2328</v>
      </c>
      <c r="C608" t="s">
        <v>75</v>
      </c>
      <c r="D608" t="s">
        <v>2389</v>
      </c>
      <c r="E608" t="s">
        <v>201</v>
      </c>
      <c r="F608" t="s">
        <v>2390</v>
      </c>
      <c r="G608" t="s">
        <v>533</v>
      </c>
      <c r="H608" t="s">
        <v>523</v>
      </c>
      <c r="I608">
        <f t="shared" si="9"/>
        <v>3</v>
      </c>
      <c r="J608" t="s">
        <v>18</v>
      </c>
      <c r="K608" t="str" cm="1">
        <f t="array" ref="K608">_xlfn.SWITCH(TRIM(UPPER(J608)),
"BUSINESS", "Short Stay",
"CONFERENCE", "Medium Stay",
"VACATION", "Iong Stay",
"HOLIDAY", "Long Stay",
"V", "Leisure",
"UNKNOWN", "Unknown",
"Other")</f>
        <v>Short Stay</v>
      </c>
    </row>
    <row r="609" spans="1:11" x14ac:dyDescent="0.3">
      <c r="A609" t="s">
        <v>2391</v>
      </c>
      <c r="B609" t="s">
        <v>2392</v>
      </c>
      <c r="C609" t="s">
        <v>21</v>
      </c>
      <c r="D609" t="s">
        <v>1719</v>
      </c>
      <c r="E609" t="s">
        <v>77</v>
      </c>
      <c r="F609" t="s">
        <v>2393</v>
      </c>
      <c r="G609" t="s">
        <v>1833</v>
      </c>
      <c r="H609" t="s">
        <v>1090</v>
      </c>
      <c r="I609">
        <f t="shared" si="9"/>
        <v>3</v>
      </c>
      <c r="J609" t="s">
        <v>121</v>
      </c>
      <c r="K609" t="str" cm="1">
        <f t="array" ref="K609">_xlfn.SWITCH(TRIM(UPPER(J609)),
"BUSINESS", "Short Stay",
"CONFERENCE", "Medium Stay",
"VACATION", "Iong Stay",
"HOLIDAY", "Long Stay",
"V", "Leisure",
"UNKNOWN", "Unknown",
"Other")</f>
        <v>Iong Stay</v>
      </c>
    </row>
    <row r="610" spans="1:11" x14ac:dyDescent="0.3">
      <c r="A610" t="s">
        <v>2394</v>
      </c>
      <c r="B610" t="s">
        <v>2395</v>
      </c>
      <c r="C610" t="s">
        <v>174</v>
      </c>
      <c r="D610" t="s">
        <v>2396</v>
      </c>
      <c r="E610" t="s">
        <v>546</v>
      </c>
      <c r="F610" t="s">
        <v>2397</v>
      </c>
      <c r="G610" t="s">
        <v>2398</v>
      </c>
      <c r="H610" t="s">
        <v>744</v>
      </c>
      <c r="I610">
        <f t="shared" si="9"/>
        <v>4</v>
      </c>
      <c r="J610" t="s">
        <v>44</v>
      </c>
      <c r="K610" t="str" cm="1">
        <f t="array" ref="K610">_xlfn.SWITCH(TRIM(UPPER(J610)),
"BUSINESS", "Short Stay",
"CONFERENCE", "Medium Stay",
"VACATION", "Iong Stay",
"HOLIDAY", "Long Stay",
"V", "Leisure",
"UNKNOWN", "Unknown",
"Other")</f>
        <v>Other</v>
      </c>
    </row>
    <row r="611" spans="1:11" x14ac:dyDescent="0.3">
      <c r="A611" t="s">
        <v>2399</v>
      </c>
      <c r="B611" t="s">
        <v>1162</v>
      </c>
      <c r="C611" t="s">
        <v>21</v>
      </c>
      <c r="D611" t="s">
        <v>2400</v>
      </c>
      <c r="E611" t="s">
        <v>430</v>
      </c>
      <c r="F611" t="s">
        <v>2401</v>
      </c>
      <c r="G611" t="s">
        <v>1164</v>
      </c>
      <c r="H611" t="s">
        <v>1160</v>
      </c>
      <c r="I611">
        <f t="shared" si="9"/>
        <v>5</v>
      </c>
      <c r="J611" t="s">
        <v>44</v>
      </c>
      <c r="K611" t="str" cm="1">
        <f t="array" ref="K611">_xlfn.SWITCH(TRIM(UPPER(J611)),
"BUSINESS", "Short Stay",
"CONFERENCE", "Medium Stay",
"VACATION", "Iong Stay",
"HOLIDAY", "Long Stay",
"V", "Leisure",
"UNKNOWN", "Unknown",
"Other")</f>
        <v>Other</v>
      </c>
    </row>
    <row r="612" spans="1:11" x14ac:dyDescent="0.3">
      <c r="A612" t="s">
        <v>2402</v>
      </c>
      <c r="B612" t="s">
        <v>1231</v>
      </c>
      <c r="C612" t="s">
        <v>21</v>
      </c>
      <c r="D612" t="s">
        <v>2403</v>
      </c>
      <c r="E612" t="s">
        <v>85</v>
      </c>
      <c r="F612" t="s">
        <v>2404</v>
      </c>
      <c r="G612" t="s">
        <v>1234</v>
      </c>
      <c r="H612" t="s">
        <v>170</v>
      </c>
      <c r="I612">
        <f t="shared" si="9"/>
        <v>5</v>
      </c>
      <c r="J612" t="s">
        <v>44</v>
      </c>
      <c r="K612" t="str" cm="1">
        <f t="array" ref="K612">_xlfn.SWITCH(TRIM(UPPER(J612)),
"BUSINESS", "Short Stay",
"CONFERENCE", "Medium Stay",
"VACATION", "Iong Stay",
"HOLIDAY", "Long Stay",
"V", "Leisure",
"UNKNOWN", "Unknown",
"Other")</f>
        <v>Other</v>
      </c>
    </row>
    <row r="613" spans="1:11" x14ac:dyDescent="0.3">
      <c r="A613" t="s">
        <v>2405</v>
      </c>
      <c r="B613" t="s">
        <v>1245</v>
      </c>
      <c r="C613" t="s">
        <v>21</v>
      </c>
      <c r="D613" t="s">
        <v>1383</v>
      </c>
      <c r="E613" t="s">
        <v>314</v>
      </c>
      <c r="F613" t="s">
        <v>2406</v>
      </c>
      <c r="G613" t="s">
        <v>1248</v>
      </c>
      <c r="H613" t="s">
        <v>553</v>
      </c>
      <c r="I613">
        <f t="shared" si="9"/>
        <v>5</v>
      </c>
      <c r="J613" t="s">
        <v>18</v>
      </c>
      <c r="K613" t="str" cm="1">
        <f t="array" ref="K613">_xlfn.SWITCH(TRIM(UPPER(J613)),
"BUSINESS", "Short Stay",
"CONFERENCE", "Medium Stay",
"VACATION", "Iong Stay",
"HOLIDAY", "Long Stay",
"V", "Leisure",
"UNKNOWN", "Unknown",
"Other")</f>
        <v>Short Stay</v>
      </c>
    </row>
    <row r="614" spans="1:11" x14ac:dyDescent="0.3">
      <c r="A614" t="s">
        <v>2407</v>
      </c>
      <c r="B614" t="s">
        <v>273</v>
      </c>
      <c r="C614" t="s">
        <v>61</v>
      </c>
      <c r="D614" t="s">
        <v>2408</v>
      </c>
      <c r="E614" t="s">
        <v>214</v>
      </c>
      <c r="F614" t="s">
        <v>2409</v>
      </c>
      <c r="G614" t="s">
        <v>276</v>
      </c>
      <c r="H614" t="s">
        <v>1176</v>
      </c>
      <c r="I614">
        <f t="shared" si="9"/>
        <v>4</v>
      </c>
      <c r="J614" t="s">
        <v>121</v>
      </c>
      <c r="K614" t="str" cm="1">
        <f t="array" ref="K614">_xlfn.SWITCH(TRIM(UPPER(J614)),
"BUSINESS", "Short Stay",
"CONFERENCE", "Medium Stay",
"VACATION", "Iong Stay",
"HOLIDAY", "Long Stay",
"V", "Leisure",
"UNKNOWN", "Unknown",
"Other")</f>
        <v>Iong Stay</v>
      </c>
    </row>
    <row r="615" spans="1:11" x14ac:dyDescent="0.3">
      <c r="A615" t="s">
        <v>2410</v>
      </c>
      <c r="B615" t="s">
        <v>465</v>
      </c>
      <c r="C615" t="s">
        <v>83</v>
      </c>
      <c r="D615" t="s">
        <v>1802</v>
      </c>
      <c r="E615" t="s">
        <v>117</v>
      </c>
      <c r="F615" t="s">
        <v>2411</v>
      </c>
      <c r="G615" t="s">
        <v>468</v>
      </c>
      <c r="H615" t="s">
        <v>421</v>
      </c>
      <c r="I615">
        <f t="shared" si="9"/>
        <v>2</v>
      </c>
      <c r="J615" t="s">
        <v>44</v>
      </c>
      <c r="K615" t="str" cm="1">
        <f t="array" ref="K615">_xlfn.SWITCH(TRIM(UPPER(J615)),
"BUSINESS", "Short Stay",
"CONFERENCE", "Medium Stay",
"VACATION", "Iong Stay",
"HOLIDAY", "Long Stay",
"V", "Leisure",
"UNKNOWN", "Unknown",
"Other")</f>
        <v>Other</v>
      </c>
    </row>
    <row r="616" spans="1:11" x14ac:dyDescent="0.3">
      <c r="A616" t="s">
        <v>2412</v>
      </c>
      <c r="B616" t="s">
        <v>2413</v>
      </c>
      <c r="C616" t="s">
        <v>30</v>
      </c>
      <c r="D616" t="s">
        <v>581</v>
      </c>
      <c r="E616" t="s">
        <v>23</v>
      </c>
      <c r="F616" t="s">
        <v>2414</v>
      </c>
      <c r="G616" t="s">
        <v>739</v>
      </c>
      <c r="H616" t="s">
        <v>635</v>
      </c>
      <c r="I616">
        <f t="shared" si="9"/>
        <v>1</v>
      </c>
      <c r="J616" t="s">
        <v>44</v>
      </c>
      <c r="K616" t="str" cm="1">
        <f t="array" ref="K616">_xlfn.SWITCH(TRIM(UPPER(J616)),
"BUSINESS", "Short Stay",
"CONFERENCE", "Medium Stay",
"VACATION", "Iong Stay",
"HOLIDAY", "Long Stay",
"V", "Leisure",
"UNKNOWN", "Unknown",
"Other")</f>
        <v>Other</v>
      </c>
    </row>
    <row r="617" spans="1:11" x14ac:dyDescent="0.3">
      <c r="A617" t="s">
        <v>2415</v>
      </c>
      <c r="B617" t="s">
        <v>224</v>
      </c>
      <c r="C617" t="s">
        <v>30</v>
      </c>
      <c r="D617" t="s">
        <v>2416</v>
      </c>
      <c r="E617" t="s">
        <v>176</v>
      </c>
      <c r="F617" t="s">
        <v>2417</v>
      </c>
      <c r="G617" t="s">
        <v>227</v>
      </c>
      <c r="H617" t="s">
        <v>1199</v>
      </c>
      <c r="I617">
        <f t="shared" si="9"/>
        <v>5</v>
      </c>
      <c r="J617" t="s">
        <v>18</v>
      </c>
      <c r="K617" t="str" cm="1">
        <f t="array" ref="K617">_xlfn.SWITCH(TRIM(UPPER(J617)),
"BUSINESS", "Short Stay",
"CONFERENCE", "Medium Stay",
"VACATION", "Iong Stay",
"HOLIDAY", "Long Stay",
"V", "Leisure",
"UNKNOWN", "Unknown",
"Other")</f>
        <v>Short Stay</v>
      </c>
    </row>
    <row r="618" spans="1:11" x14ac:dyDescent="0.3">
      <c r="A618" t="s">
        <v>2418</v>
      </c>
      <c r="B618" t="s">
        <v>389</v>
      </c>
      <c r="C618" t="s">
        <v>38</v>
      </c>
      <c r="D618" t="s">
        <v>475</v>
      </c>
      <c r="E618" t="s">
        <v>201</v>
      </c>
      <c r="F618" t="s">
        <v>2419</v>
      </c>
      <c r="G618" t="s">
        <v>392</v>
      </c>
      <c r="H618" t="s">
        <v>393</v>
      </c>
      <c r="I618">
        <f t="shared" si="9"/>
        <v>4</v>
      </c>
      <c r="J618" t="s">
        <v>27</v>
      </c>
      <c r="K618" t="str" cm="1">
        <f t="array" ref="K618">_xlfn.SWITCH(TRIM(UPPER(J618)),
"BUSINESS", "Short Stay",
"CONFERENCE", "Medium Stay",
"VACATION", "Iong Stay",
"HOLIDAY", "Long Stay",
"V", "Leisure",
"UNKNOWN", "Unknown",
"Other")</f>
        <v>Medium Stay</v>
      </c>
    </row>
    <row r="619" spans="1:11" x14ac:dyDescent="0.3">
      <c r="A619" t="s">
        <v>2420</v>
      </c>
      <c r="B619" t="s">
        <v>805</v>
      </c>
      <c r="C619" t="s">
        <v>21</v>
      </c>
      <c r="D619" t="s">
        <v>1998</v>
      </c>
      <c r="E619" t="s">
        <v>458</v>
      </c>
      <c r="F619" t="s">
        <v>2421</v>
      </c>
      <c r="G619" t="s">
        <v>502</v>
      </c>
      <c r="H619" t="s">
        <v>101</v>
      </c>
      <c r="I619">
        <f t="shared" si="9"/>
        <v>5</v>
      </c>
      <c r="J619" t="s">
        <v>27</v>
      </c>
      <c r="K619" t="str" cm="1">
        <f t="array" ref="K619">_xlfn.SWITCH(TRIM(UPPER(J619)),
"BUSINESS", "Short Stay",
"CONFERENCE", "Medium Stay",
"VACATION", "Iong Stay",
"HOLIDAY", "Long Stay",
"V", "Leisure",
"UNKNOWN", "Unknown",
"Other")</f>
        <v>Medium Stay</v>
      </c>
    </row>
    <row r="620" spans="1:11" x14ac:dyDescent="0.3">
      <c r="A620" t="s">
        <v>2422</v>
      </c>
      <c r="B620" t="s">
        <v>2423</v>
      </c>
      <c r="C620" t="s">
        <v>61</v>
      </c>
      <c r="D620" t="s">
        <v>2386</v>
      </c>
      <c r="E620" t="s">
        <v>32</v>
      </c>
      <c r="F620" t="s">
        <v>2424</v>
      </c>
      <c r="G620" t="s">
        <v>621</v>
      </c>
      <c r="H620" t="s">
        <v>1073</v>
      </c>
      <c r="I620">
        <f t="shared" si="9"/>
        <v>5</v>
      </c>
      <c r="J620" t="s">
        <v>18</v>
      </c>
      <c r="K620" t="str" cm="1">
        <f t="array" ref="K620">_xlfn.SWITCH(TRIM(UPPER(J620)),
"BUSINESS", "Short Stay",
"CONFERENCE", "Medium Stay",
"VACATION", "Iong Stay",
"HOLIDAY", "Long Stay",
"V", "Leisure",
"UNKNOWN", "Unknown",
"Other")</f>
        <v>Short Stay</v>
      </c>
    </row>
    <row r="621" spans="1:11" x14ac:dyDescent="0.3">
      <c r="A621" t="s">
        <v>2425</v>
      </c>
      <c r="B621" t="s">
        <v>187</v>
      </c>
      <c r="C621" t="s">
        <v>97</v>
      </c>
      <c r="D621" t="s">
        <v>2426</v>
      </c>
      <c r="E621" t="s">
        <v>430</v>
      </c>
      <c r="F621" t="s">
        <v>2427</v>
      </c>
      <c r="G621" t="s">
        <v>190</v>
      </c>
      <c r="H621" t="s">
        <v>448</v>
      </c>
      <c r="I621">
        <f t="shared" si="9"/>
        <v>3</v>
      </c>
      <c r="J621" t="s">
        <v>121</v>
      </c>
      <c r="K621" t="str" cm="1">
        <f t="array" ref="K621">_xlfn.SWITCH(TRIM(UPPER(J621)),
"BUSINESS", "Short Stay",
"CONFERENCE", "Medium Stay",
"VACATION", "Iong Stay",
"HOLIDAY", "Long Stay",
"V", "Leisure",
"UNKNOWN", "Unknown",
"Other")</f>
        <v>Iong Stay</v>
      </c>
    </row>
    <row r="622" spans="1:11" x14ac:dyDescent="0.3">
      <c r="A622" t="s">
        <v>2428</v>
      </c>
      <c r="B622" t="s">
        <v>1093</v>
      </c>
      <c r="C622" t="s">
        <v>12</v>
      </c>
      <c r="D622" t="s">
        <v>2429</v>
      </c>
      <c r="E622" t="s">
        <v>117</v>
      </c>
      <c r="F622" t="s">
        <v>2430</v>
      </c>
      <c r="G622" t="s">
        <v>1096</v>
      </c>
      <c r="H622" t="s">
        <v>1226</v>
      </c>
      <c r="I622">
        <f t="shared" si="9"/>
        <v>3</v>
      </c>
      <c r="J622" t="s">
        <v>27</v>
      </c>
      <c r="K622" t="str" cm="1">
        <f t="array" ref="K622">_xlfn.SWITCH(TRIM(UPPER(J622)),
"BUSINESS", "Short Stay",
"CONFERENCE", "Medium Stay",
"VACATION", "Iong Stay",
"HOLIDAY", "Long Stay",
"V", "Leisure",
"UNKNOWN", "Unknown",
"Other")</f>
        <v>Medium Stay</v>
      </c>
    </row>
    <row r="623" spans="1:11" x14ac:dyDescent="0.3">
      <c r="A623" t="s">
        <v>2431</v>
      </c>
      <c r="B623" t="s">
        <v>1916</v>
      </c>
      <c r="C623" t="s">
        <v>75</v>
      </c>
      <c r="D623" t="s">
        <v>1548</v>
      </c>
      <c r="E623" t="s">
        <v>48</v>
      </c>
      <c r="F623" t="s">
        <v>2432</v>
      </c>
      <c r="G623" t="s">
        <v>691</v>
      </c>
      <c r="H623" t="s">
        <v>333</v>
      </c>
      <c r="I623">
        <f t="shared" si="9"/>
        <v>1</v>
      </c>
      <c r="J623" t="s">
        <v>121</v>
      </c>
      <c r="K623" t="str" cm="1">
        <f t="array" ref="K623">_xlfn.SWITCH(TRIM(UPPER(J623)),
"BUSINESS", "Short Stay",
"CONFERENCE", "Medium Stay",
"VACATION", "Iong Stay",
"HOLIDAY", "Long Stay",
"V", "Leisure",
"UNKNOWN", "Unknown",
"Other")</f>
        <v>Iong Stay</v>
      </c>
    </row>
    <row r="624" spans="1:11" x14ac:dyDescent="0.3">
      <c r="A624" t="s">
        <v>2433</v>
      </c>
      <c r="B624" t="s">
        <v>406</v>
      </c>
      <c r="C624" t="s">
        <v>21</v>
      </c>
      <c r="D624" t="s">
        <v>2434</v>
      </c>
      <c r="E624" t="s">
        <v>314</v>
      </c>
      <c r="F624" t="s">
        <v>2435</v>
      </c>
      <c r="G624" t="s">
        <v>409</v>
      </c>
      <c r="H624" t="s">
        <v>775</v>
      </c>
      <c r="I624">
        <f t="shared" si="9"/>
        <v>5</v>
      </c>
      <c r="J624" t="s">
        <v>44</v>
      </c>
      <c r="K624" t="str" cm="1">
        <f t="array" ref="K624">_xlfn.SWITCH(TRIM(UPPER(J624)),
"BUSINESS", "Short Stay",
"CONFERENCE", "Medium Stay",
"VACATION", "Iong Stay",
"HOLIDAY", "Long Stay",
"V", "Leisure",
"UNKNOWN", "Unknown",
"Other")</f>
        <v>Other</v>
      </c>
    </row>
    <row r="625" spans="1:11" x14ac:dyDescent="0.3">
      <c r="A625" t="s">
        <v>2436</v>
      </c>
      <c r="B625" t="s">
        <v>2437</v>
      </c>
      <c r="C625" t="s">
        <v>30</v>
      </c>
      <c r="D625" t="s">
        <v>2074</v>
      </c>
      <c r="E625" t="s">
        <v>458</v>
      </c>
      <c r="F625" t="s">
        <v>2438</v>
      </c>
      <c r="G625" t="s">
        <v>2094</v>
      </c>
      <c r="H625" t="s">
        <v>369</v>
      </c>
      <c r="I625">
        <f t="shared" si="9"/>
        <v>2</v>
      </c>
      <c r="J625" t="s">
        <v>18</v>
      </c>
      <c r="K625" t="str" cm="1">
        <f t="array" ref="K625">_xlfn.SWITCH(TRIM(UPPER(J625)),
"BUSINESS", "Short Stay",
"CONFERENCE", "Medium Stay",
"VACATION", "Iong Stay",
"HOLIDAY", "Long Stay",
"V", "Leisure",
"UNKNOWN", "Unknown",
"Other")</f>
        <v>Short Stay</v>
      </c>
    </row>
    <row r="626" spans="1:11" x14ac:dyDescent="0.3">
      <c r="A626" t="s">
        <v>2439</v>
      </c>
      <c r="B626" t="s">
        <v>2413</v>
      </c>
      <c r="C626" t="s">
        <v>83</v>
      </c>
      <c r="D626" t="s">
        <v>188</v>
      </c>
      <c r="E626" t="s">
        <v>214</v>
      </c>
      <c r="F626" t="s">
        <v>2440</v>
      </c>
      <c r="G626" t="s">
        <v>739</v>
      </c>
      <c r="H626" t="s">
        <v>635</v>
      </c>
      <c r="I626">
        <f t="shared" si="9"/>
        <v>1</v>
      </c>
      <c r="J626" t="s">
        <v>27</v>
      </c>
      <c r="K626" t="str" cm="1">
        <f t="array" ref="K626">_xlfn.SWITCH(TRIM(UPPER(J626)),
"BUSINESS", "Short Stay",
"CONFERENCE", "Medium Stay",
"VACATION", "Iong Stay",
"HOLIDAY", "Long Stay",
"V", "Leisure",
"UNKNOWN", "Unknown",
"Other")</f>
        <v>Medium Stay</v>
      </c>
    </row>
    <row r="627" spans="1:11" x14ac:dyDescent="0.3">
      <c r="A627" t="s">
        <v>2441</v>
      </c>
      <c r="B627" t="s">
        <v>1083</v>
      </c>
      <c r="C627" t="s">
        <v>97</v>
      </c>
      <c r="D627" t="s">
        <v>1258</v>
      </c>
      <c r="E627" t="s">
        <v>176</v>
      </c>
      <c r="F627" t="s">
        <v>2442</v>
      </c>
      <c r="G627" t="s">
        <v>554</v>
      </c>
      <c r="H627" t="s">
        <v>1862</v>
      </c>
      <c r="I627">
        <f t="shared" si="9"/>
        <v>4</v>
      </c>
      <c r="J627" t="s">
        <v>27</v>
      </c>
      <c r="K627" t="str" cm="1">
        <f t="array" ref="K627">_xlfn.SWITCH(TRIM(UPPER(J627)),
"BUSINESS", "Short Stay",
"CONFERENCE", "Medium Stay",
"VACATION", "Iong Stay",
"HOLIDAY", "Long Stay",
"V", "Leisure",
"UNKNOWN", "Unknown",
"Other")</f>
        <v>Medium Stay</v>
      </c>
    </row>
    <row r="628" spans="1:11" x14ac:dyDescent="0.3">
      <c r="A628" t="s">
        <v>2443</v>
      </c>
      <c r="B628" t="s">
        <v>359</v>
      </c>
      <c r="C628" t="s">
        <v>21</v>
      </c>
      <c r="D628" t="s">
        <v>1548</v>
      </c>
      <c r="E628" t="s">
        <v>546</v>
      </c>
      <c r="F628" t="s">
        <v>2444</v>
      </c>
      <c r="G628" t="s">
        <v>362</v>
      </c>
      <c r="H628" t="s">
        <v>1833</v>
      </c>
      <c r="I628">
        <f t="shared" si="9"/>
        <v>5</v>
      </c>
      <c r="J628" t="s">
        <v>121</v>
      </c>
      <c r="K628" t="str" cm="1">
        <f t="array" ref="K628">_xlfn.SWITCH(TRIM(UPPER(J628)),
"BUSINESS", "Short Stay",
"CONFERENCE", "Medium Stay",
"VACATION", "Iong Stay",
"HOLIDAY", "Long Stay",
"V", "Leisure",
"UNKNOWN", "Unknown",
"Other")</f>
        <v>Iong Stay</v>
      </c>
    </row>
    <row r="629" spans="1:11" x14ac:dyDescent="0.3">
      <c r="A629" t="s">
        <v>2445</v>
      </c>
      <c r="B629" t="s">
        <v>722</v>
      </c>
      <c r="C629" t="s">
        <v>75</v>
      </c>
      <c r="D629" t="s">
        <v>2446</v>
      </c>
      <c r="E629" t="s">
        <v>201</v>
      </c>
      <c r="F629" t="s">
        <v>2447</v>
      </c>
      <c r="G629" t="s">
        <v>725</v>
      </c>
      <c r="H629" t="s">
        <v>634</v>
      </c>
      <c r="I629">
        <f t="shared" si="9"/>
        <v>4</v>
      </c>
      <c r="J629" t="s">
        <v>121</v>
      </c>
      <c r="K629" t="str" cm="1">
        <f t="array" ref="K629">_xlfn.SWITCH(TRIM(UPPER(J629)),
"BUSINESS", "Short Stay",
"CONFERENCE", "Medium Stay",
"VACATION", "Iong Stay",
"HOLIDAY", "Long Stay",
"V", "Leisure",
"UNKNOWN", "Unknown",
"Other")</f>
        <v>Iong Stay</v>
      </c>
    </row>
    <row r="630" spans="1:11" x14ac:dyDescent="0.3">
      <c r="A630" t="s">
        <v>2448</v>
      </c>
      <c r="B630" t="s">
        <v>1318</v>
      </c>
      <c r="C630" t="s">
        <v>30</v>
      </c>
      <c r="D630" t="s">
        <v>2449</v>
      </c>
      <c r="E630" t="s">
        <v>77</v>
      </c>
      <c r="F630" t="s">
        <v>2450</v>
      </c>
      <c r="G630" t="s">
        <v>989</v>
      </c>
      <c r="H630" t="s">
        <v>1267</v>
      </c>
      <c r="I630">
        <f t="shared" si="9"/>
        <v>2</v>
      </c>
      <c r="J630" t="s">
        <v>121</v>
      </c>
      <c r="K630" t="str" cm="1">
        <f t="array" ref="K630">_xlfn.SWITCH(TRIM(UPPER(J630)),
"BUSINESS", "Short Stay",
"CONFERENCE", "Medium Stay",
"VACATION", "Iong Stay",
"HOLIDAY", "Long Stay",
"V", "Leisure",
"UNKNOWN", "Unknown",
"Other")</f>
        <v>Iong Stay</v>
      </c>
    </row>
    <row r="631" spans="1:11" x14ac:dyDescent="0.3">
      <c r="A631" t="s">
        <v>2451</v>
      </c>
      <c r="B631" t="s">
        <v>996</v>
      </c>
      <c r="C631" t="s">
        <v>83</v>
      </c>
      <c r="D631" t="s">
        <v>1873</v>
      </c>
      <c r="E631" t="s">
        <v>546</v>
      </c>
      <c r="F631" t="s">
        <v>2452</v>
      </c>
      <c r="G631" t="s">
        <v>998</v>
      </c>
      <c r="H631" t="s">
        <v>999</v>
      </c>
      <c r="I631">
        <f t="shared" si="9"/>
        <v>1</v>
      </c>
      <c r="J631" t="s">
        <v>44</v>
      </c>
      <c r="K631" t="str" cm="1">
        <f t="array" ref="K631">_xlfn.SWITCH(TRIM(UPPER(J631)),
"BUSINESS", "Short Stay",
"CONFERENCE", "Medium Stay",
"VACATION", "Iong Stay",
"HOLIDAY", "Long Stay",
"V", "Leisure",
"UNKNOWN", "Unknown",
"Other")</f>
        <v>Other</v>
      </c>
    </row>
    <row r="632" spans="1:11" x14ac:dyDescent="0.3">
      <c r="A632" t="s">
        <v>2453</v>
      </c>
      <c r="B632" t="s">
        <v>1323</v>
      </c>
      <c r="C632" t="s">
        <v>83</v>
      </c>
      <c r="D632" t="s">
        <v>2454</v>
      </c>
      <c r="E632" t="s">
        <v>201</v>
      </c>
      <c r="F632" t="s">
        <v>2455</v>
      </c>
      <c r="G632" t="s">
        <v>1326</v>
      </c>
      <c r="H632" t="s">
        <v>369</v>
      </c>
      <c r="I632">
        <f t="shared" si="9"/>
        <v>3</v>
      </c>
      <c r="J632" t="s">
        <v>27</v>
      </c>
      <c r="K632" t="str" cm="1">
        <f t="array" ref="K632">_xlfn.SWITCH(TRIM(UPPER(J632)),
"BUSINESS", "Short Stay",
"CONFERENCE", "Medium Stay",
"VACATION", "Iong Stay",
"HOLIDAY", "Long Stay",
"V", "Leisure",
"UNKNOWN", "Unknown",
"Other")</f>
        <v>Medium Stay</v>
      </c>
    </row>
    <row r="633" spans="1:11" x14ac:dyDescent="0.3">
      <c r="A633" t="s">
        <v>2456</v>
      </c>
      <c r="B633" t="s">
        <v>2457</v>
      </c>
      <c r="C633" t="s">
        <v>83</v>
      </c>
      <c r="D633" t="s">
        <v>800</v>
      </c>
      <c r="E633" t="s">
        <v>476</v>
      </c>
      <c r="F633" t="s">
        <v>2458</v>
      </c>
      <c r="G633" t="s">
        <v>460</v>
      </c>
      <c r="H633" t="s">
        <v>34</v>
      </c>
      <c r="I633">
        <f t="shared" si="9"/>
        <v>3</v>
      </c>
      <c r="J633" t="s">
        <v>27</v>
      </c>
      <c r="K633" t="str" cm="1">
        <f t="array" ref="K633">_xlfn.SWITCH(TRIM(UPPER(J633)),
"BUSINESS", "Short Stay",
"CONFERENCE", "Medium Stay",
"VACATION", "Iong Stay",
"HOLIDAY", "Long Stay",
"V", "Leisure",
"UNKNOWN", "Unknown",
"Other")</f>
        <v>Medium Stay</v>
      </c>
    </row>
    <row r="634" spans="1:11" x14ac:dyDescent="0.3">
      <c r="A634" t="s">
        <v>2459</v>
      </c>
      <c r="B634" t="s">
        <v>882</v>
      </c>
      <c r="C634" t="s">
        <v>174</v>
      </c>
      <c r="D634" t="s">
        <v>2454</v>
      </c>
      <c r="E634" t="s">
        <v>476</v>
      </c>
      <c r="F634" t="s">
        <v>2460</v>
      </c>
      <c r="G634" t="s">
        <v>885</v>
      </c>
      <c r="H634" t="s">
        <v>1109</v>
      </c>
      <c r="I634">
        <f t="shared" si="9"/>
        <v>5</v>
      </c>
      <c r="J634" t="s">
        <v>121</v>
      </c>
      <c r="K634" t="str" cm="1">
        <f t="array" ref="K634">_xlfn.SWITCH(TRIM(UPPER(J634)),
"BUSINESS", "Short Stay",
"CONFERENCE", "Medium Stay",
"VACATION", "Iong Stay",
"HOLIDAY", "Long Stay",
"V", "Leisure",
"UNKNOWN", "Unknown",
"Other")</f>
        <v>Iong Stay</v>
      </c>
    </row>
    <row r="635" spans="1:11" x14ac:dyDescent="0.3">
      <c r="A635" t="s">
        <v>2461</v>
      </c>
      <c r="B635" t="s">
        <v>1264</v>
      </c>
      <c r="C635" t="s">
        <v>12</v>
      </c>
      <c r="D635" t="s">
        <v>116</v>
      </c>
      <c r="E635" t="s">
        <v>32</v>
      </c>
      <c r="F635" t="s">
        <v>2462</v>
      </c>
      <c r="G635" t="s">
        <v>1267</v>
      </c>
      <c r="H635" t="s">
        <v>1833</v>
      </c>
      <c r="I635">
        <f t="shared" si="9"/>
        <v>1</v>
      </c>
      <c r="J635" t="s">
        <v>121</v>
      </c>
      <c r="K635" t="str" cm="1">
        <f t="array" ref="K635">_xlfn.SWITCH(TRIM(UPPER(J635)),
"BUSINESS", "Short Stay",
"CONFERENCE", "Medium Stay",
"VACATION", "Iong Stay",
"HOLIDAY", "Long Stay",
"V", "Leisure",
"UNKNOWN", "Unknown",
"Other")</f>
        <v>Iong Stay</v>
      </c>
    </row>
    <row r="636" spans="1:11" x14ac:dyDescent="0.3">
      <c r="A636" t="s">
        <v>2463</v>
      </c>
      <c r="B636" t="s">
        <v>1994</v>
      </c>
      <c r="C636" t="s">
        <v>54</v>
      </c>
      <c r="D636" t="s">
        <v>871</v>
      </c>
      <c r="E636" t="s">
        <v>314</v>
      </c>
      <c r="F636" t="s">
        <v>2464</v>
      </c>
      <c r="G636" t="s">
        <v>764</v>
      </c>
      <c r="H636" t="s">
        <v>245</v>
      </c>
      <c r="I636">
        <f t="shared" si="9"/>
        <v>3</v>
      </c>
      <c r="J636" t="s">
        <v>44</v>
      </c>
      <c r="K636" t="str" cm="1">
        <f t="array" ref="K636">_xlfn.SWITCH(TRIM(UPPER(J636)),
"BUSINESS", "Short Stay",
"CONFERENCE", "Medium Stay",
"VACATION", "Iong Stay",
"HOLIDAY", "Long Stay",
"V", "Leisure",
"UNKNOWN", "Unknown",
"Other")</f>
        <v>Other</v>
      </c>
    </row>
    <row r="637" spans="1:11" x14ac:dyDescent="0.3">
      <c r="A637" t="s">
        <v>2465</v>
      </c>
      <c r="B637" t="s">
        <v>90</v>
      </c>
      <c r="C637" t="s">
        <v>12</v>
      </c>
      <c r="D637" t="s">
        <v>2466</v>
      </c>
      <c r="E637" t="s">
        <v>149</v>
      </c>
      <c r="F637" t="s">
        <v>2467</v>
      </c>
      <c r="G637" t="s">
        <v>93</v>
      </c>
      <c r="H637" t="s">
        <v>731</v>
      </c>
      <c r="I637">
        <f t="shared" si="9"/>
        <v>5</v>
      </c>
      <c r="J637" t="s">
        <v>27</v>
      </c>
      <c r="K637" t="str" cm="1">
        <f t="array" ref="K637">_xlfn.SWITCH(TRIM(UPPER(J637)),
"BUSINESS", "Short Stay",
"CONFERENCE", "Medium Stay",
"VACATION", "Iong Stay",
"HOLIDAY", "Long Stay",
"V", "Leisure",
"UNKNOWN", "Unknown",
"Other")</f>
        <v>Medium Stay</v>
      </c>
    </row>
    <row r="638" spans="1:11" x14ac:dyDescent="0.3">
      <c r="A638" t="s">
        <v>2468</v>
      </c>
      <c r="B638" t="s">
        <v>585</v>
      </c>
      <c r="C638" t="s">
        <v>38</v>
      </c>
      <c r="D638" t="s">
        <v>2469</v>
      </c>
      <c r="E638" t="s">
        <v>77</v>
      </c>
      <c r="F638" t="s">
        <v>2470</v>
      </c>
      <c r="G638" t="s">
        <v>588</v>
      </c>
      <c r="H638" t="s">
        <v>1681</v>
      </c>
      <c r="I638">
        <f t="shared" si="9"/>
        <v>4</v>
      </c>
      <c r="J638" t="s">
        <v>18</v>
      </c>
      <c r="K638" t="str" cm="1">
        <f t="array" ref="K638">_xlfn.SWITCH(TRIM(UPPER(J638)),
"BUSINESS", "Short Stay",
"CONFERENCE", "Medium Stay",
"VACATION", "Iong Stay",
"HOLIDAY", "Long Stay",
"V", "Leisure",
"UNKNOWN", "Unknown",
"Other")</f>
        <v>Short Stay</v>
      </c>
    </row>
    <row r="639" spans="1:11" x14ac:dyDescent="0.3">
      <c r="A639" t="s">
        <v>2471</v>
      </c>
      <c r="B639" t="s">
        <v>1302</v>
      </c>
      <c r="C639" t="s">
        <v>174</v>
      </c>
      <c r="D639" t="s">
        <v>2472</v>
      </c>
      <c r="E639" t="s">
        <v>69</v>
      </c>
      <c r="F639" t="s">
        <v>2473</v>
      </c>
      <c r="G639" t="s">
        <v>1304</v>
      </c>
      <c r="H639" t="s">
        <v>1105</v>
      </c>
      <c r="I639">
        <f t="shared" si="9"/>
        <v>3</v>
      </c>
      <c r="J639" t="s">
        <v>18</v>
      </c>
      <c r="K639" t="str" cm="1">
        <f t="array" ref="K639">_xlfn.SWITCH(TRIM(UPPER(J639)),
"BUSINESS", "Short Stay",
"CONFERENCE", "Medium Stay",
"VACATION", "Iong Stay",
"HOLIDAY", "Long Stay",
"V", "Leisure",
"UNKNOWN", "Unknown",
"Other")</f>
        <v>Short Stay</v>
      </c>
    </row>
    <row r="640" spans="1:11" x14ac:dyDescent="0.3">
      <c r="A640" t="s">
        <v>2474</v>
      </c>
      <c r="B640" t="s">
        <v>46</v>
      </c>
      <c r="C640" t="s">
        <v>61</v>
      </c>
      <c r="D640" t="s">
        <v>2475</v>
      </c>
      <c r="E640" t="s">
        <v>14</v>
      </c>
      <c r="F640" t="s">
        <v>2476</v>
      </c>
      <c r="G640" t="s">
        <v>50</v>
      </c>
      <c r="H640" t="s">
        <v>260</v>
      </c>
      <c r="I640">
        <f t="shared" si="9"/>
        <v>5</v>
      </c>
      <c r="J640" t="s">
        <v>27</v>
      </c>
      <c r="K640" t="str" cm="1">
        <f t="array" ref="K640">_xlfn.SWITCH(TRIM(UPPER(J640)),
"BUSINESS", "Short Stay",
"CONFERENCE", "Medium Stay",
"VACATION", "Iong Stay",
"HOLIDAY", "Long Stay",
"V", "Leisure",
"UNKNOWN", "Unknown",
"Other")</f>
        <v>Medium Stay</v>
      </c>
    </row>
    <row r="641" spans="1:11" x14ac:dyDescent="0.3">
      <c r="A641" t="s">
        <v>2477</v>
      </c>
      <c r="B641" t="s">
        <v>1994</v>
      </c>
      <c r="C641" t="s">
        <v>83</v>
      </c>
      <c r="D641" t="s">
        <v>2478</v>
      </c>
      <c r="E641" t="s">
        <v>314</v>
      </c>
      <c r="F641" t="s">
        <v>2479</v>
      </c>
      <c r="G641" t="s">
        <v>764</v>
      </c>
      <c r="H641" t="s">
        <v>1847</v>
      </c>
      <c r="I641">
        <f t="shared" si="9"/>
        <v>1</v>
      </c>
      <c r="J641" t="s">
        <v>27</v>
      </c>
      <c r="K641" t="str" cm="1">
        <f t="array" ref="K641">_xlfn.SWITCH(TRIM(UPPER(J641)),
"BUSINESS", "Short Stay",
"CONFERENCE", "Medium Stay",
"VACATION", "Iong Stay",
"HOLIDAY", "Long Stay",
"V", "Leisure",
"UNKNOWN", "Unknown",
"Other")</f>
        <v>Medium Stay</v>
      </c>
    </row>
    <row r="642" spans="1:11" x14ac:dyDescent="0.3">
      <c r="A642" t="s">
        <v>2480</v>
      </c>
      <c r="B642" t="s">
        <v>1245</v>
      </c>
      <c r="C642" t="s">
        <v>12</v>
      </c>
      <c r="D642" t="s">
        <v>2481</v>
      </c>
      <c r="E642" t="s">
        <v>32</v>
      </c>
      <c r="F642" t="s">
        <v>2482</v>
      </c>
      <c r="G642" t="s">
        <v>1248</v>
      </c>
      <c r="H642" t="s">
        <v>553</v>
      </c>
      <c r="I642">
        <f t="shared" si="9"/>
        <v>5</v>
      </c>
      <c r="J642" t="s">
        <v>44</v>
      </c>
      <c r="K642" t="str" cm="1">
        <f t="array" ref="K642">_xlfn.SWITCH(TRIM(UPPER(J642)),
"BUSINESS", "Short Stay",
"CONFERENCE", "Medium Stay",
"VACATION", "Iong Stay",
"HOLIDAY", "Long Stay",
"V", "Leisure",
"UNKNOWN", "Unknown",
"Other")</f>
        <v>Other</v>
      </c>
    </row>
    <row r="643" spans="1:11" x14ac:dyDescent="0.3">
      <c r="A643" t="s">
        <v>2483</v>
      </c>
      <c r="B643" t="s">
        <v>623</v>
      </c>
      <c r="C643" t="s">
        <v>61</v>
      </c>
      <c r="D643" t="s">
        <v>307</v>
      </c>
      <c r="E643" t="s">
        <v>149</v>
      </c>
      <c r="F643" t="s">
        <v>2484</v>
      </c>
      <c r="G643" t="s">
        <v>625</v>
      </c>
      <c r="H643" t="s">
        <v>885</v>
      </c>
      <c r="I643">
        <f t="shared" ref="I643:I706" si="10">H643-G643</f>
        <v>4</v>
      </c>
      <c r="J643" t="s">
        <v>27</v>
      </c>
      <c r="K643" t="str" cm="1">
        <f t="array" ref="K643">_xlfn.SWITCH(TRIM(UPPER(J643)),
"BUSINESS", "Short Stay",
"CONFERENCE", "Medium Stay",
"VACATION", "Iong Stay",
"HOLIDAY", "Long Stay",
"V", "Leisure",
"UNKNOWN", "Unknown",
"Other")</f>
        <v>Medium Stay</v>
      </c>
    </row>
    <row r="644" spans="1:11" x14ac:dyDescent="0.3">
      <c r="A644" t="s">
        <v>2485</v>
      </c>
      <c r="B644" t="s">
        <v>1328</v>
      </c>
      <c r="C644" t="s">
        <v>97</v>
      </c>
      <c r="D644" t="s">
        <v>2486</v>
      </c>
      <c r="E644" t="s">
        <v>458</v>
      </c>
      <c r="F644" t="s">
        <v>2487</v>
      </c>
      <c r="G644" t="s">
        <v>1331</v>
      </c>
      <c r="H644" t="s">
        <v>1646</v>
      </c>
      <c r="I644">
        <f t="shared" si="10"/>
        <v>4</v>
      </c>
      <c r="J644" t="s">
        <v>44</v>
      </c>
      <c r="K644" t="str" cm="1">
        <f t="array" ref="K644">_xlfn.SWITCH(TRIM(UPPER(J644)),
"BUSINESS", "Short Stay",
"CONFERENCE", "Medium Stay",
"VACATION", "Iong Stay",
"HOLIDAY", "Long Stay",
"V", "Leisure",
"UNKNOWN", "Unknown",
"Other")</f>
        <v>Other</v>
      </c>
    </row>
    <row r="645" spans="1:11" x14ac:dyDescent="0.3">
      <c r="A645" t="s">
        <v>2488</v>
      </c>
      <c r="B645" t="s">
        <v>2222</v>
      </c>
      <c r="C645" t="s">
        <v>21</v>
      </c>
      <c r="D645" t="s">
        <v>1390</v>
      </c>
      <c r="E645" t="s">
        <v>214</v>
      </c>
      <c r="F645" t="s">
        <v>2489</v>
      </c>
      <c r="G645" t="s">
        <v>937</v>
      </c>
      <c r="H645" t="s">
        <v>706</v>
      </c>
      <c r="I645">
        <f t="shared" si="10"/>
        <v>2</v>
      </c>
      <c r="J645" t="s">
        <v>121</v>
      </c>
      <c r="K645" t="str" cm="1">
        <f t="array" ref="K645">_xlfn.SWITCH(TRIM(UPPER(J645)),
"BUSINESS", "Short Stay",
"CONFERENCE", "Medium Stay",
"VACATION", "Iong Stay",
"HOLIDAY", "Long Stay",
"V", "Leisure",
"UNKNOWN", "Unknown",
"Other")</f>
        <v>Iong Stay</v>
      </c>
    </row>
    <row r="646" spans="1:11" x14ac:dyDescent="0.3">
      <c r="A646" t="s">
        <v>2490</v>
      </c>
      <c r="B646" t="s">
        <v>1487</v>
      </c>
      <c r="C646" t="s">
        <v>83</v>
      </c>
      <c r="D646" t="s">
        <v>1579</v>
      </c>
      <c r="E646" t="s">
        <v>48</v>
      </c>
      <c r="F646" t="s">
        <v>2491</v>
      </c>
      <c r="G646" t="s">
        <v>438</v>
      </c>
      <c r="H646" t="s">
        <v>999</v>
      </c>
      <c r="I646">
        <f t="shared" si="10"/>
        <v>2</v>
      </c>
      <c r="J646" t="s">
        <v>121</v>
      </c>
      <c r="K646" t="str" cm="1">
        <f t="array" ref="K646">_xlfn.SWITCH(TRIM(UPPER(J646)),
"BUSINESS", "Short Stay",
"CONFERENCE", "Medium Stay",
"VACATION", "Iong Stay",
"HOLIDAY", "Long Stay",
"V", "Leisure",
"UNKNOWN", "Unknown",
"Other")</f>
        <v>Iong Stay</v>
      </c>
    </row>
    <row r="647" spans="1:11" x14ac:dyDescent="0.3">
      <c r="A647" t="s">
        <v>2492</v>
      </c>
      <c r="B647" t="s">
        <v>212</v>
      </c>
      <c r="C647" t="s">
        <v>174</v>
      </c>
      <c r="D647" t="s">
        <v>2493</v>
      </c>
      <c r="E647" t="s">
        <v>63</v>
      </c>
      <c r="F647" t="s">
        <v>2494</v>
      </c>
      <c r="G647" t="s">
        <v>165</v>
      </c>
      <c r="H647" t="s">
        <v>410</v>
      </c>
      <c r="I647">
        <f t="shared" si="10"/>
        <v>4</v>
      </c>
      <c r="J647" t="s">
        <v>44</v>
      </c>
      <c r="K647" t="str" cm="1">
        <f t="array" ref="K647">_xlfn.SWITCH(TRIM(UPPER(J647)),
"BUSINESS", "Short Stay",
"CONFERENCE", "Medium Stay",
"VACATION", "Iong Stay",
"HOLIDAY", "Long Stay",
"V", "Leisure",
"UNKNOWN", "Unknown",
"Other")</f>
        <v>Other</v>
      </c>
    </row>
    <row r="648" spans="1:11" x14ac:dyDescent="0.3">
      <c r="A648" t="s">
        <v>2495</v>
      </c>
      <c r="B648" t="s">
        <v>1572</v>
      </c>
      <c r="C648" t="s">
        <v>75</v>
      </c>
      <c r="D648" t="s">
        <v>2496</v>
      </c>
      <c r="E648" t="s">
        <v>430</v>
      </c>
      <c r="F648" t="s">
        <v>2497</v>
      </c>
      <c r="G648" t="s">
        <v>1575</v>
      </c>
      <c r="H648" t="s">
        <v>1195</v>
      </c>
      <c r="I648">
        <f t="shared" si="10"/>
        <v>5</v>
      </c>
      <c r="J648" t="s">
        <v>121</v>
      </c>
      <c r="K648" t="str" cm="1">
        <f t="array" ref="K648">_xlfn.SWITCH(TRIM(UPPER(J648)),
"BUSINESS", "Short Stay",
"CONFERENCE", "Medium Stay",
"VACATION", "Iong Stay",
"HOLIDAY", "Long Stay",
"V", "Leisure",
"UNKNOWN", "Unknown",
"Other")</f>
        <v>Iong Stay</v>
      </c>
    </row>
    <row r="649" spans="1:11" x14ac:dyDescent="0.3">
      <c r="A649" t="s">
        <v>2498</v>
      </c>
      <c r="B649" t="s">
        <v>2499</v>
      </c>
      <c r="C649" t="s">
        <v>83</v>
      </c>
      <c r="D649" t="s">
        <v>2500</v>
      </c>
      <c r="E649" t="s">
        <v>40</v>
      </c>
      <c r="F649" t="s">
        <v>2501</v>
      </c>
      <c r="G649" t="s">
        <v>646</v>
      </c>
      <c r="H649" t="s">
        <v>1797</v>
      </c>
      <c r="I649">
        <f t="shared" si="10"/>
        <v>1</v>
      </c>
      <c r="J649" t="s">
        <v>44</v>
      </c>
      <c r="K649" t="str" cm="1">
        <f t="array" ref="K649">_xlfn.SWITCH(TRIM(UPPER(J649)),
"BUSINESS", "Short Stay",
"CONFERENCE", "Medium Stay",
"VACATION", "Iong Stay",
"HOLIDAY", "Long Stay",
"V", "Leisure",
"UNKNOWN", "Unknown",
"Other")</f>
        <v>Other</v>
      </c>
    </row>
    <row r="650" spans="1:11" x14ac:dyDescent="0.3">
      <c r="A650" t="s">
        <v>2502</v>
      </c>
      <c r="B650" t="s">
        <v>2503</v>
      </c>
      <c r="C650" t="s">
        <v>12</v>
      </c>
      <c r="D650" t="s">
        <v>1644</v>
      </c>
      <c r="E650" t="s">
        <v>314</v>
      </c>
      <c r="F650" t="s">
        <v>2504</v>
      </c>
      <c r="G650" t="s">
        <v>2505</v>
      </c>
      <c r="H650" t="s">
        <v>298</v>
      </c>
      <c r="I650">
        <f t="shared" si="10"/>
        <v>4</v>
      </c>
      <c r="J650" t="s">
        <v>44</v>
      </c>
      <c r="K650" t="str" cm="1">
        <f t="array" ref="K650">_xlfn.SWITCH(TRIM(UPPER(J650)),
"BUSINESS", "Short Stay",
"CONFERENCE", "Medium Stay",
"VACATION", "Iong Stay",
"HOLIDAY", "Long Stay",
"V", "Leisure",
"UNKNOWN", "Unknown",
"Other")</f>
        <v>Other</v>
      </c>
    </row>
    <row r="651" spans="1:11" x14ac:dyDescent="0.3">
      <c r="A651" t="s">
        <v>2506</v>
      </c>
      <c r="B651" t="s">
        <v>1675</v>
      </c>
      <c r="C651" t="s">
        <v>174</v>
      </c>
      <c r="D651" t="s">
        <v>2005</v>
      </c>
      <c r="E651" t="s">
        <v>77</v>
      </c>
      <c r="F651" t="s">
        <v>2507</v>
      </c>
      <c r="G651" t="s">
        <v>919</v>
      </c>
      <c r="H651" t="s">
        <v>1025</v>
      </c>
      <c r="I651">
        <f t="shared" si="10"/>
        <v>3</v>
      </c>
      <c r="J651" t="s">
        <v>44</v>
      </c>
      <c r="K651" t="str" cm="1">
        <f t="array" ref="K651">_xlfn.SWITCH(TRIM(UPPER(J651)),
"BUSINESS", "Short Stay",
"CONFERENCE", "Medium Stay",
"VACATION", "Iong Stay",
"HOLIDAY", "Long Stay",
"V", "Leisure",
"UNKNOWN", "Unknown",
"Other")</f>
        <v>Other</v>
      </c>
    </row>
    <row r="652" spans="1:11" x14ac:dyDescent="0.3">
      <c r="A652" t="s">
        <v>2508</v>
      </c>
      <c r="B652" t="s">
        <v>2509</v>
      </c>
      <c r="C652" t="s">
        <v>75</v>
      </c>
      <c r="D652" t="s">
        <v>2510</v>
      </c>
      <c r="E652" t="s">
        <v>40</v>
      </c>
      <c r="F652" t="s">
        <v>2511</v>
      </c>
      <c r="G652" t="s">
        <v>1862</v>
      </c>
      <c r="H652" t="s">
        <v>1759</v>
      </c>
      <c r="I652">
        <f t="shared" si="10"/>
        <v>5</v>
      </c>
      <c r="J652" t="s">
        <v>18</v>
      </c>
      <c r="K652" t="str" cm="1">
        <f t="array" ref="K652">_xlfn.SWITCH(TRIM(UPPER(J652)),
"BUSINESS", "Short Stay",
"CONFERENCE", "Medium Stay",
"VACATION", "Iong Stay",
"HOLIDAY", "Long Stay",
"V", "Leisure",
"UNKNOWN", "Unknown",
"Other")</f>
        <v>Short Stay</v>
      </c>
    </row>
    <row r="653" spans="1:11" x14ac:dyDescent="0.3">
      <c r="A653" t="s">
        <v>2512</v>
      </c>
      <c r="B653" t="s">
        <v>2513</v>
      </c>
      <c r="C653" t="s">
        <v>38</v>
      </c>
      <c r="D653" t="s">
        <v>2514</v>
      </c>
      <c r="E653" t="s">
        <v>117</v>
      </c>
      <c r="F653" t="s">
        <v>2515</v>
      </c>
      <c r="G653" t="s">
        <v>2516</v>
      </c>
      <c r="H653" t="s">
        <v>2517</v>
      </c>
      <c r="I653">
        <f t="shared" si="10"/>
        <v>2</v>
      </c>
      <c r="J653" t="s">
        <v>27</v>
      </c>
      <c r="K653" t="str" cm="1">
        <f t="array" ref="K653">_xlfn.SWITCH(TRIM(UPPER(J653)),
"BUSINESS", "Short Stay",
"CONFERENCE", "Medium Stay",
"VACATION", "Iong Stay",
"HOLIDAY", "Long Stay",
"V", "Leisure",
"UNKNOWN", "Unknown",
"Other")</f>
        <v>Medium Stay</v>
      </c>
    </row>
    <row r="654" spans="1:11" x14ac:dyDescent="0.3">
      <c r="A654" t="s">
        <v>2518</v>
      </c>
      <c r="B654" t="s">
        <v>141</v>
      </c>
      <c r="C654" t="s">
        <v>61</v>
      </c>
      <c r="D654" t="s">
        <v>723</v>
      </c>
      <c r="E654" t="s">
        <v>546</v>
      </c>
      <c r="F654" t="s">
        <v>2519</v>
      </c>
      <c r="G654" t="s">
        <v>144</v>
      </c>
      <c r="H654" t="s">
        <v>1797</v>
      </c>
      <c r="I654">
        <f t="shared" si="10"/>
        <v>2</v>
      </c>
      <c r="J654" t="s">
        <v>27</v>
      </c>
      <c r="K654" t="str" cm="1">
        <f t="array" ref="K654">_xlfn.SWITCH(TRIM(UPPER(J654)),
"BUSINESS", "Short Stay",
"CONFERENCE", "Medium Stay",
"VACATION", "Iong Stay",
"HOLIDAY", "Long Stay",
"V", "Leisure",
"UNKNOWN", "Unknown",
"Other")</f>
        <v>Medium Stay</v>
      </c>
    </row>
    <row r="655" spans="1:11" x14ac:dyDescent="0.3">
      <c r="A655" t="s">
        <v>2520</v>
      </c>
      <c r="B655" t="s">
        <v>2503</v>
      </c>
      <c r="C655" t="s">
        <v>174</v>
      </c>
      <c r="D655" t="s">
        <v>901</v>
      </c>
      <c r="E655" t="s">
        <v>430</v>
      </c>
      <c r="F655" t="s">
        <v>2521</v>
      </c>
      <c r="G655" t="s">
        <v>2505</v>
      </c>
      <c r="H655" t="s">
        <v>691</v>
      </c>
      <c r="I655">
        <f t="shared" si="10"/>
        <v>5</v>
      </c>
      <c r="J655" t="s">
        <v>18</v>
      </c>
      <c r="K655" t="str" cm="1">
        <f t="array" ref="K655">_xlfn.SWITCH(TRIM(UPPER(J655)),
"BUSINESS", "Short Stay",
"CONFERENCE", "Medium Stay",
"VACATION", "Iong Stay",
"HOLIDAY", "Long Stay",
"V", "Leisure",
"UNKNOWN", "Unknown",
"Other")</f>
        <v>Short Stay</v>
      </c>
    </row>
    <row r="656" spans="1:11" x14ac:dyDescent="0.3">
      <c r="A656" t="s">
        <v>2522</v>
      </c>
      <c r="B656" t="s">
        <v>2222</v>
      </c>
      <c r="C656" t="s">
        <v>54</v>
      </c>
      <c r="D656" t="s">
        <v>2523</v>
      </c>
      <c r="E656" t="s">
        <v>63</v>
      </c>
      <c r="F656" t="s">
        <v>2524</v>
      </c>
      <c r="G656" t="s">
        <v>937</v>
      </c>
      <c r="H656" t="s">
        <v>133</v>
      </c>
      <c r="I656">
        <f t="shared" si="10"/>
        <v>5</v>
      </c>
      <c r="J656" t="s">
        <v>121</v>
      </c>
      <c r="K656" t="str" cm="1">
        <f t="array" ref="K656">_xlfn.SWITCH(TRIM(UPPER(J656)),
"BUSINESS", "Short Stay",
"CONFERENCE", "Medium Stay",
"VACATION", "Iong Stay",
"HOLIDAY", "Long Stay",
"V", "Leisure",
"UNKNOWN", "Unknown",
"Other")</f>
        <v>Iong Stay</v>
      </c>
    </row>
    <row r="657" spans="1:11" x14ac:dyDescent="0.3">
      <c r="A657" t="s">
        <v>2525</v>
      </c>
      <c r="B657" t="s">
        <v>300</v>
      </c>
      <c r="C657" t="s">
        <v>83</v>
      </c>
      <c r="D657" t="s">
        <v>2526</v>
      </c>
      <c r="E657" t="s">
        <v>176</v>
      </c>
      <c r="F657" t="s">
        <v>2527</v>
      </c>
      <c r="G657" t="s">
        <v>303</v>
      </c>
      <c r="H657" t="s">
        <v>304</v>
      </c>
      <c r="I657">
        <f t="shared" si="10"/>
        <v>4</v>
      </c>
      <c r="J657" t="s">
        <v>27</v>
      </c>
      <c r="K657" t="str" cm="1">
        <f t="array" ref="K657">_xlfn.SWITCH(TRIM(UPPER(J657)),
"BUSINESS", "Short Stay",
"CONFERENCE", "Medium Stay",
"VACATION", "Iong Stay",
"HOLIDAY", "Long Stay",
"V", "Leisure",
"UNKNOWN", "Unknown",
"Other")</f>
        <v>Medium Stay</v>
      </c>
    </row>
    <row r="658" spans="1:11" x14ac:dyDescent="0.3">
      <c r="A658" t="s">
        <v>2528</v>
      </c>
      <c r="B658" t="s">
        <v>535</v>
      </c>
      <c r="C658" t="s">
        <v>83</v>
      </c>
      <c r="D658" t="s">
        <v>713</v>
      </c>
      <c r="E658" t="s">
        <v>176</v>
      </c>
      <c r="F658" t="s">
        <v>2529</v>
      </c>
      <c r="G658" t="s">
        <v>538</v>
      </c>
      <c r="H658" t="s">
        <v>539</v>
      </c>
      <c r="I658">
        <f t="shared" si="10"/>
        <v>5</v>
      </c>
      <c r="J658" t="s">
        <v>121</v>
      </c>
      <c r="K658" t="str" cm="1">
        <f t="array" ref="K658">_xlfn.SWITCH(TRIM(UPPER(J658)),
"BUSINESS", "Short Stay",
"CONFERENCE", "Medium Stay",
"VACATION", "Iong Stay",
"HOLIDAY", "Long Stay",
"V", "Leisure",
"UNKNOWN", "Unknown",
"Other")</f>
        <v>Iong Stay</v>
      </c>
    </row>
    <row r="659" spans="1:11" x14ac:dyDescent="0.3">
      <c r="A659" t="s">
        <v>2530</v>
      </c>
      <c r="B659" t="s">
        <v>2531</v>
      </c>
      <c r="C659" t="s">
        <v>83</v>
      </c>
      <c r="D659" t="s">
        <v>2532</v>
      </c>
      <c r="E659" t="s">
        <v>85</v>
      </c>
      <c r="F659" t="s">
        <v>2533</v>
      </c>
      <c r="G659" t="s">
        <v>1986</v>
      </c>
      <c r="H659" t="s">
        <v>971</v>
      </c>
      <c r="I659">
        <f t="shared" si="10"/>
        <v>1</v>
      </c>
      <c r="J659" t="s">
        <v>18</v>
      </c>
      <c r="K659" t="str" cm="1">
        <f t="array" ref="K659">_xlfn.SWITCH(TRIM(UPPER(J659)),
"BUSINESS", "Short Stay",
"CONFERENCE", "Medium Stay",
"VACATION", "Iong Stay",
"HOLIDAY", "Long Stay",
"V", "Leisure",
"UNKNOWN", "Unknown",
"Other")</f>
        <v>Short Stay</v>
      </c>
    </row>
    <row r="660" spans="1:11" x14ac:dyDescent="0.3">
      <c r="A660" t="s">
        <v>2534</v>
      </c>
      <c r="B660" t="s">
        <v>1591</v>
      </c>
      <c r="C660" t="s">
        <v>38</v>
      </c>
      <c r="D660" t="s">
        <v>1836</v>
      </c>
      <c r="E660" t="s">
        <v>214</v>
      </c>
      <c r="F660" t="s">
        <v>2535</v>
      </c>
      <c r="G660" t="s">
        <v>426</v>
      </c>
      <c r="H660" t="s">
        <v>393</v>
      </c>
      <c r="I660">
        <f t="shared" si="10"/>
        <v>1</v>
      </c>
      <c r="J660" t="s">
        <v>18</v>
      </c>
      <c r="K660" t="str" cm="1">
        <f t="array" ref="K660">_xlfn.SWITCH(TRIM(UPPER(J660)),
"BUSINESS", "Short Stay",
"CONFERENCE", "Medium Stay",
"VACATION", "Iong Stay",
"HOLIDAY", "Long Stay",
"V", "Leisure",
"UNKNOWN", "Unknown",
"Other")</f>
        <v>Short Stay</v>
      </c>
    </row>
    <row r="661" spans="1:11" x14ac:dyDescent="0.3">
      <c r="A661" t="s">
        <v>2536</v>
      </c>
      <c r="B661" t="s">
        <v>1277</v>
      </c>
      <c r="C661" t="s">
        <v>75</v>
      </c>
      <c r="D661" t="s">
        <v>2537</v>
      </c>
      <c r="E661" t="s">
        <v>117</v>
      </c>
      <c r="F661" t="s">
        <v>2538</v>
      </c>
      <c r="G661" t="s">
        <v>1280</v>
      </c>
      <c r="H661" t="s">
        <v>426</v>
      </c>
      <c r="I661">
        <f t="shared" si="10"/>
        <v>5</v>
      </c>
      <c r="J661" t="s">
        <v>44</v>
      </c>
      <c r="K661" t="str" cm="1">
        <f t="array" ref="K661">_xlfn.SWITCH(TRIM(UPPER(J661)),
"BUSINESS", "Short Stay",
"CONFERENCE", "Medium Stay",
"VACATION", "Iong Stay",
"HOLIDAY", "Long Stay",
"V", "Leisure",
"UNKNOWN", "Unknown",
"Other")</f>
        <v>Other</v>
      </c>
    </row>
    <row r="662" spans="1:11" x14ac:dyDescent="0.3">
      <c r="A662" t="s">
        <v>2539</v>
      </c>
      <c r="B662" t="s">
        <v>1313</v>
      </c>
      <c r="C662" t="s">
        <v>61</v>
      </c>
      <c r="D662" t="s">
        <v>2540</v>
      </c>
      <c r="E662" t="s">
        <v>176</v>
      </c>
      <c r="F662" t="s">
        <v>2541</v>
      </c>
      <c r="G662" t="s">
        <v>1316</v>
      </c>
      <c r="H662" t="s">
        <v>1234</v>
      </c>
      <c r="I662">
        <f t="shared" si="10"/>
        <v>1</v>
      </c>
      <c r="J662" t="s">
        <v>27</v>
      </c>
      <c r="K662" t="str" cm="1">
        <f t="array" ref="K662">_xlfn.SWITCH(TRIM(UPPER(J662)),
"BUSINESS", "Short Stay",
"CONFERENCE", "Medium Stay",
"VACATION", "Iong Stay",
"HOLIDAY", "Long Stay",
"V", "Leisure",
"UNKNOWN", "Unknown",
"Other")</f>
        <v>Medium Stay</v>
      </c>
    </row>
    <row r="663" spans="1:11" x14ac:dyDescent="0.3">
      <c r="A663" t="s">
        <v>2542</v>
      </c>
      <c r="B663" t="s">
        <v>1557</v>
      </c>
      <c r="C663" t="s">
        <v>30</v>
      </c>
      <c r="D663" t="s">
        <v>2543</v>
      </c>
      <c r="E663" t="s">
        <v>430</v>
      </c>
      <c r="F663" t="s">
        <v>2544</v>
      </c>
      <c r="G663" t="s">
        <v>958</v>
      </c>
      <c r="H663" t="s">
        <v>71</v>
      </c>
      <c r="I663">
        <f t="shared" si="10"/>
        <v>3</v>
      </c>
      <c r="J663" t="s">
        <v>27</v>
      </c>
      <c r="K663" t="str" cm="1">
        <f t="array" ref="K663">_xlfn.SWITCH(TRIM(UPPER(J663)),
"BUSINESS", "Short Stay",
"CONFERENCE", "Medium Stay",
"VACATION", "Iong Stay",
"HOLIDAY", "Long Stay",
"V", "Leisure",
"UNKNOWN", "Unknown",
"Other")</f>
        <v>Medium Stay</v>
      </c>
    </row>
    <row r="664" spans="1:11" x14ac:dyDescent="0.3">
      <c r="A664" t="s">
        <v>2545</v>
      </c>
      <c r="B664" t="s">
        <v>252</v>
      </c>
      <c r="C664" t="s">
        <v>30</v>
      </c>
      <c r="D664" t="s">
        <v>2546</v>
      </c>
      <c r="E664" t="s">
        <v>85</v>
      </c>
      <c r="F664" t="s">
        <v>2547</v>
      </c>
      <c r="G664" t="s">
        <v>88</v>
      </c>
      <c r="H664" t="s">
        <v>517</v>
      </c>
      <c r="I664">
        <f t="shared" si="10"/>
        <v>4</v>
      </c>
      <c r="J664" t="s">
        <v>121</v>
      </c>
      <c r="K664" t="str" cm="1">
        <f t="array" ref="K664">_xlfn.SWITCH(TRIM(UPPER(J664)),
"BUSINESS", "Short Stay",
"CONFERENCE", "Medium Stay",
"VACATION", "Iong Stay",
"HOLIDAY", "Long Stay",
"V", "Leisure",
"UNKNOWN", "Unknown",
"Other")</f>
        <v>Iong Stay</v>
      </c>
    </row>
    <row r="665" spans="1:11" x14ac:dyDescent="0.3">
      <c r="A665" t="s">
        <v>2548</v>
      </c>
      <c r="B665" t="s">
        <v>722</v>
      </c>
      <c r="C665" t="s">
        <v>30</v>
      </c>
      <c r="D665" t="s">
        <v>2204</v>
      </c>
      <c r="E665" t="s">
        <v>69</v>
      </c>
      <c r="F665" t="s">
        <v>2549</v>
      </c>
      <c r="G665" t="s">
        <v>725</v>
      </c>
      <c r="H665" t="s">
        <v>2550</v>
      </c>
      <c r="I665">
        <f t="shared" si="10"/>
        <v>3</v>
      </c>
      <c r="J665" t="s">
        <v>18</v>
      </c>
      <c r="K665" t="str" cm="1">
        <f t="array" ref="K665">_xlfn.SWITCH(TRIM(UPPER(J665)),
"BUSINESS", "Short Stay",
"CONFERENCE", "Medium Stay",
"VACATION", "Iong Stay",
"HOLIDAY", "Long Stay",
"V", "Leisure",
"UNKNOWN", "Unknown",
"Other")</f>
        <v>Short Stay</v>
      </c>
    </row>
    <row r="666" spans="1:11" x14ac:dyDescent="0.3">
      <c r="A666" t="s">
        <v>2551</v>
      </c>
      <c r="B666" t="s">
        <v>1541</v>
      </c>
      <c r="C666" t="s">
        <v>61</v>
      </c>
      <c r="D666" t="s">
        <v>2552</v>
      </c>
      <c r="E666" t="s">
        <v>40</v>
      </c>
      <c r="F666" t="s">
        <v>2553</v>
      </c>
      <c r="G666" t="s">
        <v>1543</v>
      </c>
      <c r="H666" t="s">
        <v>271</v>
      </c>
      <c r="I666">
        <f t="shared" si="10"/>
        <v>1</v>
      </c>
      <c r="J666" t="s">
        <v>44</v>
      </c>
      <c r="K666" t="str" cm="1">
        <f t="array" ref="K666">_xlfn.SWITCH(TRIM(UPPER(J666)),
"BUSINESS", "Short Stay",
"CONFERENCE", "Medium Stay",
"VACATION", "Iong Stay",
"HOLIDAY", "Long Stay",
"V", "Leisure",
"UNKNOWN", "Unknown",
"Other")</f>
        <v>Other</v>
      </c>
    </row>
    <row r="667" spans="1:11" x14ac:dyDescent="0.3">
      <c r="A667" t="s">
        <v>2554</v>
      </c>
      <c r="B667" t="s">
        <v>2555</v>
      </c>
      <c r="C667" t="s">
        <v>61</v>
      </c>
      <c r="D667" t="s">
        <v>2556</v>
      </c>
      <c r="E667" t="s">
        <v>14</v>
      </c>
      <c r="F667" t="s">
        <v>2557</v>
      </c>
      <c r="G667" t="s">
        <v>600</v>
      </c>
      <c r="H667" t="s">
        <v>615</v>
      </c>
      <c r="I667">
        <f t="shared" si="10"/>
        <v>5</v>
      </c>
      <c r="J667" t="s">
        <v>121</v>
      </c>
      <c r="K667" t="str" cm="1">
        <f t="array" ref="K667">_xlfn.SWITCH(TRIM(UPPER(J667)),
"BUSINESS", "Short Stay",
"CONFERENCE", "Medium Stay",
"VACATION", "Iong Stay",
"HOLIDAY", "Long Stay",
"V", "Leisure",
"UNKNOWN", "Unknown",
"Other")</f>
        <v>Iong Stay</v>
      </c>
    </row>
    <row r="668" spans="1:11" x14ac:dyDescent="0.3">
      <c r="A668" t="s">
        <v>2558</v>
      </c>
      <c r="B668" t="s">
        <v>167</v>
      </c>
      <c r="C668" t="s">
        <v>61</v>
      </c>
      <c r="D668" t="s">
        <v>2184</v>
      </c>
      <c r="E668" t="s">
        <v>149</v>
      </c>
      <c r="F668" t="s">
        <v>2559</v>
      </c>
      <c r="G668" t="s">
        <v>170</v>
      </c>
      <c r="H668" t="s">
        <v>1437</v>
      </c>
      <c r="I668">
        <f t="shared" si="10"/>
        <v>1</v>
      </c>
      <c r="J668" t="s">
        <v>121</v>
      </c>
      <c r="K668" t="str" cm="1">
        <f t="array" ref="K668">_xlfn.SWITCH(TRIM(UPPER(J668)),
"BUSINESS", "Short Stay",
"CONFERENCE", "Medium Stay",
"VACATION", "Iong Stay",
"HOLIDAY", "Long Stay",
"V", "Leisure",
"UNKNOWN", "Unknown",
"Other")</f>
        <v>Iong Stay</v>
      </c>
    </row>
    <row r="669" spans="1:11" x14ac:dyDescent="0.3">
      <c r="A669" t="s">
        <v>2560</v>
      </c>
      <c r="B669" t="s">
        <v>905</v>
      </c>
      <c r="C669" t="s">
        <v>38</v>
      </c>
      <c r="D669" t="s">
        <v>2561</v>
      </c>
      <c r="E669" t="s">
        <v>201</v>
      </c>
      <c r="F669" t="s">
        <v>2562</v>
      </c>
      <c r="G669" t="s">
        <v>539</v>
      </c>
      <c r="H669" t="s">
        <v>265</v>
      </c>
      <c r="I669">
        <f t="shared" si="10"/>
        <v>5</v>
      </c>
      <c r="J669" t="s">
        <v>27</v>
      </c>
      <c r="K669" t="str" cm="1">
        <f t="array" ref="K669">_xlfn.SWITCH(TRIM(UPPER(J669)),
"BUSINESS", "Short Stay",
"CONFERENCE", "Medium Stay",
"VACATION", "Iong Stay",
"HOLIDAY", "Long Stay",
"V", "Leisure",
"UNKNOWN", "Unknown",
"Other")</f>
        <v>Medium Stay</v>
      </c>
    </row>
    <row r="670" spans="1:11" x14ac:dyDescent="0.3">
      <c r="A670" t="s">
        <v>2563</v>
      </c>
      <c r="B670" t="s">
        <v>933</v>
      </c>
      <c r="C670" t="s">
        <v>174</v>
      </c>
      <c r="D670" t="s">
        <v>475</v>
      </c>
      <c r="E670" t="s">
        <v>156</v>
      </c>
      <c r="F670" t="s">
        <v>2564</v>
      </c>
      <c r="G670" t="s">
        <v>936</v>
      </c>
      <c r="H670" t="s">
        <v>706</v>
      </c>
      <c r="I670">
        <f t="shared" si="10"/>
        <v>4</v>
      </c>
      <c r="J670" t="s">
        <v>121</v>
      </c>
      <c r="K670" t="str" cm="1">
        <f t="array" ref="K670">_xlfn.SWITCH(TRIM(UPPER(J670)),
"BUSINESS", "Short Stay",
"CONFERENCE", "Medium Stay",
"VACATION", "Iong Stay",
"HOLIDAY", "Long Stay",
"V", "Leisure",
"UNKNOWN", "Unknown",
"Other")</f>
        <v>Iong Stay</v>
      </c>
    </row>
    <row r="671" spans="1:11" x14ac:dyDescent="0.3">
      <c r="A671" t="s">
        <v>2565</v>
      </c>
      <c r="B671" t="s">
        <v>1745</v>
      </c>
      <c r="C671" t="s">
        <v>61</v>
      </c>
      <c r="D671" t="s">
        <v>2566</v>
      </c>
      <c r="E671" t="s">
        <v>314</v>
      </c>
      <c r="F671" t="s">
        <v>2567</v>
      </c>
      <c r="G671" t="s">
        <v>43</v>
      </c>
      <c r="H671" t="s">
        <v>936</v>
      </c>
      <c r="I671">
        <f t="shared" si="10"/>
        <v>2</v>
      </c>
      <c r="J671" t="s">
        <v>18</v>
      </c>
      <c r="K671" t="str" cm="1">
        <f t="array" ref="K671">_xlfn.SWITCH(TRIM(UPPER(J671)),
"BUSINESS", "Short Stay",
"CONFERENCE", "Medium Stay",
"VACATION", "Iong Stay",
"HOLIDAY", "Long Stay",
"V", "Leisure",
"UNKNOWN", "Unknown",
"Other")</f>
        <v>Short Stay</v>
      </c>
    </row>
    <row r="672" spans="1:11" x14ac:dyDescent="0.3">
      <c r="A672" t="s">
        <v>2568</v>
      </c>
      <c r="B672" t="s">
        <v>2569</v>
      </c>
      <c r="C672" t="s">
        <v>83</v>
      </c>
      <c r="D672" t="s">
        <v>274</v>
      </c>
      <c r="E672" t="s">
        <v>32</v>
      </c>
      <c r="F672" t="s">
        <v>2570</v>
      </c>
      <c r="G672" t="s">
        <v>686</v>
      </c>
      <c r="H672" t="s">
        <v>377</v>
      </c>
      <c r="I672">
        <f t="shared" si="10"/>
        <v>4</v>
      </c>
      <c r="J672" t="s">
        <v>121</v>
      </c>
      <c r="K672" t="str" cm="1">
        <f t="array" ref="K672">_xlfn.SWITCH(TRIM(UPPER(J672)),
"BUSINESS", "Short Stay",
"CONFERENCE", "Medium Stay",
"VACATION", "Iong Stay",
"HOLIDAY", "Long Stay",
"V", "Leisure",
"UNKNOWN", "Unknown",
"Other")</f>
        <v>Iong Stay</v>
      </c>
    </row>
    <row r="673" spans="1:11" x14ac:dyDescent="0.3">
      <c r="A673" t="s">
        <v>2571</v>
      </c>
      <c r="B673" t="s">
        <v>2572</v>
      </c>
      <c r="C673" t="s">
        <v>54</v>
      </c>
      <c r="D673" t="s">
        <v>2573</v>
      </c>
      <c r="E673" t="s">
        <v>32</v>
      </c>
      <c r="F673" t="s">
        <v>1500</v>
      </c>
      <c r="G673" t="s">
        <v>1121</v>
      </c>
      <c r="H673" t="s">
        <v>16</v>
      </c>
      <c r="I673">
        <f t="shared" si="10"/>
        <v>3</v>
      </c>
      <c r="J673" t="s">
        <v>121</v>
      </c>
      <c r="K673" t="str" cm="1">
        <f t="array" ref="K673">_xlfn.SWITCH(TRIM(UPPER(J673)),
"BUSINESS", "Short Stay",
"CONFERENCE", "Medium Stay",
"VACATION", "Iong Stay",
"HOLIDAY", "Long Stay",
"V", "Leisure",
"UNKNOWN", "Unknown",
"Other")</f>
        <v>Iong Stay</v>
      </c>
    </row>
    <row r="674" spans="1:11" x14ac:dyDescent="0.3">
      <c r="A674" t="s">
        <v>2574</v>
      </c>
      <c r="B674" t="s">
        <v>986</v>
      </c>
      <c r="C674" t="s">
        <v>54</v>
      </c>
      <c r="D674" t="s">
        <v>2575</v>
      </c>
      <c r="E674" t="s">
        <v>201</v>
      </c>
      <c r="F674" t="s">
        <v>2576</v>
      </c>
      <c r="G674" t="s">
        <v>770</v>
      </c>
      <c r="H674" t="s">
        <v>1267</v>
      </c>
      <c r="I674">
        <f t="shared" si="10"/>
        <v>5</v>
      </c>
      <c r="J674" t="s">
        <v>44</v>
      </c>
      <c r="K674" t="str" cm="1">
        <f t="array" ref="K674">_xlfn.SWITCH(TRIM(UPPER(J674)),
"BUSINESS", "Short Stay",
"CONFERENCE", "Medium Stay",
"VACATION", "Iong Stay",
"HOLIDAY", "Long Stay",
"V", "Leisure",
"UNKNOWN", "Unknown",
"Other")</f>
        <v>Other</v>
      </c>
    </row>
    <row r="675" spans="1:11" x14ac:dyDescent="0.3">
      <c r="A675" t="s">
        <v>2577</v>
      </c>
      <c r="B675" t="s">
        <v>252</v>
      </c>
      <c r="C675" t="s">
        <v>12</v>
      </c>
      <c r="D675" t="s">
        <v>2578</v>
      </c>
      <c r="E675" t="s">
        <v>546</v>
      </c>
      <c r="F675" t="s">
        <v>2579</v>
      </c>
      <c r="G675" t="s">
        <v>88</v>
      </c>
      <c r="H675" t="s">
        <v>255</v>
      </c>
      <c r="I675">
        <f t="shared" si="10"/>
        <v>3</v>
      </c>
      <c r="J675" t="s">
        <v>18</v>
      </c>
      <c r="K675" t="str" cm="1">
        <f t="array" ref="K675">_xlfn.SWITCH(TRIM(UPPER(J675)),
"BUSINESS", "Short Stay",
"CONFERENCE", "Medium Stay",
"VACATION", "Iong Stay",
"HOLIDAY", "Long Stay",
"V", "Leisure",
"UNKNOWN", "Unknown",
"Other")</f>
        <v>Short Stay</v>
      </c>
    </row>
    <row r="676" spans="1:11" x14ac:dyDescent="0.3">
      <c r="A676" t="s">
        <v>2580</v>
      </c>
      <c r="B676" t="s">
        <v>2513</v>
      </c>
      <c r="C676" t="s">
        <v>38</v>
      </c>
      <c r="D676" t="s">
        <v>307</v>
      </c>
      <c r="E676" t="s">
        <v>176</v>
      </c>
      <c r="F676" t="s">
        <v>2581</v>
      </c>
      <c r="G676" t="s">
        <v>2516</v>
      </c>
      <c r="H676" t="s">
        <v>133</v>
      </c>
      <c r="I676">
        <f t="shared" si="10"/>
        <v>1</v>
      </c>
      <c r="J676" t="s">
        <v>27</v>
      </c>
      <c r="K676" t="str" cm="1">
        <f t="array" ref="K676">_xlfn.SWITCH(TRIM(UPPER(J676)),
"BUSINESS", "Short Stay",
"CONFERENCE", "Medium Stay",
"VACATION", "Iong Stay",
"HOLIDAY", "Long Stay",
"V", "Leisure",
"UNKNOWN", "Unknown",
"Other")</f>
        <v>Medium Stay</v>
      </c>
    </row>
    <row r="677" spans="1:11" x14ac:dyDescent="0.3">
      <c r="A677" t="s">
        <v>2582</v>
      </c>
      <c r="B677" t="s">
        <v>2374</v>
      </c>
      <c r="C677" t="s">
        <v>75</v>
      </c>
      <c r="D677" t="s">
        <v>2583</v>
      </c>
      <c r="E677" t="s">
        <v>176</v>
      </c>
      <c r="F677" t="s">
        <v>2584</v>
      </c>
      <c r="G677" t="s">
        <v>113</v>
      </c>
      <c r="H677" t="s">
        <v>426</v>
      </c>
      <c r="I677">
        <f t="shared" si="10"/>
        <v>1</v>
      </c>
      <c r="J677" t="s">
        <v>44</v>
      </c>
      <c r="K677" t="str" cm="1">
        <f t="array" ref="K677">_xlfn.SWITCH(TRIM(UPPER(J677)),
"BUSINESS", "Short Stay",
"CONFERENCE", "Medium Stay",
"VACATION", "Iong Stay",
"HOLIDAY", "Long Stay",
"V", "Leisure",
"UNKNOWN", "Unknown",
"Other")</f>
        <v>Other</v>
      </c>
    </row>
    <row r="678" spans="1:11" x14ac:dyDescent="0.3">
      <c r="A678" t="s">
        <v>2585</v>
      </c>
      <c r="B678" t="s">
        <v>665</v>
      </c>
      <c r="C678" t="s">
        <v>38</v>
      </c>
      <c r="D678" t="s">
        <v>2586</v>
      </c>
      <c r="E678" t="s">
        <v>85</v>
      </c>
      <c r="F678" t="s">
        <v>2587</v>
      </c>
      <c r="G678" t="s">
        <v>668</v>
      </c>
      <c r="H678" t="s">
        <v>58</v>
      </c>
      <c r="I678">
        <f t="shared" si="10"/>
        <v>4</v>
      </c>
      <c r="J678" t="s">
        <v>27</v>
      </c>
      <c r="K678" t="str" cm="1">
        <f t="array" ref="K678">_xlfn.SWITCH(TRIM(UPPER(J678)),
"BUSINESS", "Short Stay",
"CONFERENCE", "Medium Stay",
"VACATION", "Iong Stay",
"HOLIDAY", "Long Stay",
"V", "Leisure",
"UNKNOWN", "Unknown",
"Other")</f>
        <v>Medium Stay</v>
      </c>
    </row>
    <row r="679" spans="1:11" x14ac:dyDescent="0.3">
      <c r="A679" t="s">
        <v>2588</v>
      </c>
      <c r="B679" t="s">
        <v>1009</v>
      </c>
      <c r="C679" t="s">
        <v>97</v>
      </c>
      <c r="D679" t="s">
        <v>2204</v>
      </c>
      <c r="E679" t="s">
        <v>201</v>
      </c>
      <c r="F679" t="s">
        <v>2589</v>
      </c>
      <c r="G679" t="s">
        <v>1012</v>
      </c>
      <c r="H679" t="s">
        <v>856</v>
      </c>
      <c r="I679">
        <f t="shared" si="10"/>
        <v>5</v>
      </c>
      <c r="J679" t="s">
        <v>27</v>
      </c>
      <c r="K679" t="str" cm="1">
        <f t="array" ref="K679">_xlfn.SWITCH(TRIM(UPPER(J679)),
"BUSINESS", "Short Stay",
"CONFERENCE", "Medium Stay",
"VACATION", "Iong Stay",
"HOLIDAY", "Long Stay",
"V", "Leisure",
"UNKNOWN", "Unknown",
"Other")</f>
        <v>Medium Stay</v>
      </c>
    </row>
    <row r="680" spans="1:11" x14ac:dyDescent="0.3">
      <c r="A680" t="s">
        <v>2590</v>
      </c>
      <c r="B680" t="s">
        <v>1591</v>
      </c>
      <c r="C680" t="s">
        <v>54</v>
      </c>
      <c r="D680" t="s">
        <v>2591</v>
      </c>
      <c r="E680" t="s">
        <v>176</v>
      </c>
      <c r="F680" t="s">
        <v>1762</v>
      </c>
      <c r="G680" t="s">
        <v>426</v>
      </c>
      <c r="H680" t="s">
        <v>1311</v>
      </c>
      <c r="I680">
        <f t="shared" si="10"/>
        <v>5</v>
      </c>
      <c r="J680" t="s">
        <v>121</v>
      </c>
      <c r="K680" t="str" cm="1">
        <f t="array" ref="K680">_xlfn.SWITCH(TRIM(UPPER(J680)),
"BUSINESS", "Short Stay",
"CONFERENCE", "Medium Stay",
"VACATION", "Iong Stay",
"HOLIDAY", "Long Stay",
"V", "Leisure",
"UNKNOWN", "Unknown",
"Other")</f>
        <v>Iong Stay</v>
      </c>
    </row>
    <row r="681" spans="1:11" x14ac:dyDescent="0.3">
      <c r="A681" t="s">
        <v>2592</v>
      </c>
      <c r="B681" t="s">
        <v>389</v>
      </c>
      <c r="C681" t="s">
        <v>61</v>
      </c>
      <c r="D681" t="s">
        <v>1726</v>
      </c>
      <c r="E681" t="s">
        <v>176</v>
      </c>
      <c r="F681" t="s">
        <v>2593</v>
      </c>
      <c r="G681" t="s">
        <v>392</v>
      </c>
      <c r="H681" t="s">
        <v>113</v>
      </c>
      <c r="I681">
        <f t="shared" si="10"/>
        <v>2</v>
      </c>
      <c r="J681" t="s">
        <v>27</v>
      </c>
      <c r="K681" t="str" cm="1">
        <f t="array" ref="K681">_xlfn.SWITCH(TRIM(UPPER(J681)),
"BUSINESS", "Short Stay",
"CONFERENCE", "Medium Stay",
"VACATION", "Iong Stay",
"HOLIDAY", "Long Stay",
"V", "Leisure",
"UNKNOWN", "Unknown",
"Other")</f>
        <v>Medium Stay</v>
      </c>
    </row>
    <row r="682" spans="1:11" x14ac:dyDescent="0.3">
      <c r="A682" t="s">
        <v>2594</v>
      </c>
      <c r="B682" t="s">
        <v>1933</v>
      </c>
      <c r="C682" t="s">
        <v>21</v>
      </c>
      <c r="D682" t="s">
        <v>2595</v>
      </c>
      <c r="E682" t="s">
        <v>149</v>
      </c>
      <c r="F682" t="s">
        <v>2596</v>
      </c>
      <c r="G682" t="s">
        <v>726</v>
      </c>
      <c r="H682" t="s">
        <v>739</v>
      </c>
      <c r="I682">
        <f t="shared" si="10"/>
        <v>5</v>
      </c>
      <c r="J682" t="s">
        <v>121</v>
      </c>
      <c r="K682" t="str" cm="1">
        <f t="array" ref="K682">_xlfn.SWITCH(TRIM(UPPER(J682)),
"BUSINESS", "Short Stay",
"CONFERENCE", "Medium Stay",
"VACATION", "Iong Stay",
"HOLIDAY", "Long Stay",
"V", "Leisure",
"UNKNOWN", "Unknown",
"Other")</f>
        <v>Iong Stay</v>
      </c>
    </row>
    <row r="683" spans="1:11" x14ac:dyDescent="0.3">
      <c r="A683" t="s">
        <v>2597</v>
      </c>
      <c r="B683" t="s">
        <v>395</v>
      </c>
      <c r="C683" t="s">
        <v>61</v>
      </c>
      <c r="D683" t="s">
        <v>2598</v>
      </c>
      <c r="E683" t="s">
        <v>201</v>
      </c>
      <c r="F683" t="s">
        <v>2599</v>
      </c>
      <c r="G683" t="s">
        <v>398</v>
      </c>
      <c r="H683" t="s">
        <v>1986</v>
      </c>
      <c r="I683">
        <f t="shared" si="10"/>
        <v>1</v>
      </c>
      <c r="J683" t="s">
        <v>44</v>
      </c>
      <c r="K683" t="str" cm="1">
        <f t="array" ref="K683">_xlfn.SWITCH(TRIM(UPPER(J683)),
"BUSINESS", "Short Stay",
"CONFERENCE", "Medium Stay",
"VACATION", "Iong Stay",
"HOLIDAY", "Long Stay",
"V", "Leisure",
"UNKNOWN", "Unknown",
"Other")</f>
        <v>Other</v>
      </c>
    </row>
    <row r="684" spans="1:11" x14ac:dyDescent="0.3">
      <c r="A684" t="s">
        <v>2600</v>
      </c>
      <c r="B684" t="s">
        <v>1206</v>
      </c>
      <c r="C684" t="s">
        <v>21</v>
      </c>
      <c r="D684" t="s">
        <v>1250</v>
      </c>
      <c r="E684" t="s">
        <v>32</v>
      </c>
      <c r="F684" t="s">
        <v>2601</v>
      </c>
      <c r="G684" t="s">
        <v>1208</v>
      </c>
      <c r="H684" t="s">
        <v>1407</v>
      </c>
      <c r="I684">
        <f t="shared" si="10"/>
        <v>2</v>
      </c>
      <c r="J684" t="s">
        <v>27</v>
      </c>
      <c r="K684" t="str" cm="1">
        <f t="array" ref="K684">_xlfn.SWITCH(TRIM(UPPER(J684)),
"BUSINESS", "Short Stay",
"CONFERENCE", "Medium Stay",
"VACATION", "Iong Stay",
"HOLIDAY", "Long Stay",
"V", "Leisure",
"UNKNOWN", "Unknown",
"Other")</f>
        <v>Medium Stay</v>
      </c>
    </row>
    <row r="685" spans="1:11" x14ac:dyDescent="0.3">
      <c r="A685" t="s">
        <v>2602</v>
      </c>
      <c r="B685" t="s">
        <v>2603</v>
      </c>
      <c r="C685" t="s">
        <v>174</v>
      </c>
      <c r="D685" t="s">
        <v>76</v>
      </c>
      <c r="E685" t="s">
        <v>85</v>
      </c>
      <c r="F685" t="s">
        <v>2604</v>
      </c>
      <c r="G685" t="s">
        <v>951</v>
      </c>
      <c r="H685" t="s">
        <v>232</v>
      </c>
      <c r="I685">
        <f t="shared" si="10"/>
        <v>2</v>
      </c>
      <c r="J685" t="s">
        <v>44</v>
      </c>
      <c r="K685" t="str" cm="1">
        <f t="array" ref="K685">_xlfn.SWITCH(TRIM(UPPER(J685)),
"BUSINESS", "Short Stay",
"CONFERENCE", "Medium Stay",
"VACATION", "Iong Stay",
"HOLIDAY", "Long Stay",
"V", "Leisure",
"UNKNOWN", "Unknown",
"Other")</f>
        <v>Other</v>
      </c>
    </row>
    <row r="686" spans="1:11" x14ac:dyDescent="0.3">
      <c r="A686" t="s">
        <v>2605</v>
      </c>
      <c r="B686" t="s">
        <v>1678</v>
      </c>
      <c r="C686" t="s">
        <v>97</v>
      </c>
      <c r="D686" t="s">
        <v>1691</v>
      </c>
      <c r="E686" t="s">
        <v>32</v>
      </c>
      <c r="F686" t="s">
        <v>2606</v>
      </c>
      <c r="G686" t="s">
        <v>1681</v>
      </c>
      <c r="H686" t="s">
        <v>409</v>
      </c>
      <c r="I686">
        <f t="shared" si="10"/>
        <v>5</v>
      </c>
      <c r="J686" t="s">
        <v>18</v>
      </c>
      <c r="K686" t="str" cm="1">
        <f t="array" ref="K686">_xlfn.SWITCH(TRIM(UPPER(J686)),
"BUSINESS", "Short Stay",
"CONFERENCE", "Medium Stay",
"VACATION", "Iong Stay",
"HOLIDAY", "Long Stay",
"V", "Leisure",
"UNKNOWN", "Unknown",
"Other")</f>
        <v>Short Stay</v>
      </c>
    </row>
    <row r="687" spans="1:11" x14ac:dyDescent="0.3">
      <c r="A687" t="s">
        <v>2607</v>
      </c>
      <c r="B687" t="s">
        <v>1765</v>
      </c>
      <c r="C687" t="s">
        <v>54</v>
      </c>
      <c r="D687" t="s">
        <v>2002</v>
      </c>
      <c r="E687" t="s">
        <v>69</v>
      </c>
      <c r="F687" t="s">
        <v>2608</v>
      </c>
      <c r="G687" t="s">
        <v>1768</v>
      </c>
      <c r="H687" t="s">
        <v>1121</v>
      </c>
      <c r="I687">
        <f t="shared" si="10"/>
        <v>5</v>
      </c>
      <c r="J687" t="s">
        <v>121</v>
      </c>
      <c r="K687" t="str" cm="1">
        <f t="array" ref="K687">_xlfn.SWITCH(TRIM(UPPER(J687)),
"BUSINESS", "Short Stay",
"CONFERENCE", "Medium Stay",
"VACATION", "Iong Stay",
"HOLIDAY", "Long Stay",
"V", "Leisure",
"UNKNOWN", "Unknown",
"Other")</f>
        <v>Iong Stay</v>
      </c>
    </row>
    <row r="688" spans="1:11" x14ac:dyDescent="0.3">
      <c r="A688" t="s">
        <v>2609</v>
      </c>
      <c r="B688" t="s">
        <v>1984</v>
      </c>
      <c r="C688" t="s">
        <v>75</v>
      </c>
      <c r="D688" t="s">
        <v>1913</v>
      </c>
      <c r="E688" t="s">
        <v>476</v>
      </c>
      <c r="F688" t="s">
        <v>2610</v>
      </c>
      <c r="G688" t="s">
        <v>443</v>
      </c>
      <c r="H688" t="s">
        <v>398</v>
      </c>
      <c r="I688">
        <f t="shared" si="10"/>
        <v>3</v>
      </c>
      <c r="J688" t="s">
        <v>44</v>
      </c>
      <c r="K688" t="str" cm="1">
        <f t="array" ref="K688">_xlfn.SWITCH(TRIM(UPPER(J688)),
"BUSINESS", "Short Stay",
"CONFERENCE", "Medium Stay",
"VACATION", "Iong Stay",
"HOLIDAY", "Long Stay",
"V", "Leisure",
"UNKNOWN", "Unknown",
"Other")</f>
        <v>Other</v>
      </c>
    </row>
    <row r="689" spans="1:11" x14ac:dyDescent="0.3">
      <c r="A689" t="s">
        <v>2611</v>
      </c>
      <c r="B689" t="s">
        <v>173</v>
      </c>
      <c r="C689" t="s">
        <v>54</v>
      </c>
      <c r="D689" t="s">
        <v>2514</v>
      </c>
      <c r="E689" t="s">
        <v>63</v>
      </c>
      <c r="F689" t="s">
        <v>2612</v>
      </c>
      <c r="G689" t="s">
        <v>178</v>
      </c>
      <c r="H689" t="s">
        <v>1025</v>
      </c>
      <c r="I689">
        <f t="shared" si="10"/>
        <v>2</v>
      </c>
      <c r="J689" t="s">
        <v>18</v>
      </c>
      <c r="K689" t="str" cm="1">
        <f t="array" ref="K689">_xlfn.SWITCH(TRIM(UPPER(J689)),
"BUSINESS", "Short Stay",
"CONFERENCE", "Medium Stay",
"VACATION", "Iong Stay",
"HOLIDAY", "Long Stay",
"V", "Leisure",
"UNKNOWN", "Unknown",
"Other")</f>
        <v>Short Stay</v>
      </c>
    </row>
    <row r="690" spans="1:11" x14ac:dyDescent="0.3">
      <c r="A690" t="s">
        <v>2613</v>
      </c>
      <c r="B690" t="s">
        <v>986</v>
      </c>
      <c r="C690" t="s">
        <v>75</v>
      </c>
      <c r="D690" t="s">
        <v>1852</v>
      </c>
      <c r="E690" t="s">
        <v>63</v>
      </c>
      <c r="F690" t="s">
        <v>2614</v>
      </c>
      <c r="G690" t="s">
        <v>770</v>
      </c>
      <c r="H690" t="s">
        <v>1267</v>
      </c>
      <c r="I690">
        <f t="shared" si="10"/>
        <v>5</v>
      </c>
      <c r="J690" t="s">
        <v>121</v>
      </c>
      <c r="K690" t="str" cm="1">
        <f t="array" ref="K690">_xlfn.SWITCH(TRIM(UPPER(J690)),
"BUSINESS", "Short Stay",
"CONFERENCE", "Medium Stay",
"VACATION", "Iong Stay",
"HOLIDAY", "Long Stay",
"V", "Leisure",
"UNKNOWN", "Unknown",
"Other")</f>
        <v>Iong Stay</v>
      </c>
    </row>
    <row r="691" spans="1:11" x14ac:dyDescent="0.3">
      <c r="A691" t="s">
        <v>2615</v>
      </c>
      <c r="B691" t="s">
        <v>766</v>
      </c>
      <c r="C691" t="s">
        <v>38</v>
      </c>
      <c r="D691" t="s">
        <v>424</v>
      </c>
      <c r="E691" t="s">
        <v>546</v>
      </c>
      <c r="F691" t="s">
        <v>2616</v>
      </c>
      <c r="G691" t="s">
        <v>769</v>
      </c>
      <c r="H691" t="s">
        <v>715</v>
      </c>
      <c r="I691">
        <f t="shared" si="10"/>
        <v>4</v>
      </c>
      <c r="J691" t="s">
        <v>18</v>
      </c>
      <c r="K691" t="str" cm="1">
        <f t="array" ref="K691">_xlfn.SWITCH(TRIM(UPPER(J691)),
"BUSINESS", "Short Stay",
"CONFERENCE", "Medium Stay",
"VACATION", "Iong Stay",
"HOLIDAY", "Long Stay",
"V", "Leisure",
"UNKNOWN", "Unknown",
"Other")</f>
        <v>Short Stay</v>
      </c>
    </row>
    <row r="692" spans="1:11" x14ac:dyDescent="0.3">
      <c r="A692" t="s">
        <v>2617</v>
      </c>
      <c r="B692" t="s">
        <v>606</v>
      </c>
      <c r="C692" t="s">
        <v>75</v>
      </c>
      <c r="D692" t="s">
        <v>2084</v>
      </c>
      <c r="E692" t="s">
        <v>14</v>
      </c>
      <c r="F692" t="s">
        <v>2618</v>
      </c>
      <c r="G692" t="s">
        <v>604</v>
      </c>
      <c r="H692" t="s">
        <v>1659</v>
      </c>
      <c r="I692">
        <f t="shared" si="10"/>
        <v>2</v>
      </c>
      <c r="J692" t="s">
        <v>44</v>
      </c>
      <c r="K692" t="str" cm="1">
        <f t="array" ref="K692">_xlfn.SWITCH(TRIM(UPPER(J692)),
"BUSINESS", "Short Stay",
"CONFERENCE", "Medium Stay",
"VACATION", "Iong Stay",
"HOLIDAY", "Long Stay",
"V", "Leisure",
"UNKNOWN", "Unknown",
"Other")</f>
        <v>Other</v>
      </c>
    </row>
    <row r="693" spans="1:11" x14ac:dyDescent="0.3">
      <c r="A693" t="s">
        <v>2619</v>
      </c>
      <c r="B693" t="s">
        <v>590</v>
      </c>
      <c r="C693" t="s">
        <v>21</v>
      </c>
      <c r="D693" t="s">
        <v>2620</v>
      </c>
      <c r="E693" t="s">
        <v>69</v>
      </c>
      <c r="F693" t="s">
        <v>2621</v>
      </c>
      <c r="G693" t="s">
        <v>593</v>
      </c>
      <c r="H693" t="s">
        <v>663</v>
      </c>
      <c r="I693">
        <f t="shared" si="10"/>
        <v>5</v>
      </c>
      <c r="J693" t="s">
        <v>18</v>
      </c>
      <c r="K693" t="str" cm="1">
        <f t="array" ref="K693">_xlfn.SWITCH(TRIM(UPPER(J693)),
"BUSINESS", "Short Stay",
"CONFERENCE", "Medium Stay",
"VACATION", "Iong Stay",
"HOLIDAY", "Long Stay",
"V", "Leisure",
"UNKNOWN", "Unknown",
"Other")</f>
        <v>Short Stay</v>
      </c>
    </row>
    <row r="694" spans="1:11" x14ac:dyDescent="0.3">
      <c r="A694" t="s">
        <v>2622</v>
      </c>
      <c r="B694" t="s">
        <v>395</v>
      </c>
      <c r="C694" t="s">
        <v>174</v>
      </c>
      <c r="D694" t="s">
        <v>2623</v>
      </c>
      <c r="E694" t="s">
        <v>77</v>
      </c>
      <c r="F694" t="s">
        <v>2624</v>
      </c>
      <c r="G694" t="s">
        <v>398</v>
      </c>
      <c r="H694" t="s">
        <v>604</v>
      </c>
      <c r="I694">
        <f t="shared" si="10"/>
        <v>5</v>
      </c>
      <c r="J694" t="s">
        <v>27</v>
      </c>
      <c r="K694" t="str" cm="1">
        <f t="array" ref="K694">_xlfn.SWITCH(TRIM(UPPER(J694)),
"BUSINESS", "Short Stay",
"CONFERENCE", "Medium Stay",
"VACATION", "Iong Stay",
"HOLIDAY", "Long Stay",
"V", "Leisure",
"UNKNOWN", "Unknown",
"Other")</f>
        <v>Medium Stay</v>
      </c>
    </row>
    <row r="695" spans="1:11" x14ac:dyDescent="0.3">
      <c r="A695" t="s">
        <v>2625</v>
      </c>
      <c r="B695" t="s">
        <v>799</v>
      </c>
      <c r="C695" t="s">
        <v>61</v>
      </c>
      <c r="D695" t="s">
        <v>2626</v>
      </c>
      <c r="E695" t="s">
        <v>32</v>
      </c>
      <c r="F695" t="s">
        <v>2627</v>
      </c>
      <c r="G695" t="s">
        <v>802</v>
      </c>
      <c r="H695" t="s">
        <v>2628</v>
      </c>
      <c r="I695">
        <f t="shared" si="10"/>
        <v>2</v>
      </c>
      <c r="J695" t="s">
        <v>44</v>
      </c>
      <c r="K695" t="str" cm="1">
        <f t="array" ref="K695">_xlfn.SWITCH(TRIM(UPPER(J695)),
"BUSINESS", "Short Stay",
"CONFERENCE", "Medium Stay",
"VACATION", "Iong Stay",
"HOLIDAY", "Long Stay",
"V", "Leisure",
"UNKNOWN", "Unknown",
"Other")</f>
        <v>Other</v>
      </c>
    </row>
    <row r="696" spans="1:11" x14ac:dyDescent="0.3">
      <c r="A696" t="s">
        <v>2629</v>
      </c>
      <c r="B696" t="s">
        <v>1675</v>
      </c>
      <c r="C696" t="s">
        <v>174</v>
      </c>
      <c r="D696" t="s">
        <v>1531</v>
      </c>
      <c r="E696" t="s">
        <v>40</v>
      </c>
      <c r="F696" t="s">
        <v>2630</v>
      </c>
      <c r="G696" t="s">
        <v>919</v>
      </c>
      <c r="H696" t="s">
        <v>1025</v>
      </c>
      <c r="I696">
        <f t="shared" si="10"/>
        <v>3</v>
      </c>
      <c r="J696" t="s">
        <v>44</v>
      </c>
      <c r="K696" t="str" cm="1">
        <f t="array" ref="K696">_xlfn.SWITCH(TRIM(UPPER(J696)),
"BUSINESS", "Short Stay",
"CONFERENCE", "Medium Stay",
"VACATION", "Iong Stay",
"HOLIDAY", "Long Stay",
"V", "Leisure",
"UNKNOWN", "Unknown",
"Other")</f>
        <v>Other</v>
      </c>
    </row>
    <row r="697" spans="1:11" x14ac:dyDescent="0.3">
      <c r="A697" t="s">
        <v>2631</v>
      </c>
      <c r="B697" t="s">
        <v>1902</v>
      </c>
      <c r="C697" t="s">
        <v>54</v>
      </c>
      <c r="D697" t="s">
        <v>2632</v>
      </c>
      <c r="E697" t="s">
        <v>458</v>
      </c>
      <c r="F697" t="s">
        <v>2633</v>
      </c>
      <c r="G697" t="s">
        <v>1905</v>
      </c>
      <c r="H697" t="s">
        <v>621</v>
      </c>
      <c r="I697">
        <f t="shared" si="10"/>
        <v>3</v>
      </c>
      <c r="J697" t="s">
        <v>44</v>
      </c>
      <c r="K697" t="str" cm="1">
        <f t="array" ref="K697">_xlfn.SWITCH(TRIM(UPPER(J697)),
"BUSINESS", "Short Stay",
"CONFERENCE", "Medium Stay",
"VACATION", "Iong Stay",
"HOLIDAY", "Long Stay",
"V", "Leisure",
"UNKNOWN", "Unknown",
"Other")</f>
        <v>Other</v>
      </c>
    </row>
    <row r="698" spans="1:11" x14ac:dyDescent="0.3">
      <c r="A698" t="s">
        <v>2634</v>
      </c>
      <c r="B698" t="s">
        <v>2635</v>
      </c>
      <c r="C698" t="s">
        <v>61</v>
      </c>
      <c r="D698" t="s">
        <v>2046</v>
      </c>
      <c r="E698" t="s">
        <v>85</v>
      </c>
      <c r="F698" t="s">
        <v>2636</v>
      </c>
      <c r="G698" t="s">
        <v>2628</v>
      </c>
      <c r="H698" t="s">
        <v>120</v>
      </c>
      <c r="I698">
        <f t="shared" si="10"/>
        <v>5</v>
      </c>
      <c r="J698" t="s">
        <v>44</v>
      </c>
      <c r="K698" t="str" cm="1">
        <f t="array" ref="K698">_xlfn.SWITCH(TRIM(UPPER(J698)),
"BUSINESS", "Short Stay",
"CONFERENCE", "Medium Stay",
"VACATION", "Iong Stay",
"HOLIDAY", "Long Stay",
"V", "Leisure",
"UNKNOWN", "Unknown",
"Other")</f>
        <v>Other</v>
      </c>
    </row>
    <row r="699" spans="1:11" x14ac:dyDescent="0.3">
      <c r="A699" t="s">
        <v>2637</v>
      </c>
      <c r="B699" t="s">
        <v>973</v>
      </c>
      <c r="C699" t="s">
        <v>54</v>
      </c>
      <c r="D699" t="s">
        <v>969</v>
      </c>
      <c r="E699" t="s">
        <v>32</v>
      </c>
      <c r="F699" t="s">
        <v>2638</v>
      </c>
      <c r="G699" t="s">
        <v>626</v>
      </c>
      <c r="H699" t="s">
        <v>468</v>
      </c>
      <c r="I699">
        <f t="shared" si="10"/>
        <v>4</v>
      </c>
      <c r="J699" t="s">
        <v>44</v>
      </c>
      <c r="K699" t="str" cm="1">
        <f t="array" ref="K699">_xlfn.SWITCH(TRIM(UPPER(J699)),
"BUSINESS", "Short Stay",
"CONFERENCE", "Medium Stay",
"VACATION", "Iong Stay",
"HOLIDAY", "Long Stay",
"V", "Leisure",
"UNKNOWN", "Unknown",
"Other")</f>
        <v>Other</v>
      </c>
    </row>
    <row r="700" spans="1:11" x14ac:dyDescent="0.3">
      <c r="A700" t="s">
        <v>2639</v>
      </c>
      <c r="B700" t="s">
        <v>1454</v>
      </c>
      <c r="C700" t="s">
        <v>83</v>
      </c>
      <c r="D700" t="s">
        <v>847</v>
      </c>
      <c r="E700" t="s">
        <v>40</v>
      </c>
      <c r="F700" t="s">
        <v>2640</v>
      </c>
      <c r="G700" t="s">
        <v>1456</v>
      </c>
      <c r="H700" t="s">
        <v>625</v>
      </c>
      <c r="I700">
        <f t="shared" si="10"/>
        <v>3</v>
      </c>
      <c r="J700" t="s">
        <v>121</v>
      </c>
      <c r="K700" t="str" cm="1">
        <f t="array" ref="K700">_xlfn.SWITCH(TRIM(UPPER(J700)),
"BUSINESS", "Short Stay",
"CONFERENCE", "Medium Stay",
"VACATION", "Iong Stay",
"HOLIDAY", "Long Stay",
"V", "Leisure",
"UNKNOWN", "Unknown",
"Other")</f>
        <v>Iong Stay</v>
      </c>
    </row>
    <row r="701" spans="1:11" x14ac:dyDescent="0.3">
      <c r="A701" t="s">
        <v>2641</v>
      </c>
      <c r="B701" t="s">
        <v>2642</v>
      </c>
      <c r="C701" t="s">
        <v>21</v>
      </c>
      <c r="D701" t="s">
        <v>2643</v>
      </c>
      <c r="E701" t="s">
        <v>77</v>
      </c>
      <c r="F701" t="s">
        <v>2644</v>
      </c>
      <c r="G701" t="s">
        <v>1363</v>
      </c>
      <c r="H701" t="s">
        <v>1296</v>
      </c>
      <c r="I701">
        <f t="shared" si="10"/>
        <v>1</v>
      </c>
      <c r="J701" t="s">
        <v>27</v>
      </c>
      <c r="K701" t="str" cm="1">
        <f t="array" ref="K701">_xlfn.SWITCH(TRIM(UPPER(J701)),
"BUSINESS", "Short Stay",
"CONFERENCE", "Medium Stay",
"VACATION", "Iong Stay",
"HOLIDAY", "Long Stay",
"V", "Leisure",
"UNKNOWN", "Unknown",
"Other")</f>
        <v>Medium Stay</v>
      </c>
    </row>
    <row r="702" spans="1:11" x14ac:dyDescent="0.3">
      <c r="A702" t="s">
        <v>2645</v>
      </c>
      <c r="B702" t="s">
        <v>2646</v>
      </c>
      <c r="C702" t="s">
        <v>174</v>
      </c>
      <c r="D702" t="s">
        <v>2167</v>
      </c>
      <c r="E702" t="s">
        <v>77</v>
      </c>
      <c r="F702" t="s">
        <v>2647</v>
      </c>
      <c r="G702" t="s">
        <v>1432</v>
      </c>
      <c r="H702" t="s">
        <v>668</v>
      </c>
      <c r="I702">
        <f t="shared" si="10"/>
        <v>1</v>
      </c>
      <c r="J702" t="s">
        <v>27</v>
      </c>
      <c r="K702" t="str" cm="1">
        <f t="array" ref="K702">_xlfn.SWITCH(TRIM(UPPER(J702)),
"BUSINESS", "Short Stay",
"CONFERENCE", "Medium Stay",
"VACATION", "Iong Stay",
"HOLIDAY", "Long Stay",
"V", "Leisure",
"UNKNOWN", "Unknown",
"Other")</f>
        <v>Medium Stay</v>
      </c>
    </row>
    <row r="703" spans="1:11" x14ac:dyDescent="0.3">
      <c r="A703" t="s">
        <v>2648</v>
      </c>
      <c r="B703" t="s">
        <v>2395</v>
      </c>
      <c r="C703" t="s">
        <v>97</v>
      </c>
      <c r="D703" t="s">
        <v>965</v>
      </c>
      <c r="E703" t="s">
        <v>214</v>
      </c>
      <c r="F703" t="s">
        <v>2649</v>
      </c>
      <c r="G703" t="s">
        <v>2398</v>
      </c>
      <c r="H703" t="s">
        <v>781</v>
      </c>
      <c r="I703">
        <f t="shared" si="10"/>
        <v>5</v>
      </c>
      <c r="J703" t="s">
        <v>18</v>
      </c>
      <c r="K703" t="str" cm="1">
        <f t="array" ref="K703">_xlfn.SWITCH(TRIM(UPPER(J703)),
"BUSINESS", "Short Stay",
"CONFERENCE", "Medium Stay",
"VACATION", "Iong Stay",
"HOLIDAY", "Long Stay",
"V", "Leisure",
"UNKNOWN", "Unknown",
"Other")</f>
        <v>Short Stay</v>
      </c>
    </row>
    <row r="704" spans="1:11" x14ac:dyDescent="0.3">
      <c r="A704" t="s">
        <v>2650</v>
      </c>
      <c r="B704" t="s">
        <v>1994</v>
      </c>
      <c r="C704" t="s">
        <v>61</v>
      </c>
      <c r="D704" t="s">
        <v>2651</v>
      </c>
      <c r="E704" t="s">
        <v>48</v>
      </c>
      <c r="F704" t="s">
        <v>2652</v>
      </c>
      <c r="G704" t="s">
        <v>764</v>
      </c>
      <c r="H704" t="s">
        <v>1053</v>
      </c>
      <c r="I704">
        <f t="shared" si="10"/>
        <v>5</v>
      </c>
      <c r="J704" t="s">
        <v>27</v>
      </c>
      <c r="K704" t="str" cm="1">
        <f t="array" ref="K704">_xlfn.SWITCH(TRIM(UPPER(J704)),
"BUSINESS", "Short Stay",
"CONFERENCE", "Medium Stay",
"VACATION", "Iong Stay",
"HOLIDAY", "Long Stay",
"V", "Leisure",
"UNKNOWN", "Unknown",
"Other")</f>
        <v>Medium Stay</v>
      </c>
    </row>
    <row r="705" spans="1:11" x14ac:dyDescent="0.3">
      <c r="A705" t="s">
        <v>2653</v>
      </c>
      <c r="B705" t="s">
        <v>793</v>
      </c>
      <c r="C705" t="s">
        <v>12</v>
      </c>
      <c r="D705" t="s">
        <v>2654</v>
      </c>
      <c r="E705" t="s">
        <v>214</v>
      </c>
      <c r="F705" t="s">
        <v>2655</v>
      </c>
      <c r="G705" t="s">
        <v>796</v>
      </c>
      <c r="H705" t="s">
        <v>1759</v>
      </c>
      <c r="I705">
        <f t="shared" si="10"/>
        <v>4</v>
      </c>
      <c r="J705" t="s">
        <v>18</v>
      </c>
      <c r="K705" t="str" cm="1">
        <f t="array" ref="K705">_xlfn.SWITCH(TRIM(UPPER(J705)),
"BUSINESS", "Short Stay",
"CONFERENCE", "Medium Stay",
"VACATION", "Iong Stay",
"HOLIDAY", "Long Stay",
"V", "Leisure",
"UNKNOWN", "Unknown",
"Other")</f>
        <v>Short Stay</v>
      </c>
    </row>
    <row r="706" spans="1:11" x14ac:dyDescent="0.3">
      <c r="A706" t="s">
        <v>2656</v>
      </c>
      <c r="B706" t="s">
        <v>224</v>
      </c>
      <c r="C706" t="s">
        <v>83</v>
      </c>
      <c r="D706" t="s">
        <v>2657</v>
      </c>
      <c r="E706" t="s">
        <v>214</v>
      </c>
      <c r="F706" t="s">
        <v>2658</v>
      </c>
      <c r="G706" t="s">
        <v>227</v>
      </c>
      <c r="H706" t="s">
        <v>1199</v>
      </c>
      <c r="I706">
        <f t="shared" si="10"/>
        <v>5</v>
      </c>
      <c r="J706" t="s">
        <v>121</v>
      </c>
      <c r="K706" t="str" cm="1">
        <f t="array" ref="K706">_xlfn.SWITCH(TRIM(UPPER(J706)),
"BUSINESS", "Short Stay",
"CONFERENCE", "Medium Stay",
"VACATION", "Iong Stay",
"HOLIDAY", "Long Stay",
"V", "Leisure",
"UNKNOWN", "Unknown",
"Other")</f>
        <v>Iong Stay</v>
      </c>
    </row>
    <row r="707" spans="1:11" x14ac:dyDescent="0.3">
      <c r="A707" t="s">
        <v>2659</v>
      </c>
      <c r="B707" t="s">
        <v>2646</v>
      </c>
      <c r="C707" t="s">
        <v>30</v>
      </c>
      <c r="D707" t="s">
        <v>1103</v>
      </c>
      <c r="E707" t="s">
        <v>458</v>
      </c>
      <c r="F707" t="s">
        <v>2660</v>
      </c>
      <c r="G707" t="s">
        <v>1432</v>
      </c>
      <c r="H707" t="s">
        <v>668</v>
      </c>
      <c r="I707">
        <f t="shared" ref="I707:I770" si="11">H707-G707</f>
        <v>1</v>
      </c>
      <c r="J707" t="s">
        <v>44</v>
      </c>
      <c r="K707" t="str" cm="1">
        <f t="array" ref="K707">_xlfn.SWITCH(TRIM(UPPER(J707)),
"BUSINESS", "Short Stay",
"CONFERENCE", "Medium Stay",
"VACATION", "Iong Stay",
"HOLIDAY", "Long Stay",
"V", "Leisure",
"UNKNOWN", "Unknown",
"Other")</f>
        <v>Other</v>
      </c>
    </row>
    <row r="708" spans="1:11" x14ac:dyDescent="0.3">
      <c r="A708" t="s">
        <v>2661</v>
      </c>
      <c r="B708" t="s">
        <v>818</v>
      </c>
      <c r="C708" t="s">
        <v>97</v>
      </c>
      <c r="D708" t="s">
        <v>767</v>
      </c>
      <c r="E708" t="s">
        <v>546</v>
      </c>
      <c r="F708" t="s">
        <v>2662</v>
      </c>
      <c r="G708" t="s">
        <v>821</v>
      </c>
      <c r="H708" t="s">
        <v>563</v>
      </c>
      <c r="I708">
        <f t="shared" si="11"/>
        <v>3</v>
      </c>
      <c r="J708" t="s">
        <v>121</v>
      </c>
      <c r="K708" t="str" cm="1">
        <f t="array" ref="K708">_xlfn.SWITCH(TRIM(UPPER(J708)),
"BUSINESS", "Short Stay",
"CONFERENCE", "Medium Stay",
"VACATION", "Iong Stay",
"HOLIDAY", "Long Stay",
"V", "Leisure",
"UNKNOWN", "Unknown",
"Other")</f>
        <v>Iong Stay</v>
      </c>
    </row>
    <row r="709" spans="1:11" x14ac:dyDescent="0.3">
      <c r="A709" t="s">
        <v>2663</v>
      </c>
      <c r="B709" t="s">
        <v>2664</v>
      </c>
      <c r="C709" t="s">
        <v>54</v>
      </c>
      <c r="D709" t="s">
        <v>2665</v>
      </c>
      <c r="E709" t="s">
        <v>314</v>
      </c>
      <c r="F709" t="s">
        <v>2666</v>
      </c>
      <c r="G709" t="s">
        <v>197</v>
      </c>
      <c r="H709" t="s">
        <v>999</v>
      </c>
      <c r="I709">
        <f t="shared" si="11"/>
        <v>4</v>
      </c>
      <c r="J709" t="s">
        <v>44</v>
      </c>
      <c r="K709" t="str" cm="1">
        <f t="array" ref="K709">_xlfn.SWITCH(TRIM(UPPER(J709)),
"BUSINESS", "Short Stay",
"CONFERENCE", "Medium Stay",
"VACATION", "Iong Stay",
"HOLIDAY", "Long Stay",
"V", "Leisure",
"UNKNOWN", "Unknown",
"Other")</f>
        <v>Other</v>
      </c>
    </row>
    <row r="710" spans="1:11" x14ac:dyDescent="0.3">
      <c r="A710" t="s">
        <v>2667</v>
      </c>
      <c r="B710" t="s">
        <v>2043</v>
      </c>
      <c r="C710" t="s">
        <v>174</v>
      </c>
      <c r="D710" t="s">
        <v>2668</v>
      </c>
      <c r="E710" t="s">
        <v>32</v>
      </c>
      <c r="F710" t="s">
        <v>2669</v>
      </c>
      <c r="G710" t="s">
        <v>1226</v>
      </c>
      <c r="H710" t="s">
        <v>686</v>
      </c>
      <c r="I710">
        <f t="shared" si="11"/>
        <v>3</v>
      </c>
      <c r="J710" t="s">
        <v>18</v>
      </c>
      <c r="K710" t="str" cm="1">
        <f t="array" ref="K710">_xlfn.SWITCH(TRIM(UPPER(J710)),
"BUSINESS", "Short Stay",
"CONFERENCE", "Medium Stay",
"VACATION", "Iong Stay",
"HOLIDAY", "Long Stay",
"V", "Leisure",
"UNKNOWN", "Unknown",
"Other")</f>
        <v>Short Stay</v>
      </c>
    </row>
    <row r="711" spans="1:11" x14ac:dyDescent="0.3">
      <c r="A711" t="s">
        <v>2670</v>
      </c>
      <c r="B711" t="s">
        <v>1192</v>
      </c>
      <c r="C711" t="s">
        <v>174</v>
      </c>
      <c r="D711" t="s">
        <v>1217</v>
      </c>
      <c r="E711" t="s">
        <v>214</v>
      </c>
      <c r="F711" t="s">
        <v>2671</v>
      </c>
      <c r="G711" t="s">
        <v>1195</v>
      </c>
      <c r="H711" t="s">
        <v>35</v>
      </c>
      <c r="I711">
        <f t="shared" si="11"/>
        <v>3</v>
      </c>
      <c r="J711" t="s">
        <v>121</v>
      </c>
      <c r="K711" t="str" cm="1">
        <f t="array" ref="K711">_xlfn.SWITCH(TRIM(UPPER(J711)),
"BUSINESS", "Short Stay",
"CONFERENCE", "Medium Stay",
"VACATION", "Iong Stay",
"HOLIDAY", "Long Stay",
"V", "Leisure",
"UNKNOWN", "Unknown",
"Other")</f>
        <v>Iong Stay</v>
      </c>
    </row>
    <row r="712" spans="1:11" x14ac:dyDescent="0.3">
      <c r="A712" t="s">
        <v>2672</v>
      </c>
      <c r="B712" t="s">
        <v>173</v>
      </c>
      <c r="C712" t="s">
        <v>12</v>
      </c>
      <c r="D712" t="s">
        <v>2673</v>
      </c>
      <c r="E712" t="s">
        <v>23</v>
      </c>
      <c r="F712" t="s">
        <v>2674</v>
      </c>
      <c r="G712" t="s">
        <v>178</v>
      </c>
      <c r="H712" t="s">
        <v>1260</v>
      </c>
      <c r="I712">
        <f t="shared" si="11"/>
        <v>3</v>
      </c>
      <c r="J712" t="s">
        <v>27</v>
      </c>
      <c r="K712" t="str" cm="1">
        <f t="array" ref="K712">_xlfn.SWITCH(TRIM(UPPER(J712)),
"BUSINESS", "Short Stay",
"CONFERENCE", "Medium Stay",
"VACATION", "Iong Stay",
"HOLIDAY", "Long Stay",
"V", "Leisure",
"UNKNOWN", "Unknown",
"Other")</f>
        <v>Medium Stay</v>
      </c>
    </row>
    <row r="713" spans="1:11" x14ac:dyDescent="0.3">
      <c r="A713" t="s">
        <v>2675</v>
      </c>
      <c r="B713" t="s">
        <v>375</v>
      </c>
      <c r="C713" t="s">
        <v>75</v>
      </c>
      <c r="D713" t="s">
        <v>116</v>
      </c>
      <c r="E713" t="s">
        <v>156</v>
      </c>
      <c r="F713" t="s">
        <v>2676</v>
      </c>
      <c r="G713" t="s">
        <v>377</v>
      </c>
      <c r="H713" t="s">
        <v>2677</v>
      </c>
      <c r="I713">
        <f t="shared" si="11"/>
        <v>3</v>
      </c>
      <c r="J713" t="s">
        <v>18</v>
      </c>
      <c r="K713" t="str" cm="1">
        <f t="array" ref="K713">_xlfn.SWITCH(TRIM(UPPER(J713)),
"BUSINESS", "Short Stay",
"CONFERENCE", "Medium Stay",
"VACATION", "Iong Stay",
"HOLIDAY", "Long Stay",
"V", "Leisure",
"UNKNOWN", "Unknown",
"Other")</f>
        <v>Short Stay</v>
      </c>
    </row>
    <row r="714" spans="1:11" x14ac:dyDescent="0.3">
      <c r="A714" t="s">
        <v>2678</v>
      </c>
      <c r="B714" t="s">
        <v>741</v>
      </c>
      <c r="C714" t="s">
        <v>83</v>
      </c>
      <c r="D714" t="s">
        <v>2052</v>
      </c>
      <c r="E714" t="s">
        <v>85</v>
      </c>
      <c r="F714" t="s">
        <v>2679</v>
      </c>
      <c r="G714" t="s">
        <v>744</v>
      </c>
      <c r="H714" t="s">
        <v>677</v>
      </c>
      <c r="I714">
        <f t="shared" si="11"/>
        <v>4</v>
      </c>
      <c r="J714" t="s">
        <v>18</v>
      </c>
      <c r="K714" t="str" cm="1">
        <f t="array" ref="K714">_xlfn.SWITCH(TRIM(UPPER(J714)),
"BUSINESS", "Short Stay",
"CONFERENCE", "Medium Stay",
"VACATION", "Iong Stay",
"HOLIDAY", "Long Stay",
"V", "Leisure",
"UNKNOWN", "Unknown",
"Other")</f>
        <v>Short Stay</v>
      </c>
    </row>
    <row r="715" spans="1:11" x14ac:dyDescent="0.3">
      <c r="A715" t="s">
        <v>2680</v>
      </c>
      <c r="B715" t="s">
        <v>2664</v>
      </c>
      <c r="C715" t="s">
        <v>97</v>
      </c>
      <c r="D715" t="s">
        <v>2681</v>
      </c>
      <c r="E715" t="s">
        <v>546</v>
      </c>
      <c r="F715" t="s">
        <v>2682</v>
      </c>
      <c r="G715" t="s">
        <v>197</v>
      </c>
      <c r="H715" t="s">
        <v>999</v>
      </c>
      <c r="I715">
        <f t="shared" si="11"/>
        <v>4</v>
      </c>
      <c r="J715" t="s">
        <v>18</v>
      </c>
      <c r="K715" t="str" cm="1">
        <f t="array" ref="K715">_xlfn.SWITCH(TRIM(UPPER(J715)),
"BUSINESS", "Short Stay",
"CONFERENCE", "Medium Stay",
"VACATION", "Iong Stay",
"HOLIDAY", "Long Stay",
"V", "Leisure",
"UNKNOWN", "Unknown",
"Other")</f>
        <v>Short Stay</v>
      </c>
    </row>
    <row r="716" spans="1:11" x14ac:dyDescent="0.3">
      <c r="A716" t="s">
        <v>2683</v>
      </c>
      <c r="B716" t="s">
        <v>1465</v>
      </c>
      <c r="C716" t="s">
        <v>21</v>
      </c>
      <c r="D716" t="s">
        <v>992</v>
      </c>
      <c r="E716" t="s">
        <v>546</v>
      </c>
      <c r="F716" t="s">
        <v>2684</v>
      </c>
      <c r="G716" t="s">
        <v>1415</v>
      </c>
      <c r="H716" t="s">
        <v>152</v>
      </c>
      <c r="I716">
        <f t="shared" si="11"/>
        <v>1</v>
      </c>
      <c r="J716" t="s">
        <v>18</v>
      </c>
      <c r="K716" t="str" cm="1">
        <f t="array" ref="K716">_xlfn.SWITCH(TRIM(UPPER(J716)),
"BUSINESS", "Short Stay",
"CONFERENCE", "Medium Stay",
"VACATION", "Iong Stay",
"HOLIDAY", "Long Stay",
"V", "Leisure",
"UNKNOWN", "Unknown",
"Other")</f>
        <v>Short Stay</v>
      </c>
    </row>
    <row r="717" spans="1:11" x14ac:dyDescent="0.3">
      <c r="A717" t="s">
        <v>2685</v>
      </c>
      <c r="B717" t="s">
        <v>1162</v>
      </c>
      <c r="C717" t="s">
        <v>12</v>
      </c>
      <c r="D717" t="s">
        <v>2686</v>
      </c>
      <c r="E717" t="s">
        <v>176</v>
      </c>
      <c r="F717" t="s">
        <v>2687</v>
      </c>
      <c r="G717" t="s">
        <v>1164</v>
      </c>
      <c r="H717" t="s">
        <v>1160</v>
      </c>
      <c r="I717">
        <f t="shared" si="11"/>
        <v>5</v>
      </c>
      <c r="J717" t="s">
        <v>44</v>
      </c>
      <c r="K717" t="str" cm="1">
        <f t="array" ref="K717">_xlfn.SWITCH(TRIM(UPPER(J717)),
"BUSINESS", "Short Stay",
"CONFERENCE", "Medium Stay",
"VACATION", "Iong Stay",
"HOLIDAY", "Long Stay",
"V", "Leisure",
"UNKNOWN", "Unknown",
"Other")</f>
        <v>Other</v>
      </c>
    </row>
    <row r="718" spans="1:11" x14ac:dyDescent="0.3">
      <c r="A718" t="s">
        <v>2688</v>
      </c>
      <c r="B718" t="s">
        <v>1451</v>
      </c>
      <c r="C718" t="s">
        <v>12</v>
      </c>
      <c r="D718" t="s">
        <v>2689</v>
      </c>
      <c r="E718" t="s">
        <v>77</v>
      </c>
      <c r="F718" t="s">
        <v>2690</v>
      </c>
      <c r="G718" t="s">
        <v>615</v>
      </c>
      <c r="H718" t="s">
        <v>1204</v>
      </c>
      <c r="I718">
        <f t="shared" si="11"/>
        <v>5</v>
      </c>
      <c r="J718" t="s">
        <v>121</v>
      </c>
      <c r="K718" t="str" cm="1">
        <f t="array" ref="K718">_xlfn.SWITCH(TRIM(UPPER(J718)),
"BUSINESS", "Short Stay",
"CONFERENCE", "Medium Stay",
"VACATION", "Iong Stay",
"HOLIDAY", "Long Stay",
"V", "Leisure",
"UNKNOWN", "Unknown",
"Other")</f>
        <v>Iong Stay</v>
      </c>
    </row>
    <row r="719" spans="1:11" x14ac:dyDescent="0.3">
      <c r="A719" t="s">
        <v>2691</v>
      </c>
      <c r="B719" t="s">
        <v>2692</v>
      </c>
      <c r="C719" t="s">
        <v>12</v>
      </c>
      <c r="D719" t="s">
        <v>2643</v>
      </c>
      <c r="E719" t="s">
        <v>85</v>
      </c>
      <c r="F719" t="s">
        <v>2693</v>
      </c>
      <c r="G719" t="s">
        <v>1167</v>
      </c>
      <c r="H719" t="s">
        <v>685</v>
      </c>
      <c r="I719">
        <f t="shared" si="11"/>
        <v>4</v>
      </c>
      <c r="J719" t="s">
        <v>121</v>
      </c>
      <c r="K719" t="str" cm="1">
        <f t="array" ref="K719">_xlfn.SWITCH(TRIM(UPPER(J719)),
"BUSINESS", "Short Stay",
"CONFERENCE", "Medium Stay",
"VACATION", "Iong Stay",
"HOLIDAY", "Long Stay",
"V", "Leisure",
"UNKNOWN", "Unknown",
"Other")</f>
        <v>Iong Stay</v>
      </c>
    </row>
    <row r="720" spans="1:11" x14ac:dyDescent="0.3">
      <c r="A720" t="s">
        <v>2694</v>
      </c>
      <c r="B720" t="s">
        <v>1855</v>
      </c>
      <c r="C720" t="s">
        <v>97</v>
      </c>
      <c r="D720" t="s">
        <v>2695</v>
      </c>
      <c r="E720" t="s">
        <v>314</v>
      </c>
      <c r="F720" t="s">
        <v>2696</v>
      </c>
      <c r="G720" t="s">
        <v>1172</v>
      </c>
      <c r="H720" t="s">
        <v>1696</v>
      </c>
      <c r="I720">
        <f t="shared" si="11"/>
        <v>5</v>
      </c>
      <c r="J720" t="s">
        <v>121</v>
      </c>
      <c r="K720" t="str" cm="1">
        <f t="array" ref="K720">_xlfn.SWITCH(TRIM(UPPER(J720)),
"BUSINESS", "Short Stay",
"CONFERENCE", "Medium Stay",
"VACATION", "Iong Stay",
"HOLIDAY", "Long Stay",
"V", "Leisure",
"UNKNOWN", "Unknown",
"Other")</f>
        <v>Iong Stay</v>
      </c>
    </row>
    <row r="721" spans="1:11" x14ac:dyDescent="0.3">
      <c r="A721" t="s">
        <v>2697</v>
      </c>
      <c r="B721" t="s">
        <v>1597</v>
      </c>
      <c r="C721" t="s">
        <v>97</v>
      </c>
      <c r="D721" t="s">
        <v>2681</v>
      </c>
      <c r="E721" t="s">
        <v>458</v>
      </c>
      <c r="F721" t="s">
        <v>2698</v>
      </c>
      <c r="G721" t="s">
        <v>304</v>
      </c>
      <c r="H721" t="s">
        <v>1100</v>
      </c>
      <c r="I721">
        <f t="shared" si="11"/>
        <v>1</v>
      </c>
      <c r="J721" t="s">
        <v>18</v>
      </c>
      <c r="K721" t="str" cm="1">
        <f t="array" ref="K721">_xlfn.SWITCH(TRIM(UPPER(J721)),
"BUSINESS", "Short Stay",
"CONFERENCE", "Medium Stay",
"VACATION", "Iong Stay",
"HOLIDAY", "Long Stay",
"V", "Leisure",
"UNKNOWN", "Unknown",
"Other")</f>
        <v>Short Stay</v>
      </c>
    </row>
    <row r="722" spans="1:11" x14ac:dyDescent="0.3">
      <c r="A722" t="s">
        <v>2699</v>
      </c>
      <c r="B722" t="s">
        <v>1553</v>
      </c>
      <c r="C722" t="s">
        <v>75</v>
      </c>
      <c r="D722" t="s">
        <v>637</v>
      </c>
      <c r="E722" t="s">
        <v>149</v>
      </c>
      <c r="F722" t="s">
        <v>2700</v>
      </c>
      <c r="G722" t="s">
        <v>1555</v>
      </c>
      <c r="H722" t="s">
        <v>1121</v>
      </c>
      <c r="I722">
        <f t="shared" si="11"/>
        <v>3</v>
      </c>
      <c r="J722" t="s">
        <v>27</v>
      </c>
      <c r="K722" t="str" cm="1">
        <f t="array" ref="K722">_xlfn.SWITCH(TRIM(UPPER(J722)),
"BUSINESS", "Short Stay",
"CONFERENCE", "Medium Stay",
"VACATION", "Iong Stay",
"HOLIDAY", "Long Stay",
"V", "Leisure",
"UNKNOWN", "Unknown",
"Other")</f>
        <v>Medium Stay</v>
      </c>
    </row>
    <row r="723" spans="1:11" x14ac:dyDescent="0.3">
      <c r="A723" t="s">
        <v>2701</v>
      </c>
      <c r="B723" t="s">
        <v>1650</v>
      </c>
      <c r="C723" t="s">
        <v>174</v>
      </c>
      <c r="D723" t="s">
        <v>1314</v>
      </c>
      <c r="E723" t="s">
        <v>476</v>
      </c>
      <c r="F723" t="s">
        <v>2702</v>
      </c>
      <c r="G723" t="s">
        <v>1160</v>
      </c>
      <c r="H723" t="s">
        <v>106</v>
      </c>
      <c r="I723">
        <f t="shared" si="11"/>
        <v>5</v>
      </c>
      <c r="J723" t="s">
        <v>27</v>
      </c>
      <c r="K723" t="str" cm="1">
        <f t="array" ref="K723">_xlfn.SWITCH(TRIM(UPPER(J723)),
"BUSINESS", "Short Stay",
"CONFERENCE", "Medium Stay",
"VACATION", "Iong Stay",
"HOLIDAY", "Long Stay",
"V", "Leisure",
"UNKNOWN", "Unknown",
"Other")</f>
        <v>Medium Stay</v>
      </c>
    </row>
    <row r="724" spans="1:11" x14ac:dyDescent="0.3">
      <c r="A724" t="s">
        <v>2703</v>
      </c>
      <c r="B724" t="s">
        <v>1264</v>
      </c>
      <c r="C724" t="s">
        <v>83</v>
      </c>
      <c r="D724" t="s">
        <v>2704</v>
      </c>
      <c r="E724" t="s">
        <v>458</v>
      </c>
      <c r="F724" t="s">
        <v>2705</v>
      </c>
      <c r="G724" t="s">
        <v>1267</v>
      </c>
      <c r="H724" t="s">
        <v>1268</v>
      </c>
      <c r="I724">
        <f t="shared" si="11"/>
        <v>2</v>
      </c>
      <c r="J724" t="s">
        <v>44</v>
      </c>
      <c r="K724" t="str" cm="1">
        <f t="array" ref="K724">_xlfn.SWITCH(TRIM(UPPER(J724)),
"BUSINESS", "Short Stay",
"CONFERENCE", "Medium Stay",
"VACATION", "Iong Stay",
"HOLIDAY", "Long Stay",
"V", "Leisure",
"UNKNOWN", "Unknown",
"Other")</f>
        <v>Other</v>
      </c>
    </row>
    <row r="725" spans="1:11" x14ac:dyDescent="0.3">
      <c r="A725" t="s">
        <v>2706</v>
      </c>
      <c r="B725" t="s">
        <v>2707</v>
      </c>
      <c r="C725" t="s">
        <v>97</v>
      </c>
      <c r="D725" t="s">
        <v>2708</v>
      </c>
      <c r="E725" t="s">
        <v>85</v>
      </c>
      <c r="F725" t="s">
        <v>2709</v>
      </c>
      <c r="G725" t="s">
        <v>216</v>
      </c>
      <c r="H725" t="s">
        <v>849</v>
      </c>
      <c r="I725">
        <f t="shared" si="11"/>
        <v>5</v>
      </c>
      <c r="J725" t="s">
        <v>44</v>
      </c>
      <c r="K725" t="str" cm="1">
        <f t="array" ref="K725">_xlfn.SWITCH(TRIM(UPPER(J725)),
"BUSINESS", "Short Stay",
"CONFERENCE", "Medium Stay",
"VACATION", "Iong Stay",
"HOLIDAY", "Long Stay",
"V", "Leisure",
"UNKNOWN", "Unknown",
"Other")</f>
        <v>Other</v>
      </c>
    </row>
    <row r="726" spans="1:11" x14ac:dyDescent="0.3">
      <c r="A726" t="s">
        <v>2710</v>
      </c>
      <c r="B726" t="s">
        <v>2711</v>
      </c>
      <c r="C726" t="s">
        <v>30</v>
      </c>
      <c r="D726" t="s">
        <v>2712</v>
      </c>
      <c r="E726" t="s">
        <v>476</v>
      </c>
      <c r="F726" t="s">
        <v>2713</v>
      </c>
      <c r="G726" t="s">
        <v>222</v>
      </c>
      <c r="H726" t="s">
        <v>919</v>
      </c>
      <c r="I726">
        <f t="shared" si="11"/>
        <v>2</v>
      </c>
      <c r="J726" t="s">
        <v>18</v>
      </c>
      <c r="K726" t="str" cm="1">
        <f t="array" ref="K726">_xlfn.SWITCH(TRIM(UPPER(J726)),
"BUSINESS", "Short Stay",
"CONFERENCE", "Medium Stay",
"VACATION", "Iong Stay",
"HOLIDAY", "Long Stay",
"V", "Leisure",
"UNKNOWN", "Unknown",
"Other")</f>
        <v>Short Stay</v>
      </c>
    </row>
    <row r="727" spans="1:11" x14ac:dyDescent="0.3">
      <c r="A727" t="s">
        <v>2714</v>
      </c>
      <c r="B727" t="s">
        <v>2328</v>
      </c>
      <c r="C727" t="s">
        <v>38</v>
      </c>
      <c r="D727" t="s">
        <v>1679</v>
      </c>
      <c r="E727" t="s">
        <v>546</v>
      </c>
      <c r="F727" t="s">
        <v>2715</v>
      </c>
      <c r="G727" t="s">
        <v>533</v>
      </c>
      <c r="H727" t="s">
        <v>1363</v>
      </c>
      <c r="I727">
        <f t="shared" si="11"/>
        <v>5</v>
      </c>
      <c r="J727" t="s">
        <v>18</v>
      </c>
      <c r="K727" t="str" cm="1">
        <f t="array" ref="K727">_xlfn.SWITCH(TRIM(UPPER(J727)),
"BUSINESS", "Short Stay",
"CONFERENCE", "Medium Stay",
"VACATION", "Iong Stay",
"HOLIDAY", "Long Stay",
"V", "Leisure",
"UNKNOWN", "Unknown",
"Other")</f>
        <v>Short Stay</v>
      </c>
    </row>
    <row r="728" spans="1:11" x14ac:dyDescent="0.3">
      <c r="A728" t="s">
        <v>2716</v>
      </c>
      <c r="B728" t="s">
        <v>2717</v>
      </c>
      <c r="C728" t="s">
        <v>97</v>
      </c>
      <c r="D728" t="s">
        <v>2718</v>
      </c>
      <c r="E728" t="s">
        <v>476</v>
      </c>
      <c r="F728" t="s">
        <v>2719</v>
      </c>
      <c r="G728" t="s">
        <v>239</v>
      </c>
      <c r="H728" t="s">
        <v>1020</v>
      </c>
      <c r="I728">
        <f t="shared" si="11"/>
        <v>1</v>
      </c>
      <c r="J728" t="s">
        <v>44</v>
      </c>
      <c r="K728" t="str" cm="1">
        <f t="array" ref="K728">_xlfn.SWITCH(TRIM(UPPER(J728)),
"BUSINESS", "Short Stay",
"CONFERENCE", "Medium Stay",
"VACATION", "Iong Stay",
"HOLIDAY", "Long Stay",
"V", "Leisure",
"UNKNOWN", "Unknown",
"Other")</f>
        <v>Other</v>
      </c>
    </row>
    <row r="729" spans="1:11" x14ac:dyDescent="0.3">
      <c r="A729" t="s">
        <v>2720</v>
      </c>
      <c r="B729" t="s">
        <v>1661</v>
      </c>
      <c r="C729" t="s">
        <v>75</v>
      </c>
      <c r="D729" t="s">
        <v>2172</v>
      </c>
      <c r="E729" t="s">
        <v>77</v>
      </c>
      <c r="F729" t="s">
        <v>2721</v>
      </c>
      <c r="G729" t="s">
        <v>946</v>
      </c>
      <c r="H729" t="s">
        <v>1020</v>
      </c>
      <c r="I729">
        <f t="shared" si="11"/>
        <v>3</v>
      </c>
      <c r="J729" t="s">
        <v>44</v>
      </c>
      <c r="K729" t="str" cm="1">
        <f t="array" ref="K729">_xlfn.SWITCH(TRIM(UPPER(J729)),
"BUSINESS", "Short Stay",
"CONFERENCE", "Medium Stay",
"VACATION", "Iong Stay",
"HOLIDAY", "Long Stay",
"V", "Leisure",
"UNKNOWN", "Unknown",
"Other")</f>
        <v>Other</v>
      </c>
    </row>
    <row r="730" spans="1:11" x14ac:dyDescent="0.3">
      <c r="A730" t="s">
        <v>2722</v>
      </c>
      <c r="B730" t="s">
        <v>1093</v>
      </c>
      <c r="C730" t="s">
        <v>38</v>
      </c>
      <c r="D730" t="s">
        <v>2723</v>
      </c>
      <c r="E730" t="s">
        <v>48</v>
      </c>
      <c r="F730" t="s">
        <v>2724</v>
      </c>
      <c r="G730" t="s">
        <v>1096</v>
      </c>
      <c r="H730" t="s">
        <v>1226</v>
      </c>
      <c r="I730">
        <f t="shared" si="11"/>
        <v>3</v>
      </c>
      <c r="J730" t="s">
        <v>18</v>
      </c>
      <c r="K730" t="str" cm="1">
        <f t="array" ref="K730">_xlfn.SWITCH(TRIM(UPPER(J730)),
"BUSINESS", "Short Stay",
"CONFERENCE", "Medium Stay",
"VACATION", "Iong Stay",
"HOLIDAY", "Long Stay",
"V", "Leisure",
"UNKNOWN", "Unknown",
"Other")</f>
        <v>Short Stay</v>
      </c>
    </row>
    <row r="731" spans="1:11" x14ac:dyDescent="0.3">
      <c r="A731" t="s">
        <v>2725</v>
      </c>
      <c r="B731" t="s">
        <v>2328</v>
      </c>
      <c r="C731" t="s">
        <v>54</v>
      </c>
      <c r="D731" t="s">
        <v>2726</v>
      </c>
      <c r="E731" t="s">
        <v>40</v>
      </c>
      <c r="F731" t="s">
        <v>2727</v>
      </c>
      <c r="G731" t="s">
        <v>533</v>
      </c>
      <c r="H731" t="s">
        <v>523</v>
      </c>
      <c r="I731">
        <f t="shared" si="11"/>
        <v>3</v>
      </c>
      <c r="J731" t="s">
        <v>44</v>
      </c>
      <c r="K731" t="str" cm="1">
        <f t="array" ref="K731">_xlfn.SWITCH(TRIM(UPPER(J731)),
"BUSINESS", "Short Stay",
"CONFERENCE", "Medium Stay",
"VACATION", "Iong Stay",
"HOLIDAY", "Long Stay",
"V", "Leisure",
"UNKNOWN", "Unknown",
"Other")</f>
        <v>Other</v>
      </c>
    </row>
    <row r="732" spans="1:11" x14ac:dyDescent="0.3">
      <c r="A732" t="s">
        <v>2728</v>
      </c>
      <c r="B732" t="s">
        <v>482</v>
      </c>
      <c r="C732" t="s">
        <v>97</v>
      </c>
      <c r="D732" t="s">
        <v>22</v>
      </c>
      <c r="E732" t="s">
        <v>546</v>
      </c>
      <c r="F732" t="s">
        <v>2729</v>
      </c>
      <c r="G732" t="s">
        <v>277</v>
      </c>
      <c r="H732" t="s">
        <v>17</v>
      </c>
      <c r="I732">
        <f t="shared" si="11"/>
        <v>2</v>
      </c>
      <c r="J732" t="s">
        <v>18</v>
      </c>
      <c r="K732" t="str" cm="1">
        <f t="array" ref="K732">_xlfn.SWITCH(TRIM(UPPER(J732)),
"BUSINESS", "Short Stay",
"CONFERENCE", "Medium Stay",
"VACATION", "Iong Stay",
"HOLIDAY", "Long Stay",
"V", "Leisure",
"UNKNOWN", "Unknown",
"Other")</f>
        <v>Short Stay</v>
      </c>
    </row>
    <row r="733" spans="1:11" x14ac:dyDescent="0.3">
      <c r="A733" t="s">
        <v>2730</v>
      </c>
      <c r="B733" t="s">
        <v>235</v>
      </c>
      <c r="C733" t="s">
        <v>38</v>
      </c>
      <c r="D733" t="s">
        <v>1866</v>
      </c>
      <c r="E733" t="s">
        <v>69</v>
      </c>
      <c r="F733" t="s">
        <v>2731</v>
      </c>
      <c r="G733" t="s">
        <v>238</v>
      </c>
      <c r="H733" t="s">
        <v>239</v>
      </c>
      <c r="I733">
        <f t="shared" si="11"/>
        <v>5</v>
      </c>
      <c r="J733" t="s">
        <v>27</v>
      </c>
      <c r="K733" t="str" cm="1">
        <f t="array" ref="K733">_xlfn.SWITCH(TRIM(UPPER(J733)),
"BUSINESS", "Short Stay",
"CONFERENCE", "Medium Stay",
"VACATION", "Iong Stay",
"HOLIDAY", "Long Stay",
"V", "Leisure",
"UNKNOWN", "Unknown",
"Other")</f>
        <v>Medium Stay</v>
      </c>
    </row>
    <row r="734" spans="1:11" x14ac:dyDescent="0.3">
      <c r="A734" t="s">
        <v>2732</v>
      </c>
      <c r="B734" t="s">
        <v>708</v>
      </c>
      <c r="C734" t="s">
        <v>97</v>
      </c>
      <c r="D734" t="s">
        <v>2733</v>
      </c>
      <c r="E734" t="s">
        <v>176</v>
      </c>
      <c r="F734" t="s">
        <v>2734</v>
      </c>
      <c r="G734" t="s">
        <v>658</v>
      </c>
      <c r="H734" t="s">
        <v>138</v>
      </c>
      <c r="I734">
        <f t="shared" si="11"/>
        <v>2</v>
      </c>
      <c r="J734" t="s">
        <v>18</v>
      </c>
      <c r="K734" t="str" cm="1">
        <f t="array" ref="K734">_xlfn.SWITCH(TRIM(UPPER(J734)),
"BUSINESS", "Short Stay",
"CONFERENCE", "Medium Stay",
"VACATION", "Iong Stay",
"HOLIDAY", "Long Stay",
"V", "Leisure",
"UNKNOWN", "Unknown",
"Other")</f>
        <v>Short Stay</v>
      </c>
    </row>
    <row r="735" spans="1:11" x14ac:dyDescent="0.3">
      <c r="A735" t="s">
        <v>2735</v>
      </c>
      <c r="B735" t="s">
        <v>606</v>
      </c>
      <c r="C735" t="s">
        <v>83</v>
      </c>
      <c r="D735" t="s">
        <v>2350</v>
      </c>
      <c r="E735" t="s">
        <v>77</v>
      </c>
      <c r="F735" t="s">
        <v>2736</v>
      </c>
      <c r="G735" t="s">
        <v>604</v>
      </c>
      <c r="H735" t="s">
        <v>861</v>
      </c>
      <c r="I735">
        <f t="shared" si="11"/>
        <v>1</v>
      </c>
      <c r="J735" t="s">
        <v>44</v>
      </c>
      <c r="K735" t="str" cm="1">
        <f t="array" ref="K735">_xlfn.SWITCH(TRIM(UPPER(J735)),
"BUSINESS", "Short Stay",
"CONFERENCE", "Medium Stay",
"VACATION", "Iong Stay",
"HOLIDAY", "Long Stay",
"V", "Leisure",
"UNKNOWN", "Unknown",
"Other")</f>
        <v>Other</v>
      </c>
    </row>
    <row r="736" spans="1:11" x14ac:dyDescent="0.3">
      <c r="A736" t="s">
        <v>2737</v>
      </c>
      <c r="B736" t="s">
        <v>2025</v>
      </c>
      <c r="C736" t="s">
        <v>38</v>
      </c>
      <c r="D736" t="s">
        <v>1374</v>
      </c>
      <c r="E736" t="s">
        <v>23</v>
      </c>
      <c r="F736" t="s">
        <v>2738</v>
      </c>
      <c r="G736" t="s">
        <v>1522</v>
      </c>
      <c r="H736" t="s">
        <v>869</v>
      </c>
      <c r="I736">
        <f t="shared" si="11"/>
        <v>5</v>
      </c>
      <c r="J736" t="s">
        <v>44</v>
      </c>
      <c r="K736" t="str" cm="1">
        <f t="array" ref="K736">_xlfn.SWITCH(TRIM(UPPER(J736)),
"BUSINESS", "Short Stay",
"CONFERENCE", "Medium Stay",
"VACATION", "Iong Stay",
"HOLIDAY", "Long Stay",
"V", "Leisure",
"UNKNOWN", "Unknown",
"Other")</f>
        <v>Other</v>
      </c>
    </row>
    <row r="737" spans="1:11" x14ac:dyDescent="0.3">
      <c r="A737" t="s">
        <v>2739</v>
      </c>
      <c r="B737" t="s">
        <v>1454</v>
      </c>
      <c r="C737" t="s">
        <v>21</v>
      </c>
      <c r="D737" t="s">
        <v>1770</v>
      </c>
      <c r="E737" t="s">
        <v>32</v>
      </c>
      <c r="F737" t="s">
        <v>2740</v>
      </c>
      <c r="G737" t="s">
        <v>1456</v>
      </c>
      <c r="H737" t="s">
        <v>1759</v>
      </c>
      <c r="I737">
        <f t="shared" si="11"/>
        <v>2</v>
      </c>
      <c r="J737" t="s">
        <v>18</v>
      </c>
      <c r="K737" t="str" cm="1">
        <f t="array" ref="K737">_xlfn.SWITCH(TRIM(UPPER(J737)),
"BUSINESS", "Short Stay",
"CONFERENCE", "Medium Stay",
"VACATION", "Iong Stay",
"HOLIDAY", "Long Stay",
"V", "Leisure",
"UNKNOWN", "Unknown",
"Other")</f>
        <v>Short Stay</v>
      </c>
    </row>
    <row r="738" spans="1:11" x14ac:dyDescent="0.3">
      <c r="A738" t="s">
        <v>2741</v>
      </c>
      <c r="B738" t="s">
        <v>766</v>
      </c>
      <c r="C738" t="s">
        <v>97</v>
      </c>
      <c r="D738" t="s">
        <v>2742</v>
      </c>
      <c r="E738" t="s">
        <v>40</v>
      </c>
      <c r="F738" t="s">
        <v>2743</v>
      </c>
      <c r="G738" t="s">
        <v>769</v>
      </c>
      <c r="H738" t="s">
        <v>495</v>
      </c>
      <c r="I738">
        <f t="shared" si="11"/>
        <v>1</v>
      </c>
      <c r="J738" t="s">
        <v>121</v>
      </c>
      <c r="K738" t="str" cm="1">
        <f t="array" ref="K738">_xlfn.SWITCH(TRIM(UPPER(J738)),
"BUSINESS", "Short Stay",
"CONFERENCE", "Medium Stay",
"VACATION", "Iong Stay",
"HOLIDAY", "Long Stay",
"V", "Leisure",
"UNKNOWN", "Unknown",
"Other")</f>
        <v>Iong Stay</v>
      </c>
    </row>
    <row r="739" spans="1:11" x14ac:dyDescent="0.3">
      <c r="A739" t="s">
        <v>2744</v>
      </c>
      <c r="B739" t="s">
        <v>1765</v>
      </c>
      <c r="C739" t="s">
        <v>61</v>
      </c>
      <c r="D739" t="s">
        <v>1945</v>
      </c>
      <c r="E739" t="s">
        <v>176</v>
      </c>
      <c r="F739" t="s">
        <v>2745</v>
      </c>
      <c r="G739" t="s">
        <v>1768</v>
      </c>
      <c r="H739" t="s">
        <v>159</v>
      </c>
      <c r="I739">
        <f t="shared" si="11"/>
        <v>1</v>
      </c>
      <c r="J739" t="s">
        <v>44</v>
      </c>
      <c r="K739" t="str" cm="1">
        <f t="array" ref="K739">_xlfn.SWITCH(TRIM(UPPER(J739)),
"BUSINESS", "Short Stay",
"CONFERENCE", "Medium Stay",
"VACATION", "Iong Stay",
"HOLIDAY", "Long Stay",
"V", "Leisure",
"UNKNOWN", "Unknown",
"Other")</f>
        <v>Other</v>
      </c>
    </row>
    <row r="740" spans="1:11" x14ac:dyDescent="0.3">
      <c r="A740" t="s">
        <v>2746</v>
      </c>
      <c r="B740" t="s">
        <v>892</v>
      </c>
      <c r="C740" t="s">
        <v>12</v>
      </c>
      <c r="D740" t="s">
        <v>2747</v>
      </c>
      <c r="E740" t="s">
        <v>32</v>
      </c>
      <c r="F740" t="s">
        <v>2748</v>
      </c>
      <c r="G740" t="s">
        <v>895</v>
      </c>
      <c r="H740" t="s">
        <v>1248</v>
      </c>
      <c r="I740">
        <f t="shared" si="11"/>
        <v>2</v>
      </c>
      <c r="J740" t="s">
        <v>27</v>
      </c>
      <c r="K740" t="str" cm="1">
        <f t="array" ref="K740">_xlfn.SWITCH(TRIM(UPPER(J740)),
"BUSINESS", "Short Stay",
"CONFERENCE", "Medium Stay",
"VACATION", "Iong Stay",
"HOLIDAY", "Long Stay",
"V", "Leisure",
"UNKNOWN", "Unknown",
"Other")</f>
        <v>Medium Stay</v>
      </c>
    </row>
    <row r="741" spans="1:11" x14ac:dyDescent="0.3">
      <c r="A741" t="s">
        <v>2749</v>
      </c>
      <c r="B741" t="s">
        <v>1591</v>
      </c>
      <c r="C741" t="s">
        <v>38</v>
      </c>
      <c r="D741" t="s">
        <v>2750</v>
      </c>
      <c r="E741" t="s">
        <v>117</v>
      </c>
      <c r="F741" t="s">
        <v>2751</v>
      </c>
      <c r="G741" t="s">
        <v>426</v>
      </c>
      <c r="H741" t="s">
        <v>309</v>
      </c>
      <c r="I741">
        <f t="shared" si="11"/>
        <v>2</v>
      </c>
      <c r="J741" t="s">
        <v>27</v>
      </c>
      <c r="K741" t="str" cm="1">
        <f t="array" ref="K741">_xlfn.SWITCH(TRIM(UPPER(J741)),
"BUSINESS", "Short Stay",
"CONFERENCE", "Medium Stay",
"VACATION", "Iong Stay",
"HOLIDAY", "Long Stay",
"V", "Leisure",
"UNKNOWN", "Unknown",
"Other")</f>
        <v>Medium Stay</v>
      </c>
    </row>
    <row r="742" spans="1:11" x14ac:dyDescent="0.3">
      <c r="A742" t="s">
        <v>2752</v>
      </c>
      <c r="B742" t="s">
        <v>746</v>
      </c>
      <c r="C742" t="s">
        <v>97</v>
      </c>
      <c r="D742" t="s">
        <v>2753</v>
      </c>
      <c r="E742" t="s">
        <v>546</v>
      </c>
      <c r="F742" t="s">
        <v>2754</v>
      </c>
      <c r="G742" t="s">
        <v>749</v>
      </c>
      <c r="H742" t="s">
        <v>404</v>
      </c>
      <c r="I742">
        <f t="shared" si="11"/>
        <v>1</v>
      </c>
      <c r="J742" t="s">
        <v>18</v>
      </c>
      <c r="K742" t="str" cm="1">
        <f t="array" ref="K742">_xlfn.SWITCH(TRIM(UPPER(J742)),
"BUSINESS", "Short Stay",
"CONFERENCE", "Medium Stay",
"VACATION", "Iong Stay",
"HOLIDAY", "Long Stay",
"V", "Leisure",
"UNKNOWN", "Unknown",
"Other")</f>
        <v>Short Stay</v>
      </c>
    </row>
    <row r="743" spans="1:11" x14ac:dyDescent="0.3">
      <c r="A743" t="s">
        <v>2755</v>
      </c>
      <c r="B743" t="s">
        <v>2051</v>
      </c>
      <c r="C743" t="s">
        <v>54</v>
      </c>
      <c r="D743" t="s">
        <v>1107</v>
      </c>
      <c r="E743" t="s">
        <v>23</v>
      </c>
      <c r="F743" t="s">
        <v>2756</v>
      </c>
      <c r="G743" t="s">
        <v>1559</v>
      </c>
      <c r="H743" t="s">
        <v>373</v>
      </c>
      <c r="I743">
        <f t="shared" si="11"/>
        <v>4</v>
      </c>
      <c r="J743" t="s">
        <v>27</v>
      </c>
      <c r="K743" t="str" cm="1">
        <f t="array" ref="K743">_xlfn.SWITCH(TRIM(UPPER(J743)),
"BUSINESS", "Short Stay",
"CONFERENCE", "Medium Stay",
"VACATION", "Iong Stay",
"HOLIDAY", "Long Stay",
"V", "Leisure",
"UNKNOWN", "Unknown",
"Other")</f>
        <v>Medium Stay</v>
      </c>
    </row>
    <row r="744" spans="1:11" x14ac:dyDescent="0.3">
      <c r="A744" t="s">
        <v>2757</v>
      </c>
      <c r="B744" t="s">
        <v>109</v>
      </c>
      <c r="C744" t="s">
        <v>38</v>
      </c>
      <c r="D744" t="s">
        <v>2758</v>
      </c>
      <c r="E744" t="s">
        <v>63</v>
      </c>
      <c r="F744" t="s">
        <v>2759</v>
      </c>
      <c r="G744" t="s">
        <v>112</v>
      </c>
      <c r="H744" t="s">
        <v>113</v>
      </c>
      <c r="I744">
        <f t="shared" si="11"/>
        <v>3</v>
      </c>
      <c r="J744" t="s">
        <v>27</v>
      </c>
      <c r="K744" t="str" cm="1">
        <f t="array" ref="K744">_xlfn.SWITCH(TRIM(UPPER(J744)),
"BUSINESS", "Short Stay",
"CONFERENCE", "Medium Stay",
"VACATION", "Iong Stay",
"HOLIDAY", "Long Stay",
"V", "Leisure",
"UNKNOWN", "Unknown",
"Other")</f>
        <v>Medium Stay</v>
      </c>
    </row>
    <row r="745" spans="1:11" x14ac:dyDescent="0.3">
      <c r="A745" t="s">
        <v>2760</v>
      </c>
      <c r="B745" t="s">
        <v>2761</v>
      </c>
      <c r="C745" t="s">
        <v>75</v>
      </c>
      <c r="D745" t="s">
        <v>1710</v>
      </c>
      <c r="E745" t="s">
        <v>156</v>
      </c>
      <c r="F745" t="s">
        <v>2762</v>
      </c>
      <c r="G745" t="s">
        <v>2550</v>
      </c>
      <c r="H745" t="s">
        <v>512</v>
      </c>
      <c r="I745">
        <f t="shared" si="11"/>
        <v>2</v>
      </c>
      <c r="J745" t="s">
        <v>27</v>
      </c>
      <c r="K745" t="str" cm="1">
        <f t="array" ref="K745">_xlfn.SWITCH(TRIM(UPPER(J745)),
"BUSINESS", "Short Stay",
"CONFERENCE", "Medium Stay",
"VACATION", "Iong Stay",
"HOLIDAY", "Long Stay",
"V", "Leisure",
"UNKNOWN", "Unknown",
"Other")</f>
        <v>Medium Stay</v>
      </c>
    </row>
    <row r="746" spans="1:11" x14ac:dyDescent="0.3">
      <c r="A746" t="s">
        <v>2763</v>
      </c>
      <c r="B746" t="s">
        <v>2764</v>
      </c>
      <c r="C746" t="s">
        <v>174</v>
      </c>
      <c r="D746" t="s">
        <v>2765</v>
      </c>
      <c r="E746" t="s">
        <v>176</v>
      </c>
      <c r="F746" t="s">
        <v>2766</v>
      </c>
      <c r="G746" t="s">
        <v>1058</v>
      </c>
      <c r="H746" t="s">
        <v>2767</v>
      </c>
      <c r="I746">
        <f t="shared" si="11"/>
        <v>4</v>
      </c>
      <c r="J746" t="s">
        <v>44</v>
      </c>
      <c r="K746" t="str" cm="1">
        <f t="array" ref="K746">_xlfn.SWITCH(TRIM(UPPER(J746)),
"BUSINESS", "Short Stay",
"CONFERENCE", "Medium Stay",
"VACATION", "Iong Stay",
"HOLIDAY", "Long Stay",
"V", "Leisure",
"UNKNOWN", "Unknown",
"Other")</f>
        <v>Other</v>
      </c>
    </row>
    <row r="747" spans="1:11" x14ac:dyDescent="0.3">
      <c r="A747" t="s">
        <v>2768</v>
      </c>
      <c r="B747" t="s">
        <v>235</v>
      </c>
      <c r="C747" t="s">
        <v>75</v>
      </c>
      <c r="D747" t="s">
        <v>2375</v>
      </c>
      <c r="E747" t="s">
        <v>314</v>
      </c>
      <c r="F747" t="s">
        <v>2769</v>
      </c>
      <c r="G747" t="s">
        <v>238</v>
      </c>
      <c r="H747" t="s">
        <v>749</v>
      </c>
      <c r="I747">
        <f t="shared" si="11"/>
        <v>1</v>
      </c>
      <c r="J747" t="s">
        <v>27</v>
      </c>
      <c r="K747" t="str" cm="1">
        <f t="array" ref="K747">_xlfn.SWITCH(TRIM(UPPER(J747)),
"BUSINESS", "Short Stay",
"CONFERENCE", "Medium Stay",
"VACATION", "Iong Stay",
"HOLIDAY", "Long Stay",
"V", "Leisure",
"UNKNOWN", "Unknown",
"Other")</f>
        <v>Medium Stay</v>
      </c>
    </row>
    <row r="748" spans="1:11" x14ac:dyDescent="0.3">
      <c r="A748" t="s">
        <v>2770</v>
      </c>
      <c r="B748" t="s">
        <v>1448</v>
      </c>
      <c r="C748" t="s">
        <v>30</v>
      </c>
      <c r="D748" t="s">
        <v>2295</v>
      </c>
      <c r="E748" t="s">
        <v>14</v>
      </c>
      <c r="F748" t="s">
        <v>2258</v>
      </c>
      <c r="G748" t="s">
        <v>1091</v>
      </c>
      <c r="H748" t="s">
        <v>913</v>
      </c>
      <c r="I748">
        <f t="shared" si="11"/>
        <v>4</v>
      </c>
      <c r="J748" t="s">
        <v>18</v>
      </c>
      <c r="K748" t="str" cm="1">
        <f t="array" ref="K748">_xlfn.SWITCH(TRIM(UPPER(J748)),
"BUSINESS", "Short Stay",
"CONFERENCE", "Medium Stay",
"VACATION", "Iong Stay",
"HOLIDAY", "Long Stay",
"V", "Leisure",
"UNKNOWN", "Unknown",
"Other")</f>
        <v>Short Stay</v>
      </c>
    </row>
    <row r="749" spans="1:11" x14ac:dyDescent="0.3">
      <c r="A749" t="s">
        <v>2771</v>
      </c>
      <c r="B749" t="s">
        <v>835</v>
      </c>
      <c r="C749" t="s">
        <v>54</v>
      </c>
      <c r="D749" t="s">
        <v>1254</v>
      </c>
      <c r="E749" t="s">
        <v>63</v>
      </c>
      <c r="F749" t="s">
        <v>2772</v>
      </c>
      <c r="G749" t="s">
        <v>838</v>
      </c>
      <c r="H749" t="s">
        <v>1043</v>
      </c>
      <c r="I749">
        <f t="shared" si="11"/>
        <v>2</v>
      </c>
      <c r="J749" t="s">
        <v>18</v>
      </c>
      <c r="K749" t="str" cm="1">
        <f t="array" ref="K749">_xlfn.SWITCH(TRIM(UPPER(J749)),
"BUSINESS", "Short Stay",
"CONFERENCE", "Medium Stay",
"VACATION", "Iong Stay",
"HOLIDAY", "Long Stay",
"V", "Leisure",
"UNKNOWN", "Unknown",
"Other")</f>
        <v>Short Stay</v>
      </c>
    </row>
    <row r="750" spans="1:11" x14ac:dyDescent="0.3">
      <c r="A750" t="s">
        <v>2773</v>
      </c>
      <c r="B750" t="s">
        <v>2774</v>
      </c>
      <c r="C750" t="s">
        <v>21</v>
      </c>
      <c r="D750" t="s">
        <v>2775</v>
      </c>
      <c r="E750" t="s">
        <v>23</v>
      </c>
      <c r="F750" t="s">
        <v>2776</v>
      </c>
      <c r="G750" t="s">
        <v>2777</v>
      </c>
      <c r="H750" t="s">
        <v>1728</v>
      </c>
      <c r="I750">
        <f t="shared" si="11"/>
        <v>1</v>
      </c>
      <c r="J750" t="s">
        <v>121</v>
      </c>
      <c r="K750" t="str" cm="1">
        <f t="array" ref="K750">_xlfn.SWITCH(TRIM(UPPER(J750)),
"BUSINESS", "Short Stay",
"CONFERENCE", "Medium Stay",
"VACATION", "Iong Stay",
"HOLIDAY", "Long Stay",
"V", "Leisure",
"UNKNOWN", "Unknown",
"Other")</f>
        <v>Iong Stay</v>
      </c>
    </row>
    <row r="751" spans="1:11" x14ac:dyDescent="0.3">
      <c r="A751" t="s">
        <v>2778</v>
      </c>
      <c r="B751" t="s">
        <v>805</v>
      </c>
      <c r="C751" t="s">
        <v>38</v>
      </c>
      <c r="D751" t="s">
        <v>2779</v>
      </c>
      <c r="E751" t="s">
        <v>23</v>
      </c>
      <c r="F751" t="s">
        <v>2780</v>
      </c>
      <c r="G751" t="s">
        <v>502</v>
      </c>
      <c r="H751" t="s">
        <v>101</v>
      </c>
      <c r="I751">
        <f t="shared" si="11"/>
        <v>5</v>
      </c>
      <c r="J751" t="s">
        <v>121</v>
      </c>
      <c r="K751" t="str" cm="1">
        <f t="array" ref="K751">_xlfn.SWITCH(TRIM(UPPER(J751)),
"BUSINESS", "Short Stay",
"CONFERENCE", "Medium Stay",
"VACATION", "Iong Stay",
"HOLIDAY", "Long Stay",
"V", "Leisure",
"UNKNOWN", "Unknown",
"Other")</f>
        <v>Iong Stay</v>
      </c>
    </row>
    <row r="752" spans="1:11" x14ac:dyDescent="0.3">
      <c r="A752" t="s">
        <v>2781</v>
      </c>
      <c r="B752" t="s">
        <v>1482</v>
      </c>
      <c r="C752" t="s">
        <v>54</v>
      </c>
      <c r="D752" t="s">
        <v>1971</v>
      </c>
      <c r="E752" t="s">
        <v>23</v>
      </c>
      <c r="F752" t="s">
        <v>2782</v>
      </c>
      <c r="G752" t="s">
        <v>1485</v>
      </c>
      <c r="H752" t="s">
        <v>539</v>
      </c>
      <c r="I752">
        <f t="shared" si="11"/>
        <v>3</v>
      </c>
      <c r="J752" t="s">
        <v>121</v>
      </c>
      <c r="K752" t="str" cm="1">
        <f t="array" ref="K752">_xlfn.SWITCH(TRIM(UPPER(J752)),
"BUSINESS", "Short Stay",
"CONFERENCE", "Medium Stay",
"VACATION", "Iong Stay",
"HOLIDAY", "Long Stay",
"V", "Leisure",
"UNKNOWN", "Unknown",
"Other")</f>
        <v>Iong Stay</v>
      </c>
    </row>
    <row r="753" spans="1:11" x14ac:dyDescent="0.3">
      <c r="A753" t="s">
        <v>2783</v>
      </c>
      <c r="B753" t="s">
        <v>1001</v>
      </c>
      <c r="C753" t="s">
        <v>75</v>
      </c>
      <c r="D753" t="s">
        <v>2784</v>
      </c>
      <c r="E753" t="s">
        <v>48</v>
      </c>
      <c r="F753" t="s">
        <v>2785</v>
      </c>
      <c r="G753" t="s">
        <v>233</v>
      </c>
      <c r="H753" t="s">
        <v>197</v>
      </c>
      <c r="I753">
        <f t="shared" si="11"/>
        <v>4</v>
      </c>
      <c r="J753" t="s">
        <v>121</v>
      </c>
      <c r="K753" t="str" cm="1">
        <f t="array" ref="K753">_xlfn.SWITCH(TRIM(UPPER(J753)),
"BUSINESS", "Short Stay",
"CONFERENCE", "Medium Stay",
"VACATION", "Iong Stay",
"HOLIDAY", "Long Stay",
"V", "Leisure",
"UNKNOWN", "Unknown",
"Other")</f>
        <v>Iong Stay</v>
      </c>
    </row>
    <row r="754" spans="1:11" x14ac:dyDescent="0.3">
      <c r="A754" t="s">
        <v>2786</v>
      </c>
      <c r="B754" t="s">
        <v>365</v>
      </c>
      <c r="C754" t="s">
        <v>83</v>
      </c>
      <c r="D754" t="s">
        <v>1736</v>
      </c>
      <c r="E754" t="s">
        <v>77</v>
      </c>
      <c r="F754" t="s">
        <v>2787</v>
      </c>
      <c r="G754" t="s">
        <v>368</v>
      </c>
      <c r="H754" t="s">
        <v>289</v>
      </c>
      <c r="I754">
        <f t="shared" si="11"/>
        <v>2</v>
      </c>
      <c r="J754" t="s">
        <v>18</v>
      </c>
      <c r="K754" t="str" cm="1">
        <f t="array" ref="K754">_xlfn.SWITCH(TRIM(UPPER(J754)),
"BUSINESS", "Short Stay",
"CONFERENCE", "Medium Stay",
"VACATION", "Iong Stay",
"HOLIDAY", "Long Stay",
"V", "Leisure",
"UNKNOWN", "Unknown",
"Other")</f>
        <v>Short Stay</v>
      </c>
    </row>
    <row r="755" spans="1:11" x14ac:dyDescent="0.3">
      <c r="A755" t="s">
        <v>2788</v>
      </c>
      <c r="B755" t="s">
        <v>746</v>
      </c>
      <c r="C755" t="s">
        <v>30</v>
      </c>
      <c r="D755" t="s">
        <v>883</v>
      </c>
      <c r="E755" t="s">
        <v>117</v>
      </c>
      <c r="F755" t="s">
        <v>2789</v>
      </c>
      <c r="G755" t="s">
        <v>749</v>
      </c>
      <c r="H755" t="s">
        <v>239</v>
      </c>
      <c r="I755">
        <f t="shared" si="11"/>
        <v>4</v>
      </c>
      <c r="J755" t="s">
        <v>121</v>
      </c>
      <c r="K755" t="str" cm="1">
        <f t="array" ref="K755">_xlfn.SWITCH(TRIM(UPPER(J755)),
"BUSINESS", "Short Stay",
"CONFERENCE", "Medium Stay",
"VACATION", "Iong Stay",
"HOLIDAY", "Long Stay",
"V", "Leisure",
"UNKNOWN", "Unknown",
"Other")</f>
        <v>Iong Stay</v>
      </c>
    </row>
    <row r="756" spans="1:11" x14ac:dyDescent="0.3">
      <c r="A756" t="s">
        <v>2790</v>
      </c>
      <c r="B756" t="s">
        <v>434</v>
      </c>
      <c r="C756" t="s">
        <v>30</v>
      </c>
      <c r="D756" t="s">
        <v>2310</v>
      </c>
      <c r="E756" t="s">
        <v>430</v>
      </c>
      <c r="F756" t="s">
        <v>2791</v>
      </c>
      <c r="G756" t="s">
        <v>437</v>
      </c>
      <c r="H756" t="s">
        <v>1505</v>
      </c>
      <c r="I756">
        <f t="shared" si="11"/>
        <v>5</v>
      </c>
      <c r="J756" t="s">
        <v>121</v>
      </c>
      <c r="K756" t="str" cm="1">
        <f t="array" ref="K756">_xlfn.SWITCH(TRIM(UPPER(J756)),
"BUSINESS", "Short Stay",
"CONFERENCE", "Medium Stay",
"VACATION", "Iong Stay",
"HOLIDAY", "Long Stay",
"V", "Leisure",
"UNKNOWN", "Unknown",
"Other")</f>
        <v>Iong Stay</v>
      </c>
    </row>
    <row r="757" spans="1:11" x14ac:dyDescent="0.3">
      <c r="A757" t="s">
        <v>2792</v>
      </c>
      <c r="B757" t="s">
        <v>1302</v>
      </c>
      <c r="C757" t="s">
        <v>38</v>
      </c>
      <c r="D757" t="s">
        <v>2651</v>
      </c>
      <c r="E757" t="s">
        <v>48</v>
      </c>
      <c r="F757" t="s">
        <v>2793</v>
      </c>
      <c r="G757" t="s">
        <v>1304</v>
      </c>
      <c r="H757" t="s">
        <v>1025</v>
      </c>
      <c r="I757">
        <f t="shared" si="11"/>
        <v>4</v>
      </c>
      <c r="J757" t="s">
        <v>121</v>
      </c>
      <c r="K757" t="str" cm="1">
        <f t="array" ref="K757">_xlfn.SWITCH(TRIM(UPPER(J757)),
"BUSINESS", "Short Stay",
"CONFERENCE", "Medium Stay",
"VACATION", "Iong Stay",
"HOLIDAY", "Long Stay",
"V", "Leisure",
"UNKNOWN", "Unknown",
"Other")</f>
        <v>Iong Stay</v>
      </c>
    </row>
    <row r="758" spans="1:11" x14ac:dyDescent="0.3">
      <c r="A758" t="s">
        <v>2794</v>
      </c>
      <c r="B758" t="s">
        <v>135</v>
      </c>
      <c r="C758" t="s">
        <v>174</v>
      </c>
      <c r="D758" t="s">
        <v>2795</v>
      </c>
      <c r="E758" t="s">
        <v>63</v>
      </c>
      <c r="F758" t="s">
        <v>2796</v>
      </c>
      <c r="G758" t="s">
        <v>138</v>
      </c>
      <c r="H758" t="s">
        <v>1048</v>
      </c>
      <c r="I758">
        <f t="shared" si="11"/>
        <v>1</v>
      </c>
      <c r="J758" t="s">
        <v>27</v>
      </c>
      <c r="K758" t="str" cm="1">
        <f t="array" ref="K758">_xlfn.SWITCH(TRIM(UPPER(J758)),
"BUSINESS", "Short Stay",
"CONFERENCE", "Medium Stay",
"VACATION", "Iong Stay",
"HOLIDAY", "Long Stay",
"V", "Leisure",
"UNKNOWN", "Unknown",
"Other")</f>
        <v>Medium Stay</v>
      </c>
    </row>
    <row r="759" spans="1:11" x14ac:dyDescent="0.3">
      <c r="A759" t="s">
        <v>2797</v>
      </c>
      <c r="B759" t="s">
        <v>1001</v>
      </c>
      <c r="C759" t="s">
        <v>54</v>
      </c>
      <c r="D759" t="s">
        <v>2798</v>
      </c>
      <c r="E759" t="s">
        <v>546</v>
      </c>
      <c r="F759" t="s">
        <v>2799</v>
      </c>
      <c r="G759" t="s">
        <v>233</v>
      </c>
      <c r="H759" t="s">
        <v>197</v>
      </c>
      <c r="I759">
        <f t="shared" si="11"/>
        <v>4</v>
      </c>
      <c r="J759" t="s">
        <v>121</v>
      </c>
      <c r="K759" t="str" cm="1">
        <f t="array" ref="K759">_xlfn.SWITCH(TRIM(UPPER(J759)),
"BUSINESS", "Short Stay",
"CONFERENCE", "Medium Stay",
"VACATION", "Iong Stay",
"HOLIDAY", "Long Stay",
"V", "Leisure",
"UNKNOWN", "Unknown",
"Other")</f>
        <v>Iong Stay</v>
      </c>
    </row>
    <row r="760" spans="1:11" x14ac:dyDescent="0.3">
      <c r="A760" t="s">
        <v>2800</v>
      </c>
      <c r="B760" t="s">
        <v>212</v>
      </c>
      <c r="C760" t="s">
        <v>61</v>
      </c>
      <c r="D760" t="s">
        <v>2475</v>
      </c>
      <c r="E760" t="s">
        <v>430</v>
      </c>
      <c r="F760" t="s">
        <v>2801</v>
      </c>
      <c r="G760" t="s">
        <v>165</v>
      </c>
      <c r="H760" t="s">
        <v>856</v>
      </c>
      <c r="I760">
        <f t="shared" si="11"/>
        <v>3</v>
      </c>
      <c r="J760" t="s">
        <v>27</v>
      </c>
      <c r="K760" t="str" cm="1">
        <f t="array" ref="K760">_xlfn.SWITCH(TRIM(UPPER(J760)),
"BUSINESS", "Short Stay",
"CONFERENCE", "Medium Stay",
"VACATION", "Iong Stay",
"HOLIDAY", "Long Stay",
"V", "Leisure",
"UNKNOWN", "Unknown",
"Other")</f>
        <v>Medium Stay</v>
      </c>
    </row>
    <row r="761" spans="1:11" x14ac:dyDescent="0.3">
      <c r="A761" t="s">
        <v>2802</v>
      </c>
      <c r="B761" t="s">
        <v>181</v>
      </c>
      <c r="C761" t="s">
        <v>83</v>
      </c>
      <c r="D761" t="s">
        <v>475</v>
      </c>
      <c r="E761" t="s">
        <v>48</v>
      </c>
      <c r="F761" t="s">
        <v>2803</v>
      </c>
      <c r="G761" t="s">
        <v>184</v>
      </c>
      <c r="H761" t="s">
        <v>185</v>
      </c>
      <c r="I761">
        <f t="shared" si="11"/>
        <v>5</v>
      </c>
      <c r="J761" t="s">
        <v>18</v>
      </c>
      <c r="K761" t="str" cm="1">
        <f t="array" ref="K761">_xlfn.SWITCH(TRIM(UPPER(J761)),
"BUSINESS", "Short Stay",
"CONFERENCE", "Medium Stay",
"VACATION", "Iong Stay",
"HOLIDAY", "Long Stay",
"V", "Leisure",
"UNKNOWN", "Unknown",
"Other")</f>
        <v>Short Stay</v>
      </c>
    </row>
    <row r="762" spans="1:11" x14ac:dyDescent="0.3">
      <c r="A762" t="s">
        <v>2804</v>
      </c>
      <c r="B762" t="s">
        <v>1795</v>
      </c>
      <c r="C762" t="s">
        <v>54</v>
      </c>
      <c r="D762" t="s">
        <v>2805</v>
      </c>
      <c r="E762" t="s">
        <v>546</v>
      </c>
      <c r="F762" t="s">
        <v>2806</v>
      </c>
      <c r="G762" t="s">
        <v>1797</v>
      </c>
      <c r="H762" t="s">
        <v>2550</v>
      </c>
      <c r="I762">
        <f t="shared" si="11"/>
        <v>5</v>
      </c>
      <c r="J762" t="s">
        <v>121</v>
      </c>
      <c r="K762" t="str" cm="1">
        <f t="array" ref="K762">_xlfn.SWITCH(TRIM(UPPER(J762)),
"BUSINESS", "Short Stay",
"CONFERENCE", "Medium Stay",
"VACATION", "Iong Stay",
"HOLIDAY", "Long Stay",
"V", "Leisure",
"UNKNOWN", "Unknown",
"Other")</f>
        <v>Iong Stay</v>
      </c>
    </row>
    <row r="763" spans="1:11" x14ac:dyDescent="0.3">
      <c r="A763" t="s">
        <v>2807</v>
      </c>
      <c r="B763" t="s">
        <v>450</v>
      </c>
      <c r="C763" t="s">
        <v>21</v>
      </c>
      <c r="D763" t="s">
        <v>2808</v>
      </c>
      <c r="E763" t="s">
        <v>476</v>
      </c>
      <c r="F763" t="s">
        <v>2809</v>
      </c>
      <c r="G763" t="s">
        <v>453</v>
      </c>
      <c r="H763" t="s">
        <v>1793</v>
      </c>
      <c r="I763">
        <f t="shared" si="11"/>
        <v>2</v>
      </c>
      <c r="J763" t="s">
        <v>44</v>
      </c>
      <c r="K763" t="str" cm="1">
        <f t="array" ref="K763">_xlfn.SWITCH(TRIM(UPPER(J763)),
"BUSINESS", "Short Stay",
"CONFERENCE", "Medium Stay",
"VACATION", "Iong Stay",
"HOLIDAY", "Long Stay",
"V", "Leisure",
"UNKNOWN", "Unknown",
"Other")</f>
        <v>Other</v>
      </c>
    </row>
    <row r="764" spans="1:11" x14ac:dyDescent="0.3">
      <c r="A764" t="s">
        <v>2810</v>
      </c>
      <c r="B764" t="s">
        <v>1795</v>
      </c>
      <c r="C764" t="s">
        <v>83</v>
      </c>
      <c r="D764" t="s">
        <v>2811</v>
      </c>
      <c r="E764" t="s">
        <v>201</v>
      </c>
      <c r="F764" t="s">
        <v>2812</v>
      </c>
      <c r="G764" t="s">
        <v>1797</v>
      </c>
      <c r="H764" t="s">
        <v>725</v>
      </c>
      <c r="I764">
        <f t="shared" si="11"/>
        <v>2</v>
      </c>
      <c r="J764" t="s">
        <v>121</v>
      </c>
      <c r="K764" t="str" cm="1">
        <f t="array" ref="K764">_xlfn.SWITCH(TRIM(UPPER(J764)),
"BUSINESS", "Short Stay",
"CONFERENCE", "Medium Stay",
"VACATION", "Iong Stay",
"HOLIDAY", "Long Stay",
"V", "Leisure",
"UNKNOWN", "Unknown",
"Other")</f>
        <v>Iong Stay</v>
      </c>
    </row>
    <row r="765" spans="1:11" x14ac:dyDescent="0.3">
      <c r="A765" t="s">
        <v>2813</v>
      </c>
      <c r="B765" t="s">
        <v>96</v>
      </c>
      <c r="C765" t="s">
        <v>38</v>
      </c>
      <c r="D765" t="s">
        <v>2814</v>
      </c>
      <c r="E765" t="s">
        <v>69</v>
      </c>
      <c r="F765" t="s">
        <v>2815</v>
      </c>
      <c r="G765" t="s">
        <v>100</v>
      </c>
      <c r="H765" t="s">
        <v>448</v>
      </c>
      <c r="I765">
        <f t="shared" si="11"/>
        <v>1</v>
      </c>
      <c r="J765" t="s">
        <v>44</v>
      </c>
      <c r="K765" t="str" cm="1">
        <f t="array" ref="K765">_xlfn.SWITCH(TRIM(UPPER(J765)),
"BUSINESS", "Short Stay",
"CONFERENCE", "Medium Stay",
"VACATION", "Iong Stay",
"HOLIDAY", "Long Stay",
"V", "Leisure",
"UNKNOWN", "Unknown",
"Other")</f>
        <v>Other</v>
      </c>
    </row>
    <row r="766" spans="1:11" x14ac:dyDescent="0.3">
      <c r="A766" t="s">
        <v>2816</v>
      </c>
      <c r="B766" t="s">
        <v>206</v>
      </c>
      <c r="C766" t="s">
        <v>38</v>
      </c>
      <c r="D766" t="s">
        <v>2817</v>
      </c>
      <c r="E766" t="s">
        <v>23</v>
      </c>
      <c r="F766" t="s">
        <v>2818</v>
      </c>
      <c r="G766" t="s">
        <v>209</v>
      </c>
      <c r="H766" t="s">
        <v>759</v>
      </c>
      <c r="I766">
        <f t="shared" si="11"/>
        <v>4</v>
      </c>
      <c r="J766" t="s">
        <v>18</v>
      </c>
      <c r="K766" t="str" cm="1">
        <f t="array" ref="K766">_xlfn.SWITCH(TRIM(UPPER(J766)),
"BUSINESS", "Short Stay",
"CONFERENCE", "Medium Stay",
"VACATION", "Iong Stay",
"HOLIDAY", "Long Stay",
"V", "Leisure",
"UNKNOWN", "Unknown",
"Other")</f>
        <v>Short Stay</v>
      </c>
    </row>
    <row r="767" spans="1:11" x14ac:dyDescent="0.3">
      <c r="A767" t="s">
        <v>2819</v>
      </c>
      <c r="B767" t="s">
        <v>777</v>
      </c>
      <c r="C767" t="s">
        <v>174</v>
      </c>
      <c r="D767" t="s">
        <v>110</v>
      </c>
      <c r="E767" t="s">
        <v>176</v>
      </c>
      <c r="F767" t="s">
        <v>2820</v>
      </c>
      <c r="G767" t="s">
        <v>780</v>
      </c>
      <c r="H767" t="s">
        <v>781</v>
      </c>
      <c r="I767">
        <f t="shared" si="11"/>
        <v>4</v>
      </c>
      <c r="J767" t="s">
        <v>121</v>
      </c>
      <c r="K767" t="str" cm="1">
        <f t="array" ref="K767">_xlfn.SWITCH(TRIM(UPPER(J767)),
"BUSINESS", "Short Stay",
"CONFERENCE", "Medium Stay",
"VACATION", "Iong Stay",
"HOLIDAY", "Long Stay",
"V", "Leisure",
"UNKNOWN", "Unknown",
"Other")</f>
        <v>Iong Stay</v>
      </c>
    </row>
    <row r="768" spans="1:11" x14ac:dyDescent="0.3">
      <c r="A768" t="s">
        <v>2821</v>
      </c>
      <c r="B768" t="s">
        <v>96</v>
      </c>
      <c r="C768" t="s">
        <v>97</v>
      </c>
      <c r="D768" t="s">
        <v>2002</v>
      </c>
      <c r="E768" t="s">
        <v>546</v>
      </c>
      <c r="F768" t="s">
        <v>2822</v>
      </c>
      <c r="G768" t="s">
        <v>100</v>
      </c>
      <c r="H768" t="s">
        <v>101</v>
      </c>
      <c r="I768">
        <f t="shared" si="11"/>
        <v>4</v>
      </c>
      <c r="J768" t="s">
        <v>18</v>
      </c>
      <c r="K768" t="str" cm="1">
        <f t="array" ref="K768">_xlfn.SWITCH(TRIM(UPPER(J768)),
"BUSINESS", "Short Stay",
"CONFERENCE", "Medium Stay",
"VACATION", "Iong Stay",
"HOLIDAY", "Long Stay",
"V", "Leisure",
"UNKNOWN", "Unknown",
"Other")</f>
        <v>Short Stay</v>
      </c>
    </row>
    <row r="769" spans="1:11" x14ac:dyDescent="0.3">
      <c r="A769" t="s">
        <v>2823</v>
      </c>
      <c r="B769" t="s">
        <v>1017</v>
      </c>
      <c r="C769" t="s">
        <v>30</v>
      </c>
      <c r="D769" t="s">
        <v>2214</v>
      </c>
      <c r="E769" t="s">
        <v>430</v>
      </c>
      <c r="F769" t="s">
        <v>2824</v>
      </c>
      <c r="G769" t="s">
        <v>1020</v>
      </c>
      <c r="H769" t="s">
        <v>672</v>
      </c>
      <c r="I769">
        <f t="shared" si="11"/>
        <v>3</v>
      </c>
      <c r="J769" t="s">
        <v>18</v>
      </c>
      <c r="K769" t="str" cm="1">
        <f t="array" ref="K769">_xlfn.SWITCH(TRIM(UPPER(J769)),
"BUSINESS", "Short Stay",
"CONFERENCE", "Medium Stay",
"VACATION", "Iong Stay",
"HOLIDAY", "Long Stay",
"V", "Leisure",
"UNKNOWN", "Unknown",
"Other")</f>
        <v>Short Stay</v>
      </c>
    </row>
    <row r="770" spans="1:11" x14ac:dyDescent="0.3">
      <c r="A770" t="s">
        <v>2825</v>
      </c>
      <c r="B770" t="s">
        <v>682</v>
      </c>
      <c r="C770" t="s">
        <v>12</v>
      </c>
      <c r="D770" t="s">
        <v>2826</v>
      </c>
      <c r="E770" t="s">
        <v>63</v>
      </c>
      <c r="F770" t="s">
        <v>868</v>
      </c>
      <c r="G770" t="s">
        <v>685</v>
      </c>
      <c r="H770" t="s">
        <v>1226</v>
      </c>
      <c r="I770">
        <f t="shared" si="11"/>
        <v>2</v>
      </c>
      <c r="J770" t="s">
        <v>27</v>
      </c>
      <c r="K770" t="str" cm="1">
        <f t="array" ref="K770">_xlfn.SWITCH(TRIM(UPPER(J770)),
"BUSINESS", "Short Stay",
"CONFERENCE", "Medium Stay",
"VACATION", "Iong Stay",
"HOLIDAY", "Long Stay",
"V", "Leisure",
"UNKNOWN", "Unknown",
"Other")</f>
        <v>Medium Stay</v>
      </c>
    </row>
    <row r="771" spans="1:11" x14ac:dyDescent="0.3">
      <c r="A771" t="s">
        <v>2827</v>
      </c>
      <c r="B771" t="s">
        <v>665</v>
      </c>
      <c r="C771" t="s">
        <v>30</v>
      </c>
      <c r="D771" t="s">
        <v>2828</v>
      </c>
      <c r="E771" t="s">
        <v>32</v>
      </c>
      <c r="F771" t="s">
        <v>2829</v>
      </c>
      <c r="G771" t="s">
        <v>668</v>
      </c>
      <c r="H771" t="s">
        <v>58</v>
      </c>
      <c r="I771">
        <f t="shared" ref="I771:I834" si="12">H771-G771</f>
        <v>4</v>
      </c>
      <c r="J771" t="s">
        <v>44</v>
      </c>
      <c r="K771" t="str" cm="1">
        <f t="array" ref="K771">_xlfn.SWITCH(TRIM(UPPER(J771)),
"BUSINESS", "Short Stay",
"CONFERENCE", "Medium Stay",
"VACATION", "Iong Stay",
"HOLIDAY", "Long Stay",
"V", "Leisure",
"UNKNOWN", "Unknown",
"Other")</f>
        <v>Other</v>
      </c>
    </row>
    <row r="772" spans="1:11" x14ac:dyDescent="0.3">
      <c r="A772" t="s">
        <v>2830</v>
      </c>
      <c r="B772" t="s">
        <v>933</v>
      </c>
      <c r="C772" t="s">
        <v>38</v>
      </c>
      <c r="D772" t="s">
        <v>1385</v>
      </c>
      <c r="E772" t="s">
        <v>77</v>
      </c>
      <c r="F772" t="s">
        <v>2831</v>
      </c>
      <c r="G772" t="s">
        <v>936</v>
      </c>
      <c r="H772" t="s">
        <v>705</v>
      </c>
      <c r="I772">
        <f t="shared" si="12"/>
        <v>1</v>
      </c>
      <c r="J772" t="s">
        <v>121</v>
      </c>
      <c r="K772" t="str" cm="1">
        <f t="array" ref="K772">_xlfn.SWITCH(TRIM(UPPER(J772)),
"BUSINESS", "Short Stay",
"CONFERENCE", "Medium Stay",
"VACATION", "Iong Stay",
"HOLIDAY", "Long Stay",
"V", "Leisure",
"UNKNOWN", "Unknown",
"Other")</f>
        <v>Iong Stay</v>
      </c>
    </row>
    <row r="773" spans="1:11" x14ac:dyDescent="0.3">
      <c r="A773" t="s">
        <v>2832</v>
      </c>
      <c r="B773" t="s">
        <v>1869</v>
      </c>
      <c r="C773" t="s">
        <v>75</v>
      </c>
      <c r="D773" t="s">
        <v>897</v>
      </c>
      <c r="E773" t="s">
        <v>458</v>
      </c>
      <c r="F773" t="s">
        <v>2833</v>
      </c>
      <c r="G773" t="s">
        <v>404</v>
      </c>
      <c r="H773" t="s">
        <v>946</v>
      </c>
      <c r="I773">
        <f t="shared" si="12"/>
        <v>1</v>
      </c>
      <c r="J773" t="s">
        <v>121</v>
      </c>
      <c r="K773" t="str" cm="1">
        <f t="array" ref="K773">_xlfn.SWITCH(TRIM(UPPER(J773)),
"BUSINESS", "Short Stay",
"CONFERENCE", "Medium Stay",
"VACATION", "Iong Stay",
"HOLIDAY", "Long Stay",
"V", "Leisure",
"UNKNOWN", "Unknown",
"Other")</f>
        <v>Iong Stay</v>
      </c>
    </row>
    <row r="774" spans="1:11" x14ac:dyDescent="0.3">
      <c r="A774" t="s">
        <v>2834</v>
      </c>
      <c r="B774" t="s">
        <v>1678</v>
      </c>
      <c r="C774" t="s">
        <v>97</v>
      </c>
      <c r="D774" t="s">
        <v>2835</v>
      </c>
      <c r="E774" t="s">
        <v>117</v>
      </c>
      <c r="F774" t="s">
        <v>2836</v>
      </c>
      <c r="G774" t="s">
        <v>1681</v>
      </c>
      <c r="H774" t="s">
        <v>913</v>
      </c>
      <c r="I774">
        <f t="shared" si="12"/>
        <v>2</v>
      </c>
      <c r="J774" t="s">
        <v>18</v>
      </c>
      <c r="K774" t="str" cm="1">
        <f t="array" ref="K774">_xlfn.SWITCH(TRIM(UPPER(J774)),
"BUSINESS", "Short Stay",
"CONFERENCE", "Medium Stay",
"VACATION", "Iong Stay",
"HOLIDAY", "Long Stay",
"V", "Leisure",
"UNKNOWN", "Unknown",
"Other")</f>
        <v>Short Stay</v>
      </c>
    </row>
    <row r="775" spans="1:11" x14ac:dyDescent="0.3">
      <c r="A775" t="s">
        <v>2837</v>
      </c>
      <c r="B775" t="s">
        <v>1465</v>
      </c>
      <c r="C775" t="s">
        <v>30</v>
      </c>
      <c r="D775" t="s">
        <v>2838</v>
      </c>
      <c r="E775" t="s">
        <v>430</v>
      </c>
      <c r="F775" t="s">
        <v>2839</v>
      </c>
      <c r="G775" t="s">
        <v>1415</v>
      </c>
      <c r="H775" t="s">
        <v>2840</v>
      </c>
      <c r="I775">
        <f t="shared" si="12"/>
        <v>2</v>
      </c>
      <c r="J775" t="s">
        <v>27</v>
      </c>
      <c r="K775" t="str" cm="1">
        <f t="array" ref="K775">_xlfn.SWITCH(TRIM(UPPER(J775)),
"BUSINESS", "Short Stay",
"CONFERENCE", "Medium Stay",
"VACATION", "Iong Stay",
"HOLIDAY", "Long Stay",
"V", "Leisure",
"UNKNOWN", "Unknown",
"Other")</f>
        <v>Medium Stay</v>
      </c>
    </row>
    <row r="776" spans="1:11" x14ac:dyDescent="0.3">
      <c r="A776" t="s">
        <v>2841</v>
      </c>
      <c r="B776" t="s">
        <v>1353</v>
      </c>
      <c r="C776" t="s">
        <v>21</v>
      </c>
      <c r="D776" t="s">
        <v>2842</v>
      </c>
      <c r="E776" t="s">
        <v>176</v>
      </c>
      <c r="F776" t="s">
        <v>2843</v>
      </c>
      <c r="G776" t="s">
        <v>1356</v>
      </c>
      <c r="H776" t="s">
        <v>668</v>
      </c>
      <c r="I776">
        <f t="shared" si="12"/>
        <v>2</v>
      </c>
      <c r="J776" t="s">
        <v>44</v>
      </c>
      <c r="K776" t="str" cm="1">
        <f t="array" ref="K776">_xlfn.SWITCH(TRIM(UPPER(J776)),
"BUSINESS", "Short Stay",
"CONFERENCE", "Medium Stay",
"VACATION", "Iong Stay",
"HOLIDAY", "Long Stay",
"V", "Leisure",
"UNKNOWN", "Unknown",
"Other")</f>
        <v>Other</v>
      </c>
    </row>
    <row r="777" spans="1:11" x14ac:dyDescent="0.3">
      <c r="A777" t="s">
        <v>2844</v>
      </c>
      <c r="B777" t="s">
        <v>504</v>
      </c>
      <c r="C777" t="s">
        <v>38</v>
      </c>
      <c r="D777" t="s">
        <v>2845</v>
      </c>
      <c r="E777" t="s">
        <v>32</v>
      </c>
      <c r="F777" t="s">
        <v>2846</v>
      </c>
      <c r="G777" t="s">
        <v>289</v>
      </c>
      <c r="H777" t="s">
        <v>94</v>
      </c>
      <c r="I777">
        <f t="shared" si="12"/>
        <v>2</v>
      </c>
      <c r="J777" t="s">
        <v>121</v>
      </c>
      <c r="K777" t="str" cm="1">
        <f t="array" ref="K777">_xlfn.SWITCH(TRIM(UPPER(J777)),
"BUSINESS", "Short Stay",
"CONFERENCE", "Medium Stay",
"VACATION", "Iong Stay",
"HOLIDAY", "Long Stay",
"V", "Leisure",
"UNKNOWN", "Unknown",
"Other")</f>
        <v>Iong Stay</v>
      </c>
    </row>
    <row r="778" spans="1:11" x14ac:dyDescent="0.3">
      <c r="A778" t="s">
        <v>2847</v>
      </c>
      <c r="B778" t="s">
        <v>353</v>
      </c>
      <c r="C778" t="s">
        <v>174</v>
      </c>
      <c r="D778" t="s">
        <v>2848</v>
      </c>
      <c r="E778" t="s">
        <v>85</v>
      </c>
      <c r="F778" t="s">
        <v>2849</v>
      </c>
      <c r="G778" t="s">
        <v>356</v>
      </c>
      <c r="H778" t="s">
        <v>936</v>
      </c>
      <c r="I778">
        <f t="shared" si="12"/>
        <v>4</v>
      </c>
      <c r="J778" t="s">
        <v>44</v>
      </c>
      <c r="K778" t="str" cm="1">
        <f t="array" ref="K778">_xlfn.SWITCH(TRIM(UPPER(J778)),
"BUSINESS", "Short Stay",
"CONFERENCE", "Medium Stay",
"VACATION", "Iong Stay",
"HOLIDAY", "Long Stay",
"V", "Leisure",
"UNKNOWN", "Unknown",
"Other")</f>
        <v>Other</v>
      </c>
    </row>
    <row r="779" spans="1:11" x14ac:dyDescent="0.3">
      <c r="A779" t="s">
        <v>2850</v>
      </c>
      <c r="B779" t="s">
        <v>1149</v>
      </c>
      <c r="C779" t="s">
        <v>61</v>
      </c>
      <c r="D779" t="s">
        <v>371</v>
      </c>
      <c r="E779" t="s">
        <v>69</v>
      </c>
      <c r="F779" t="s">
        <v>2851</v>
      </c>
      <c r="G779" t="s">
        <v>393</v>
      </c>
      <c r="H779" t="s">
        <v>1311</v>
      </c>
      <c r="I779">
        <f t="shared" si="12"/>
        <v>4</v>
      </c>
      <c r="J779" t="s">
        <v>44</v>
      </c>
      <c r="K779" t="str" cm="1">
        <f t="array" ref="K779">_xlfn.SWITCH(TRIM(UPPER(J779)),
"BUSINESS", "Short Stay",
"CONFERENCE", "Medium Stay",
"VACATION", "Iong Stay",
"HOLIDAY", "Long Stay",
"V", "Leisure",
"UNKNOWN", "Unknown",
"Other")</f>
        <v>Other</v>
      </c>
    </row>
    <row r="780" spans="1:11" x14ac:dyDescent="0.3">
      <c r="A780" t="s">
        <v>2852</v>
      </c>
      <c r="B780" t="s">
        <v>900</v>
      </c>
      <c r="C780" t="s">
        <v>75</v>
      </c>
      <c r="D780" t="s">
        <v>2853</v>
      </c>
      <c r="E780" t="s">
        <v>546</v>
      </c>
      <c r="F780" t="s">
        <v>2854</v>
      </c>
      <c r="G780" t="s">
        <v>903</v>
      </c>
      <c r="H780" t="s">
        <v>645</v>
      </c>
      <c r="I780">
        <f t="shared" si="12"/>
        <v>3</v>
      </c>
      <c r="J780" t="s">
        <v>18</v>
      </c>
      <c r="K780" t="str" cm="1">
        <f t="array" ref="K780">_xlfn.SWITCH(TRIM(UPPER(J780)),
"BUSINESS", "Short Stay",
"CONFERENCE", "Medium Stay",
"VACATION", "Iong Stay",
"HOLIDAY", "Long Stay",
"V", "Leisure",
"UNKNOWN", "Unknown",
"Other")</f>
        <v>Short Stay</v>
      </c>
    </row>
    <row r="781" spans="1:11" x14ac:dyDescent="0.3">
      <c r="A781" t="s">
        <v>2855</v>
      </c>
      <c r="B781" t="s">
        <v>279</v>
      </c>
      <c r="C781" t="s">
        <v>97</v>
      </c>
      <c r="D781" t="s">
        <v>2090</v>
      </c>
      <c r="E781" t="s">
        <v>69</v>
      </c>
      <c r="F781" t="s">
        <v>2856</v>
      </c>
      <c r="G781" t="s">
        <v>282</v>
      </c>
      <c r="H781" t="s">
        <v>2767</v>
      </c>
      <c r="I781">
        <f t="shared" si="12"/>
        <v>3</v>
      </c>
      <c r="J781" t="s">
        <v>121</v>
      </c>
      <c r="K781" t="str" cm="1">
        <f t="array" ref="K781">_xlfn.SWITCH(TRIM(UPPER(J781)),
"BUSINESS", "Short Stay",
"CONFERENCE", "Medium Stay",
"VACATION", "Iong Stay",
"HOLIDAY", "Long Stay",
"V", "Leisure",
"UNKNOWN", "Unknown",
"Other")</f>
        <v>Iong Stay</v>
      </c>
    </row>
    <row r="782" spans="1:11" x14ac:dyDescent="0.3">
      <c r="A782" t="s">
        <v>2857</v>
      </c>
      <c r="B782" t="s">
        <v>252</v>
      </c>
      <c r="C782" t="s">
        <v>12</v>
      </c>
      <c r="D782" t="s">
        <v>286</v>
      </c>
      <c r="E782" t="s">
        <v>63</v>
      </c>
      <c r="F782" t="s">
        <v>2858</v>
      </c>
      <c r="G782" t="s">
        <v>88</v>
      </c>
      <c r="H782" t="s">
        <v>791</v>
      </c>
      <c r="I782">
        <f t="shared" si="12"/>
        <v>1</v>
      </c>
      <c r="J782" t="s">
        <v>18</v>
      </c>
      <c r="K782" t="str" cm="1">
        <f t="array" ref="K782">_xlfn.SWITCH(TRIM(UPPER(J782)),
"BUSINESS", "Short Stay",
"CONFERENCE", "Medium Stay",
"VACATION", "Iong Stay",
"HOLIDAY", "Long Stay",
"V", "Leisure",
"UNKNOWN", "Unknown",
"Other")</f>
        <v>Short Stay</v>
      </c>
    </row>
    <row r="783" spans="1:11" x14ac:dyDescent="0.3">
      <c r="A783" t="s">
        <v>2859</v>
      </c>
      <c r="B783" t="s">
        <v>2860</v>
      </c>
      <c r="C783" t="s">
        <v>75</v>
      </c>
      <c r="D783" t="s">
        <v>2861</v>
      </c>
      <c r="E783" t="s">
        <v>32</v>
      </c>
      <c r="F783" t="s">
        <v>2862</v>
      </c>
      <c r="G783" t="s">
        <v>410</v>
      </c>
      <c r="H783" t="s">
        <v>190</v>
      </c>
      <c r="I783">
        <f t="shared" si="12"/>
        <v>5</v>
      </c>
      <c r="J783" t="s">
        <v>121</v>
      </c>
      <c r="K783" t="str" cm="1">
        <f t="array" ref="K783">_xlfn.SWITCH(TRIM(UPPER(J783)),
"BUSINESS", "Short Stay",
"CONFERENCE", "Medium Stay",
"VACATION", "Iong Stay",
"HOLIDAY", "Long Stay",
"V", "Leisure",
"UNKNOWN", "Unknown",
"Other")</f>
        <v>Iong Stay</v>
      </c>
    </row>
    <row r="784" spans="1:11" x14ac:dyDescent="0.3">
      <c r="A784" t="s">
        <v>2863</v>
      </c>
      <c r="B784" t="s">
        <v>1075</v>
      </c>
      <c r="C784" t="s">
        <v>61</v>
      </c>
      <c r="D784" t="s">
        <v>1187</v>
      </c>
      <c r="E784" t="s">
        <v>546</v>
      </c>
      <c r="F784" t="s">
        <v>2864</v>
      </c>
      <c r="G784" t="s">
        <v>1078</v>
      </c>
      <c r="H784" t="s">
        <v>1204</v>
      </c>
      <c r="I784">
        <f t="shared" si="12"/>
        <v>1</v>
      </c>
      <c r="J784" t="s">
        <v>18</v>
      </c>
      <c r="K784" t="str" cm="1">
        <f t="array" ref="K784">_xlfn.SWITCH(TRIM(UPPER(J784)),
"BUSINESS", "Short Stay",
"CONFERENCE", "Medium Stay",
"VACATION", "Iong Stay",
"HOLIDAY", "Long Stay",
"V", "Leisure",
"UNKNOWN", "Unknown",
"Other")</f>
        <v>Short Stay</v>
      </c>
    </row>
    <row r="785" spans="1:11" x14ac:dyDescent="0.3">
      <c r="A785" t="s">
        <v>2865</v>
      </c>
      <c r="B785" t="s">
        <v>2338</v>
      </c>
      <c r="C785" t="s">
        <v>21</v>
      </c>
      <c r="D785" t="s">
        <v>2866</v>
      </c>
      <c r="E785" t="s">
        <v>201</v>
      </c>
      <c r="F785" t="s">
        <v>2867</v>
      </c>
      <c r="G785" t="s">
        <v>2340</v>
      </c>
      <c r="H785" t="s">
        <v>1575</v>
      </c>
      <c r="I785">
        <f t="shared" si="12"/>
        <v>3</v>
      </c>
      <c r="J785" t="s">
        <v>18</v>
      </c>
      <c r="K785" t="str" cm="1">
        <f t="array" ref="K785">_xlfn.SWITCH(TRIM(UPPER(J785)),
"BUSINESS", "Short Stay",
"CONFERENCE", "Medium Stay",
"VACATION", "Iong Stay",
"HOLIDAY", "Long Stay",
"V", "Leisure",
"UNKNOWN", "Unknown",
"Other")</f>
        <v>Short Stay</v>
      </c>
    </row>
    <row r="786" spans="1:11" x14ac:dyDescent="0.3">
      <c r="A786" t="s">
        <v>2868</v>
      </c>
      <c r="B786" t="s">
        <v>1353</v>
      </c>
      <c r="C786" t="s">
        <v>30</v>
      </c>
      <c r="D786" t="s">
        <v>1041</v>
      </c>
      <c r="E786" t="s">
        <v>63</v>
      </c>
      <c r="F786" t="s">
        <v>2869</v>
      </c>
      <c r="G786" t="s">
        <v>1356</v>
      </c>
      <c r="H786" t="s">
        <v>2870</v>
      </c>
      <c r="I786">
        <f t="shared" si="12"/>
        <v>3</v>
      </c>
      <c r="J786" t="s">
        <v>27</v>
      </c>
      <c r="K786" t="str" cm="1">
        <f t="array" ref="K786">_xlfn.SWITCH(TRIM(UPPER(J786)),
"BUSINESS", "Short Stay",
"CONFERENCE", "Medium Stay",
"VACATION", "Iong Stay",
"HOLIDAY", "Long Stay",
"V", "Leisure",
"UNKNOWN", "Unknown",
"Other")</f>
        <v>Medium Stay</v>
      </c>
    </row>
    <row r="787" spans="1:11" x14ac:dyDescent="0.3">
      <c r="A787" t="s">
        <v>2871</v>
      </c>
      <c r="B787" t="s">
        <v>879</v>
      </c>
      <c r="C787" t="s">
        <v>12</v>
      </c>
      <c r="D787" t="s">
        <v>2872</v>
      </c>
      <c r="E787" t="s">
        <v>48</v>
      </c>
      <c r="F787" t="s">
        <v>2873</v>
      </c>
      <c r="G787" t="s">
        <v>179</v>
      </c>
      <c r="H787" t="s">
        <v>151</v>
      </c>
      <c r="I787">
        <f t="shared" si="12"/>
        <v>1</v>
      </c>
      <c r="J787" t="s">
        <v>44</v>
      </c>
      <c r="K787" t="str" cm="1">
        <f t="array" ref="K787">_xlfn.SWITCH(TRIM(UPPER(J787)),
"BUSINESS", "Short Stay",
"CONFERENCE", "Medium Stay",
"VACATION", "Iong Stay",
"HOLIDAY", "Long Stay",
"V", "Leisure",
"UNKNOWN", "Unknown",
"Other")</f>
        <v>Other</v>
      </c>
    </row>
    <row r="788" spans="1:11" x14ac:dyDescent="0.3">
      <c r="A788" t="s">
        <v>2874</v>
      </c>
      <c r="B788" t="s">
        <v>2875</v>
      </c>
      <c r="C788" t="s">
        <v>75</v>
      </c>
      <c r="D788" t="s">
        <v>1988</v>
      </c>
      <c r="E788" t="s">
        <v>69</v>
      </c>
      <c r="F788" t="s">
        <v>2876</v>
      </c>
      <c r="G788" t="s">
        <v>731</v>
      </c>
      <c r="H788" t="s">
        <v>1181</v>
      </c>
      <c r="I788">
        <f t="shared" si="12"/>
        <v>1</v>
      </c>
      <c r="J788" t="s">
        <v>27</v>
      </c>
      <c r="K788" t="str" cm="1">
        <f t="array" ref="K788">_xlfn.SWITCH(TRIM(UPPER(J788)),
"BUSINESS", "Short Stay",
"CONFERENCE", "Medium Stay",
"VACATION", "Iong Stay",
"HOLIDAY", "Long Stay",
"V", "Leisure",
"UNKNOWN", "Unknown",
"Other")</f>
        <v>Medium Stay</v>
      </c>
    </row>
    <row r="789" spans="1:11" x14ac:dyDescent="0.3">
      <c r="A789" t="s">
        <v>2877</v>
      </c>
      <c r="B789" t="s">
        <v>1239</v>
      </c>
      <c r="C789" t="s">
        <v>97</v>
      </c>
      <c r="D789" t="s">
        <v>488</v>
      </c>
      <c r="E789" t="s">
        <v>117</v>
      </c>
      <c r="F789" t="s">
        <v>2533</v>
      </c>
      <c r="G789" t="s">
        <v>1242</v>
      </c>
      <c r="H789" t="s">
        <v>282</v>
      </c>
      <c r="I789">
        <f t="shared" si="12"/>
        <v>2</v>
      </c>
      <c r="J789" t="s">
        <v>27</v>
      </c>
      <c r="K789" t="str" cm="1">
        <f t="array" ref="K789">_xlfn.SWITCH(TRIM(UPPER(J789)),
"BUSINESS", "Short Stay",
"CONFERENCE", "Medium Stay",
"VACATION", "Iong Stay",
"HOLIDAY", "Long Stay",
"V", "Leisure",
"UNKNOWN", "Unknown",
"Other")</f>
        <v>Medium Stay</v>
      </c>
    </row>
    <row r="790" spans="1:11" x14ac:dyDescent="0.3">
      <c r="A790" t="s">
        <v>2878</v>
      </c>
      <c r="B790" t="s">
        <v>2774</v>
      </c>
      <c r="C790" t="s">
        <v>54</v>
      </c>
      <c r="D790" t="s">
        <v>2386</v>
      </c>
      <c r="E790" t="s">
        <v>14</v>
      </c>
      <c r="F790" t="s">
        <v>2879</v>
      </c>
      <c r="G790" t="s">
        <v>2777</v>
      </c>
      <c r="H790" t="s">
        <v>1085</v>
      </c>
      <c r="I790">
        <f t="shared" si="12"/>
        <v>4</v>
      </c>
      <c r="J790" t="s">
        <v>27</v>
      </c>
      <c r="K790" t="str" cm="1">
        <f t="array" ref="K790">_xlfn.SWITCH(TRIM(UPPER(J790)),
"BUSINESS", "Short Stay",
"CONFERENCE", "Medium Stay",
"VACATION", "Iong Stay",
"HOLIDAY", "Long Stay",
"V", "Leisure",
"UNKNOWN", "Unknown",
"Other")</f>
        <v>Medium Stay</v>
      </c>
    </row>
    <row r="791" spans="1:11" x14ac:dyDescent="0.3">
      <c r="A791" t="s">
        <v>2880</v>
      </c>
      <c r="B791" t="s">
        <v>674</v>
      </c>
      <c r="C791" t="s">
        <v>54</v>
      </c>
      <c r="D791" t="s">
        <v>1137</v>
      </c>
      <c r="E791" t="s">
        <v>201</v>
      </c>
      <c r="F791" t="s">
        <v>2881</v>
      </c>
      <c r="G791" t="s">
        <v>677</v>
      </c>
      <c r="H791" t="s">
        <v>2340</v>
      </c>
      <c r="I791">
        <f t="shared" si="12"/>
        <v>1</v>
      </c>
      <c r="J791" t="s">
        <v>18</v>
      </c>
      <c r="K791" t="str" cm="1">
        <f t="array" ref="K791">_xlfn.SWITCH(TRIM(UPPER(J791)),
"BUSINESS", "Short Stay",
"CONFERENCE", "Medium Stay",
"VACATION", "Iong Stay",
"HOLIDAY", "Long Stay",
"V", "Leisure",
"UNKNOWN", "Unknown",
"Other")</f>
        <v>Short Stay</v>
      </c>
    </row>
    <row r="792" spans="1:11" x14ac:dyDescent="0.3">
      <c r="A792" t="s">
        <v>2882</v>
      </c>
      <c r="B792" t="s">
        <v>1429</v>
      </c>
      <c r="C792" t="s">
        <v>97</v>
      </c>
      <c r="D792" t="s">
        <v>2883</v>
      </c>
      <c r="E792" t="s">
        <v>14</v>
      </c>
      <c r="F792" t="s">
        <v>2884</v>
      </c>
      <c r="G792" t="s">
        <v>283</v>
      </c>
      <c r="H792" t="s">
        <v>1356</v>
      </c>
      <c r="I792">
        <f t="shared" si="12"/>
        <v>2</v>
      </c>
      <c r="J792" t="s">
        <v>44</v>
      </c>
      <c r="K792" t="str" cm="1">
        <f t="array" ref="K792">_xlfn.SWITCH(TRIM(UPPER(J792)),
"BUSINESS", "Short Stay",
"CONFERENCE", "Medium Stay",
"VACATION", "Iong Stay",
"HOLIDAY", "Long Stay",
"V", "Leisure",
"UNKNOWN", "Unknown",
"Other")</f>
        <v>Other</v>
      </c>
    </row>
    <row r="793" spans="1:11" x14ac:dyDescent="0.3">
      <c r="A793" t="s">
        <v>2885</v>
      </c>
      <c r="B793" t="s">
        <v>708</v>
      </c>
      <c r="C793" t="s">
        <v>38</v>
      </c>
      <c r="D793" t="s">
        <v>2886</v>
      </c>
      <c r="E793" t="s">
        <v>23</v>
      </c>
      <c r="F793" t="s">
        <v>2887</v>
      </c>
      <c r="G793" t="s">
        <v>658</v>
      </c>
      <c r="H793" t="s">
        <v>583</v>
      </c>
      <c r="I793">
        <f t="shared" si="12"/>
        <v>1</v>
      </c>
      <c r="J793" t="s">
        <v>18</v>
      </c>
      <c r="K793" t="str" cm="1">
        <f t="array" ref="K793">_xlfn.SWITCH(TRIM(UPPER(J793)),
"BUSINESS", "Short Stay",
"CONFERENCE", "Medium Stay",
"VACATION", "Iong Stay",
"HOLIDAY", "Long Stay",
"V", "Leisure",
"UNKNOWN", "Unknown",
"Other")</f>
        <v>Short Stay</v>
      </c>
    </row>
    <row r="794" spans="1:11" x14ac:dyDescent="0.3">
      <c r="A794" t="s">
        <v>2888</v>
      </c>
      <c r="B794" t="s">
        <v>312</v>
      </c>
      <c r="C794" t="s">
        <v>21</v>
      </c>
      <c r="D794" t="s">
        <v>2889</v>
      </c>
      <c r="E794" t="s">
        <v>69</v>
      </c>
      <c r="F794" t="s">
        <v>2890</v>
      </c>
      <c r="G794" t="s">
        <v>316</v>
      </c>
      <c r="H794" t="s">
        <v>517</v>
      </c>
      <c r="I794">
        <f t="shared" si="12"/>
        <v>2</v>
      </c>
      <c r="J794" t="s">
        <v>44</v>
      </c>
      <c r="K794" t="str" cm="1">
        <f t="array" ref="K794">_xlfn.SWITCH(TRIM(UPPER(J794)),
"BUSINESS", "Short Stay",
"CONFERENCE", "Medium Stay",
"VACATION", "Iong Stay",
"HOLIDAY", "Long Stay",
"V", "Leisure",
"UNKNOWN", "Unknown",
"Other")</f>
        <v>Other</v>
      </c>
    </row>
    <row r="795" spans="1:11" x14ac:dyDescent="0.3">
      <c r="A795" t="s">
        <v>2891</v>
      </c>
      <c r="B795" t="s">
        <v>1795</v>
      </c>
      <c r="C795" t="s">
        <v>12</v>
      </c>
      <c r="D795" t="s">
        <v>2084</v>
      </c>
      <c r="E795" t="s">
        <v>40</v>
      </c>
      <c r="F795" t="s">
        <v>2892</v>
      </c>
      <c r="G795" t="s">
        <v>1797</v>
      </c>
      <c r="H795" t="s">
        <v>725</v>
      </c>
      <c r="I795">
        <f t="shared" si="12"/>
        <v>2</v>
      </c>
      <c r="J795" t="s">
        <v>18</v>
      </c>
      <c r="K795" t="str" cm="1">
        <f t="array" ref="K795">_xlfn.SWITCH(TRIM(UPPER(J795)),
"BUSINESS", "Short Stay",
"CONFERENCE", "Medium Stay",
"VACATION", "Iong Stay",
"HOLIDAY", "Long Stay",
"V", "Leisure",
"UNKNOWN", "Unknown",
"Other")</f>
        <v>Short Stay</v>
      </c>
    </row>
    <row r="796" spans="1:11" x14ac:dyDescent="0.3">
      <c r="A796" t="s">
        <v>2893</v>
      </c>
      <c r="B796" t="s">
        <v>2513</v>
      </c>
      <c r="C796" t="s">
        <v>174</v>
      </c>
      <c r="D796" t="s">
        <v>2894</v>
      </c>
      <c r="E796" t="s">
        <v>14</v>
      </c>
      <c r="F796" t="s">
        <v>2895</v>
      </c>
      <c r="G796" t="s">
        <v>2516</v>
      </c>
      <c r="H796" t="s">
        <v>133</v>
      </c>
      <c r="I796">
        <f t="shared" si="12"/>
        <v>1</v>
      </c>
      <c r="J796" t="s">
        <v>121</v>
      </c>
      <c r="K796" t="str" cm="1">
        <f t="array" ref="K796">_xlfn.SWITCH(TRIM(UPPER(J796)),
"BUSINESS", "Short Stay",
"CONFERENCE", "Medium Stay",
"VACATION", "Iong Stay",
"HOLIDAY", "Long Stay",
"V", "Leisure",
"UNKNOWN", "Unknown",
"Other")</f>
        <v>Iong Stay</v>
      </c>
    </row>
    <row r="797" spans="1:11" x14ac:dyDescent="0.3">
      <c r="A797" t="s">
        <v>2896</v>
      </c>
      <c r="B797" t="s">
        <v>708</v>
      </c>
      <c r="C797" t="s">
        <v>97</v>
      </c>
      <c r="D797" t="s">
        <v>1919</v>
      </c>
      <c r="E797" t="s">
        <v>14</v>
      </c>
      <c r="F797" t="s">
        <v>2897</v>
      </c>
      <c r="G797" t="s">
        <v>658</v>
      </c>
      <c r="H797" t="s">
        <v>138</v>
      </c>
      <c r="I797">
        <f t="shared" si="12"/>
        <v>2</v>
      </c>
      <c r="J797" t="s">
        <v>18</v>
      </c>
      <c r="K797" t="str" cm="1">
        <f t="array" ref="K797">_xlfn.SWITCH(TRIM(UPPER(J797)),
"BUSINESS", "Short Stay",
"CONFERENCE", "Medium Stay",
"VACATION", "Iong Stay",
"HOLIDAY", "Long Stay",
"V", "Leisure",
"UNKNOWN", "Unknown",
"Other")</f>
        <v>Short Stay</v>
      </c>
    </row>
    <row r="798" spans="1:11" x14ac:dyDescent="0.3">
      <c r="A798" t="s">
        <v>2898</v>
      </c>
      <c r="B798" t="s">
        <v>380</v>
      </c>
      <c r="C798" t="s">
        <v>97</v>
      </c>
      <c r="D798" t="s">
        <v>301</v>
      </c>
      <c r="E798" t="s">
        <v>214</v>
      </c>
      <c r="F798" t="s">
        <v>2899</v>
      </c>
      <c r="G798" t="s">
        <v>383</v>
      </c>
      <c r="H798" t="s">
        <v>233</v>
      </c>
      <c r="I798">
        <f t="shared" si="12"/>
        <v>1</v>
      </c>
      <c r="J798" t="s">
        <v>18</v>
      </c>
      <c r="K798" t="str" cm="1">
        <f t="array" ref="K798">_xlfn.SWITCH(TRIM(UPPER(J798)),
"BUSINESS", "Short Stay",
"CONFERENCE", "Medium Stay",
"VACATION", "Iong Stay",
"HOLIDAY", "Long Stay",
"V", "Leisure",
"UNKNOWN", "Unknown",
"Other")</f>
        <v>Short Stay</v>
      </c>
    </row>
    <row r="799" spans="1:11" x14ac:dyDescent="0.3">
      <c r="A799" t="s">
        <v>2900</v>
      </c>
      <c r="B799" t="s">
        <v>2157</v>
      </c>
      <c r="C799" t="s">
        <v>174</v>
      </c>
      <c r="D799" t="s">
        <v>2901</v>
      </c>
      <c r="E799" t="s">
        <v>85</v>
      </c>
      <c r="F799" t="s">
        <v>2902</v>
      </c>
      <c r="G799" t="s">
        <v>2160</v>
      </c>
      <c r="H799" t="s">
        <v>221</v>
      </c>
      <c r="I799">
        <f t="shared" si="12"/>
        <v>5</v>
      </c>
      <c r="J799" t="s">
        <v>18</v>
      </c>
      <c r="K799" t="str" cm="1">
        <f t="array" ref="K799">_xlfn.SWITCH(TRIM(UPPER(J799)),
"BUSINESS", "Short Stay",
"CONFERENCE", "Medium Stay",
"VACATION", "Iong Stay",
"HOLIDAY", "Long Stay",
"V", "Leisure",
"UNKNOWN", "Unknown",
"Other")</f>
        <v>Short Stay</v>
      </c>
    </row>
    <row r="800" spans="1:11" x14ac:dyDescent="0.3">
      <c r="A800" t="s">
        <v>2903</v>
      </c>
      <c r="B800" t="s">
        <v>2904</v>
      </c>
      <c r="C800" t="s">
        <v>83</v>
      </c>
      <c r="D800" t="s">
        <v>2905</v>
      </c>
      <c r="E800" t="s">
        <v>458</v>
      </c>
      <c r="F800" t="s">
        <v>1673</v>
      </c>
      <c r="G800" t="s">
        <v>813</v>
      </c>
      <c r="H800" t="s">
        <v>351</v>
      </c>
      <c r="I800">
        <f t="shared" si="12"/>
        <v>1</v>
      </c>
      <c r="J800" t="s">
        <v>27</v>
      </c>
      <c r="K800" t="str" cm="1">
        <f t="array" ref="K800">_xlfn.SWITCH(TRIM(UPPER(J800)),
"BUSINESS", "Short Stay",
"CONFERENCE", "Medium Stay",
"VACATION", "Iong Stay",
"HOLIDAY", "Long Stay",
"V", "Leisure",
"UNKNOWN", "Unknown",
"Other")</f>
        <v>Medium Stay</v>
      </c>
    </row>
    <row r="801" spans="1:11" x14ac:dyDescent="0.3">
      <c r="A801" t="s">
        <v>2906</v>
      </c>
      <c r="B801" t="s">
        <v>218</v>
      </c>
      <c r="C801" t="s">
        <v>38</v>
      </c>
      <c r="D801" t="s">
        <v>1579</v>
      </c>
      <c r="E801" t="s">
        <v>201</v>
      </c>
      <c r="F801" t="s">
        <v>2907</v>
      </c>
      <c r="G801" t="s">
        <v>221</v>
      </c>
      <c r="H801" t="s">
        <v>222</v>
      </c>
      <c r="I801">
        <f t="shared" si="12"/>
        <v>2</v>
      </c>
      <c r="J801" t="s">
        <v>18</v>
      </c>
      <c r="K801" t="str" cm="1">
        <f t="array" ref="K801">_xlfn.SWITCH(TRIM(UPPER(J801)),
"BUSINESS", "Short Stay",
"CONFERENCE", "Medium Stay",
"VACATION", "Iong Stay",
"HOLIDAY", "Long Stay",
"V", "Leisure",
"UNKNOWN", "Unknown",
"Other")</f>
        <v>Short Stay</v>
      </c>
    </row>
    <row r="802" spans="1:11" x14ac:dyDescent="0.3">
      <c r="A802" t="s">
        <v>2908</v>
      </c>
      <c r="B802" t="s">
        <v>1997</v>
      </c>
      <c r="C802" t="s">
        <v>21</v>
      </c>
      <c r="D802" t="s">
        <v>2909</v>
      </c>
      <c r="E802" t="s">
        <v>201</v>
      </c>
      <c r="F802" t="s">
        <v>2910</v>
      </c>
      <c r="G802" t="s">
        <v>1199</v>
      </c>
      <c r="H802" t="s">
        <v>222</v>
      </c>
      <c r="I802">
        <f t="shared" si="12"/>
        <v>1</v>
      </c>
      <c r="J802" t="s">
        <v>27</v>
      </c>
      <c r="K802" t="str" cm="1">
        <f t="array" ref="K802">_xlfn.SWITCH(TRIM(UPPER(J802)),
"BUSINESS", "Short Stay",
"CONFERENCE", "Medium Stay",
"VACATION", "Iong Stay",
"HOLIDAY", "Long Stay",
"V", "Leisure",
"UNKNOWN", "Unknown",
"Other")</f>
        <v>Medium Stay</v>
      </c>
    </row>
    <row r="803" spans="1:11" x14ac:dyDescent="0.3">
      <c r="A803" t="s">
        <v>2911</v>
      </c>
      <c r="B803" t="s">
        <v>1448</v>
      </c>
      <c r="C803" t="s">
        <v>21</v>
      </c>
      <c r="D803" t="s">
        <v>116</v>
      </c>
      <c r="E803" t="s">
        <v>117</v>
      </c>
      <c r="F803" t="s">
        <v>2912</v>
      </c>
      <c r="G803" t="s">
        <v>1091</v>
      </c>
      <c r="H803" t="s">
        <v>1012</v>
      </c>
      <c r="I803">
        <f t="shared" si="12"/>
        <v>3</v>
      </c>
      <c r="J803" t="s">
        <v>121</v>
      </c>
      <c r="K803" t="str" cm="1">
        <f t="array" ref="K803">_xlfn.SWITCH(TRIM(UPPER(J803)),
"BUSINESS", "Short Stay",
"CONFERENCE", "Medium Stay",
"VACATION", "Iong Stay",
"HOLIDAY", "Long Stay",
"V", "Leisure",
"UNKNOWN", "Unknown",
"Other")</f>
        <v>Iong Stay</v>
      </c>
    </row>
    <row r="804" spans="1:11" x14ac:dyDescent="0.3">
      <c r="A804" t="s">
        <v>2913</v>
      </c>
      <c r="B804" t="s">
        <v>777</v>
      </c>
      <c r="C804" t="s">
        <v>97</v>
      </c>
      <c r="D804" t="s">
        <v>1573</v>
      </c>
      <c r="E804" t="s">
        <v>546</v>
      </c>
      <c r="F804" t="s">
        <v>2914</v>
      </c>
      <c r="G804" t="s">
        <v>780</v>
      </c>
      <c r="H804" t="s">
        <v>781</v>
      </c>
      <c r="I804">
        <f t="shared" si="12"/>
        <v>4</v>
      </c>
      <c r="J804" t="s">
        <v>44</v>
      </c>
      <c r="K804" t="str" cm="1">
        <f t="array" ref="K804">_xlfn.SWITCH(TRIM(UPPER(J804)),
"BUSINESS", "Short Stay",
"CONFERENCE", "Medium Stay",
"VACATION", "Iong Stay",
"HOLIDAY", "Long Stay",
"V", "Leisure",
"UNKNOWN", "Unknown",
"Other")</f>
        <v>Other</v>
      </c>
    </row>
    <row r="805" spans="1:11" x14ac:dyDescent="0.3">
      <c r="A805" t="s">
        <v>2915</v>
      </c>
      <c r="B805" t="s">
        <v>631</v>
      </c>
      <c r="C805" t="s">
        <v>30</v>
      </c>
      <c r="D805" t="s">
        <v>1909</v>
      </c>
      <c r="E805" t="s">
        <v>149</v>
      </c>
      <c r="F805" t="s">
        <v>1427</v>
      </c>
      <c r="G805" t="s">
        <v>634</v>
      </c>
      <c r="H805" t="s">
        <v>739</v>
      </c>
      <c r="I805">
        <f t="shared" si="12"/>
        <v>3</v>
      </c>
      <c r="J805" t="s">
        <v>18</v>
      </c>
      <c r="K805" t="str" cm="1">
        <f t="array" ref="K805">_xlfn.SWITCH(TRIM(UPPER(J805)),
"BUSINESS", "Short Stay",
"CONFERENCE", "Medium Stay",
"VACATION", "Iong Stay",
"HOLIDAY", "Long Stay",
"V", "Leisure",
"UNKNOWN", "Unknown",
"Other")</f>
        <v>Short Stay</v>
      </c>
    </row>
    <row r="806" spans="1:11" x14ac:dyDescent="0.3">
      <c r="A806" t="s">
        <v>2916</v>
      </c>
      <c r="B806" t="s">
        <v>996</v>
      </c>
      <c r="C806" t="s">
        <v>174</v>
      </c>
      <c r="D806" t="s">
        <v>2575</v>
      </c>
      <c r="E806" t="s">
        <v>430</v>
      </c>
      <c r="F806" t="s">
        <v>2917</v>
      </c>
      <c r="G806" t="s">
        <v>998</v>
      </c>
      <c r="H806" t="s">
        <v>1505</v>
      </c>
      <c r="I806">
        <f t="shared" si="12"/>
        <v>3</v>
      </c>
      <c r="J806" t="s">
        <v>18</v>
      </c>
      <c r="K806" t="str" cm="1">
        <f t="array" ref="K806">_xlfn.SWITCH(TRIM(UPPER(J806)),
"BUSINESS", "Short Stay",
"CONFERENCE", "Medium Stay",
"VACATION", "Iong Stay",
"HOLIDAY", "Long Stay",
"V", "Leisure",
"UNKNOWN", "Unknown",
"Other")</f>
        <v>Short Stay</v>
      </c>
    </row>
    <row r="807" spans="1:11" x14ac:dyDescent="0.3">
      <c r="A807" t="s">
        <v>2918</v>
      </c>
      <c r="B807" t="s">
        <v>2083</v>
      </c>
      <c r="C807" t="s">
        <v>38</v>
      </c>
      <c r="D807" t="s">
        <v>2919</v>
      </c>
      <c r="E807" t="s">
        <v>176</v>
      </c>
      <c r="F807" t="s">
        <v>2920</v>
      </c>
      <c r="G807" t="s">
        <v>706</v>
      </c>
      <c r="H807" t="s">
        <v>700</v>
      </c>
      <c r="I807">
        <f t="shared" si="12"/>
        <v>1</v>
      </c>
      <c r="J807" t="s">
        <v>121</v>
      </c>
      <c r="K807" t="str" cm="1">
        <f t="array" ref="K807">_xlfn.SWITCH(TRIM(UPPER(J807)),
"BUSINESS", "Short Stay",
"CONFERENCE", "Medium Stay",
"VACATION", "Iong Stay",
"HOLIDAY", "Long Stay",
"V", "Leisure",
"UNKNOWN", "Unknown",
"Other")</f>
        <v>Iong Stay</v>
      </c>
    </row>
    <row r="808" spans="1:11" x14ac:dyDescent="0.3">
      <c r="A808" t="s">
        <v>2921</v>
      </c>
      <c r="B808" t="s">
        <v>1231</v>
      </c>
      <c r="C808" t="s">
        <v>75</v>
      </c>
      <c r="D808" t="s">
        <v>2922</v>
      </c>
      <c r="E808" t="s">
        <v>14</v>
      </c>
      <c r="F808" t="s">
        <v>2923</v>
      </c>
      <c r="G808" t="s">
        <v>1234</v>
      </c>
      <c r="H808" t="s">
        <v>170</v>
      </c>
      <c r="I808">
        <f t="shared" si="12"/>
        <v>5</v>
      </c>
      <c r="J808" t="s">
        <v>18</v>
      </c>
      <c r="K808" t="str" cm="1">
        <f t="array" ref="K808">_xlfn.SWITCH(TRIM(UPPER(J808)),
"BUSINESS", "Short Stay",
"CONFERENCE", "Medium Stay",
"VACATION", "Iong Stay",
"HOLIDAY", "Long Stay",
"V", "Leisure",
"UNKNOWN", "Unknown",
"Other")</f>
        <v>Short Stay</v>
      </c>
    </row>
    <row r="809" spans="1:11" x14ac:dyDescent="0.3">
      <c r="A809" t="s">
        <v>2924</v>
      </c>
      <c r="B809" t="s">
        <v>1373</v>
      </c>
      <c r="C809" t="s">
        <v>61</v>
      </c>
      <c r="D809" t="s">
        <v>2110</v>
      </c>
      <c r="E809" t="s">
        <v>546</v>
      </c>
      <c r="F809" t="s">
        <v>2925</v>
      </c>
      <c r="G809" t="s">
        <v>720</v>
      </c>
      <c r="H809" t="s">
        <v>838</v>
      </c>
      <c r="I809">
        <f t="shared" si="12"/>
        <v>1</v>
      </c>
      <c r="J809" t="s">
        <v>18</v>
      </c>
      <c r="K809" t="str" cm="1">
        <f t="array" ref="K809">_xlfn.SWITCH(TRIM(UPPER(J809)),
"BUSINESS", "Short Stay",
"CONFERENCE", "Medium Stay",
"VACATION", "Iong Stay",
"HOLIDAY", "Long Stay",
"V", "Leisure",
"UNKNOWN", "Unknown",
"Other")</f>
        <v>Short Stay</v>
      </c>
    </row>
    <row r="810" spans="1:11" x14ac:dyDescent="0.3">
      <c r="A810" t="s">
        <v>2926</v>
      </c>
      <c r="B810" t="s">
        <v>11</v>
      </c>
      <c r="C810" t="s">
        <v>21</v>
      </c>
      <c r="D810" t="s">
        <v>2292</v>
      </c>
      <c r="E810" t="s">
        <v>546</v>
      </c>
      <c r="F810" t="s">
        <v>2927</v>
      </c>
      <c r="G810" t="s">
        <v>16</v>
      </c>
      <c r="H810" t="s">
        <v>276</v>
      </c>
      <c r="I810">
        <f t="shared" si="12"/>
        <v>1</v>
      </c>
      <c r="J810" t="s">
        <v>18</v>
      </c>
      <c r="K810" t="str" cm="1">
        <f t="array" ref="K810">_xlfn.SWITCH(TRIM(UPPER(J810)),
"BUSINESS", "Short Stay",
"CONFERENCE", "Medium Stay",
"VACATION", "Iong Stay",
"HOLIDAY", "Long Stay",
"V", "Leisure",
"UNKNOWN", "Unknown",
"Other")</f>
        <v>Short Stay</v>
      </c>
    </row>
    <row r="811" spans="1:11" x14ac:dyDescent="0.3">
      <c r="A811" t="s">
        <v>2928</v>
      </c>
      <c r="B811" t="s">
        <v>2929</v>
      </c>
      <c r="C811" t="s">
        <v>12</v>
      </c>
      <c r="D811" t="s">
        <v>1592</v>
      </c>
      <c r="E811" t="s">
        <v>23</v>
      </c>
      <c r="F811" t="s">
        <v>2930</v>
      </c>
      <c r="G811" t="s">
        <v>245</v>
      </c>
      <c r="H811" t="s">
        <v>351</v>
      </c>
      <c r="I811">
        <f t="shared" si="12"/>
        <v>5</v>
      </c>
      <c r="J811" t="s">
        <v>18</v>
      </c>
      <c r="K811" t="str" cm="1">
        <f t="array" ref="K811">_xlfn.SWITCH(TRIM(UPPER(J811)),
"BUSINESS", "Short Stay",
"CONFERENCE", "Medium Stay",
"VACATION", "Iong Stay",
"HOLIDAY", "Long Stay",
"V", "Leisure",
"UNKNOWN", "Unknown",
"Other")</f>
        <v>Short Stay</v>
      </c>
    </row>
    <row r="812" spans="1:11" x14ac:dyDescent="0.3">
      <c r="A812" t="s">
        <v>2931</v>
      </c>
      <c r="B812" t="s">
        <v>1186</v>
      </c>
      <c r="C812" t="s">
        <v>61</v>
      </c>
      <c r="D812" t="s">
        <v>2932</v>
      </c>
      <c r="E812" t="s">
        <v>176</v>
      </c>
      <c r="F812" t="s">
        <v>2933</v>
      </c>
      <c r="G812" t="s">
        <v>931</v>
      </c>
      <c r="H812" t="s">
        <v>786</v>
      </c>
      <c r="I812">
        <f t="shared" si="12"/>
        <v>5</v>
      </c>
      <c r="J812" t="s">
        <v>27</v>
      </c>
      <c r="K812" t="str" cm="1">
        <f t="array" ref="K812">_xlfn.SWITCH(TRIM(UPPER(J812)),
"BUSINESS", "Short Stay",
"CONFERENCE", "Medium Stay",
"VACATION", "Iong Stay",
"HOLIDAY", "Long Stay",
"V", "Leisure",
"UNKNOWN", "Unknown",
"Other")</f>
        <v>Medium Stay</v>
      </c>
    </row>
    <row r="813" spans="1:11" x14ac:dyDescent="0.3">
      <c r="A813" t="s">
        <v>2934</v>
      </c>
      <c r="B813" t="s">
        <v>2935</v>
      </c>
      <c r="C813" t="s">
        <v>38</v>
      </c>
      <c r="D813" t="s">
        <v>2936</v>
      </c>
      <c r="E813" t="s">
        <v>40</v>
      </c>
      <c r="F813" t="s">
        <v>2937</v>
      </c>
      <c r="G813" t="s">
        <v>2840</v>
      </c>
      <c r="H813" t="s">
        <v>2398</v>
      </c>
      <c r="I813">
        <f t="shared" si="12"/>
        <v>5</v>
      </c>
      <c r="J813" t="s">
        <v>27</v>
      </c>
      <c r="K813" t="str" cm="1">
        <f t="array" ref="K813">_xlfn.SWITCH(TRIM(UPPER(J813)),
"BUSINESS", "Short Stay",
"CONFERENCE", "Medium Stay",
"VACATION", "Iong Stay",
"HOLIDAY", "Long Stay",
"V", "Leisure",
"UNKNOWN", "Unknown",
"Other")</f>
        <v>Medium Stay</v>
      </c>
    </row>
    <row r="814" spans="1:11" x14ac:dyDescent="0.3">
      <c r="A814" t="s">
        <v>2938</v>
      </c>
      <c r="B814" t="s">
        <v>2115</v>
      </c>
      <c r="C814" t="s">
        <v>38</v>
      </c>
      <c r="D814" t="s">
        <v>2126</v>
      </c>
      <c r="E814" t="s">
        <v>430</v>
      </c>
      <c r="F814" t="s">
        <v>2939</v>
      </c>
      <c r="G814" t="s">
        <v>159</v>
      </c>
      <c r="H814" t="s">
        <v>1555</v>
      </c>
      <c r="I814">
        <f t="shared" si="12"/>
        <v>1</v>
      </c>
      <c r="J814" t="s">
        <v>18</v>
      </c>
      <c r="K814" t="str" cm="1">
        <f t="array" ref="K814">_xlfn.SWITCH(TRIM(UPPER(J814)),
"BUSINESS", "Short Stay",
"CONFERENCE", "Medium Stay",
"VACATION", "Iong Stay",
"HOLIDAY", "Long Stay",
"V", "Leisure",
"UNKNOWN", "Unknown",
"Other")</f>
        <v>Short Stay</v>
      </c>
    </row>
    <row r="815" spans="1:11" x14ac:dyDescent="0.3">
      <c r="A815" t="s">
        <v>2940</v>
      </c>
      <c r="B815" t="s">
        <v>623</v>
      </c>
      <c r="C815" t="s">
        <v>21</v>
      </c>
      <c r="D815" t="s">
        <v>1098</v>
      </c>
      <c r="E815" t="s">
        <v>214</v>
      </c>
      <c r="F815" t="s">
        <v>2941</v>
      </c>
      <c r="G815" t="s">
        <v>625</v>
      </c>
      <c r="H815" t="s">
        <v>885</v>
      </c>
      <c r="I815">
        <f t="shared" si="12"/>
        <v>4</v>
      </c>
      <c r="J815" t="s">
        <v>44</v>
      </c>
      <c r="K815" t="str" cm="1">
        <f t="array" ref="K815">_xlfn.SWITCH(TRIM(UPPER(J815)),
"BUSINESS", "Short Stay",
"CONFERENCE", "Medium Stay",
"VACATION", "Iong Stay",
"HOLIDAY", "Long Stay",
"V", "Leisure",
"UNKNOWN", "Unknown",
"Other")</f>
        <v>Other</v>
      </c>
    </row>
    <row r="816" spans="1:11" x14ac:dyDescent="0.3">
      <c r="A816" t="s">
        <v>2942</v>
      </c>
      <c r="B816" t="s">
        <v>1701</v>
      </c>
      <c r="C816" t="s">
        <v>12</v>
      </c>
      <c r="D816" t="s">
        <v>2386</v>
      </c>
      <c r="E816" t="s">
        <v>77</v>
      </c>
      <c r="F816" t="s">
        <v>2943</v>
      </c>
      <c r="G816" t="s">
        <v>1395</v>
      </c>
      <c r="H816" t="s">
        <v>686</v>
      </c>
      <c r="I816">
        <f t="shared" si="12"/>
        <v>4</v>
      </c>
      <c r="J816" t="s">
        <v>121</v>
      </c>
      <c r="K816" t="str" cm="1">
        <f t="array" ref="K816">_xlfn.SWITCH(TRIM(UPPER(J816)),
"BUSINESS", "Short Stay",
"CONFERENCE", "Medium Stay",
"VACATION", "Iong Stay",
"HOLIDAY", "Long Stay",
"V", "Leisure",
"UNKNOWN", "Unknown",
"Other")</f>
        <v>Iong Stay</v>
      </c>
    </row>
    <row r="817" spans="1:11" x14ac:dyDescent="0.3">
      <c r="A817" t="s">
        <v>2944</v>
      </c>
      <c r="B817" t="s">
        <v>218</v>
      </c>
      <c r="C817" t="s">
        <v>12</v>
      </c>
      <c r="D817" t="s">
        <v>2945</v>
      </c>
      <c r="E817" t="s">
        <v>14</v>
      </c>
      <c r="F817" t="s">
        <v>2946</v>
      </c>
      <c r="G817" t="s">
        <v>221</v>
      </c>
      <c r="H817" t="s">
        <v>919</v>
      </c>
      <c r="I817">
        <f t="shared" si="12"/>
        <v>4</v>
      </c>
      <c r="J817" t="s">
        <v>44</v>
      </c>
      <c r="K817" t="str" cm="1">
        <f t="array" ref="K817">_xlfn.SWITCH(TRIM(UPPER(J817)),
"BUSINESS", "Short Stay",
"CONFERENCE", "Medium Stay",
"VACATION", "Iong Stay",
"HOLIDAY", "Long Stay",
"V", "Leisure",
"UNKNOWN", "Unknown",
"Other")</f>
        <v>Other</v>
      </c>
    </row>
    <row r="818" spans="1:11" x14ac:dyDescent="0.3">
      <c r="A818" t="s">
        <v>2947</v>
      </c>
      <c r="B818" t="s">
        <v>212</v>
      </c>
      <c r="C818" t="s">
        <v>174</v>
      </c>
      <c r="D818" t="s">
        <v>1350</v>
      </c>
      <c r="E818" t="s">
        <v>85</v>
      </c>
      <c r="F818" t="s">
        <v>2948</v>
      </c>
      <c r="G818" t="s">
        <v>165</v>
      </c>
      <c r="H818" t="s">
        <v>409</v>
      </c>
      <c r="I818">
        <f t="shared" si="12"/>
        <v>2</v>
      </c>
      <c r="J818" t="s">
        <v>18</v>
      </c>
      <c r="K818" t="str" cm="1">
        <f t="array" ref="K818">_xlfn.SWITCH(TRIM(UPPER(J818)),
"BUSINESS", "Short Stay",
"CONFERENCE", "Medium Stay",
"VACATION", "Iong Stay",
"HOLIDAY", "Long Stay",
"V", "Leisure",
"UNKNOWN", "Unknown",
"Other")</f>
        <v>Short Stay</v>
      </c>
    </row>
    <row r="819" spans="1:11" x14ac:dyDescent="0.3">
      <c r="A819" t="s">
        <v>2949</v>
      </c>
      <c r="B819" t="s">
        <v>1473</v>
      </c>
      <c r="C819" t="s">
        <v>61</v>
      </c>
      <c r="D819" t="s">
        <v>2950</v>
      </c>
      <c r="E819" t="s">
        <v>48</v>
      </c>
      <c r="F819" t="s">
        <v>2951</v>
      </c>
      <c r="G819" t="s">
        <v>191</v>
      </c>
      <c r="H819" t="s">
        <v>1905</v>
      </c>
      <c r="I819">
        <f t="shared" si="12"/>
        <v>2</v>
      </c>
      <c r="J819" t="s">
        <v>27</v>
      </c>
      <c r="K819" t="str" cm="1">
        <f t="array" ref="K819">_xlfn.SWITCH(TRIM(UPPER(J819)),
"BUSINESS", "Short Stay",
"CONFERENCE", "Medium Stay",
"VACATION", "Iong Stay",
"HOLIDAY", "Long Stay",
"V", "Leisure",
"UNKNOWN", "Unknown",
"Other")</f>
        <v>Medium Stay</v>
      </c>
    </row>
    <row r="820" spans="1:11" x14ac:dyDescent="0.3">
      <c r="A820" t="s">
        <v>2952</v>
      </c>
      <c r="B820" t="s">
        <v>1678</v>
      </c>
      <c r="C820" t="s">
        <v>75</v>
      </c>
      <c r="D820" t="s">
        <v>2953</v>
      </c>
      <c r="E820" t="s">
        <v>149</v>
      </c>
      <c r="F820" t="s">
        <v>2954</v>
      </c>
      <c r="G820" t="s">
        <v>1681</v>
      </c>
      <c r="H820" t="s">
        <v>409</v>
      </c>
      <c r="I820">
        <f t="shared" si="12"/>
        <v>5</v>
      </c>
      <c r="J820" t="s">
        <v>27</v>
      </c>
      <c r="K820" t="str" cm="1">
        <f t="array" ref="K820">_xlfn.SWITCH(TRIM(UPPER(J820)),
"BUSINESS", "Short Stay",
"CONFERENCE", "Medium Stay",
"VACATION", "Iong Stay",
"HOLIDAY", "Long Stay",
"V", "Leisure",
"UNKNOWN", "Unknown",
"Other")</f>
        <v>Medium Stay</v>
      </c>
    </row>
    <row r="821" spans="1:11" x14ac:dyDescent="0.3">
      <c r="A821" t="s">
        <v>2955</v>
      </c>
      <c r="B821" t="s">
        <v>1675</v>
      </c>
      <c r="C821" t="s">
        <v>21</v>
      </c>
      <c r="D821" t="s">
        <v>1742</v>
      </c>
      <c r="E821" t="s">
        <v>40</v>
      </c>
      <c r="F821" t="s">
        <v>2956</v>
      </c>
      <c r="G821" t="s">
        <v>919</v>
      </c>
      <c r="H821" t="s">
        <v>1105</v>
      </c>
      <c r="I821">
        <f t="shared" si="12"/>
        <v>2</v>
      </c>
      <c r="J821" t="s">
        <v>27</v>
      </c>
      <c r="K821" t="str" cm="1">
        <f t="array" ref="K821">_xlfn.SWITCH(TRIM(UPPER(J821)),
"BUSINESS", "Short Stay",
"CONFERENCE", "Medium Stay",
"VACATION", "Iong Stay",
"HOLIDAY", "Long Stay",
"V", "Leisure",
"UNKNOWN", "Unknown",
"Other")</f>
        <v>Medium Stay</v>
      </c>
    </row>
    <row r="822" spans="1:11" x14ac:dyDescent="0.3">
      <c r="A822" t="s">
        <v>2957</v>
      </c>
      <c r="B822" t="s">
        <v>257</v>
      </c>
      <c r="C822" t="s">
        <v>174</v>
      </c>
      <c r="D822" t="s">
        <v>551</v>
      </c>
      <c r="E822" t="s">
        <v>214</v>
      </c>
      <c r="F822" t="s">
        <v>2958</v>
      </c>
      <c r="G822" t="s">
        <v>260</v>
      </c>
      <c r="H822" t="s">
        <v>559</v>
      </c>
      <c r="I822">
        <f t="shared" si="12"/>
        <v>4</v>
      </c>
      <c r="J822" t="s">
        <v>121</v>
      </c>
      <c r="K822" t="str" cm="1">
        <f t="array" ref="K822">_xlfn.SWITCH(TRIM(UPPER(J822)),
"BUSINESS", "Short Stay",
"CONFERENCE", "Medium Stay",
"VACATION", "Iong Stay",
"HOLIDAY", "Long Stay",
"V", "Leisure",
"UNKNOWN", "Unknown",
"Other")</f>
        <v>Iong Stay</v>
      </c>
    </row>
    <row r="823" spans="1:11" x14ac:dyDescent="0.3">
      <c r="A823" t="s">
        <v>2959</v>
      </c>
      <c r="B823" t="s">
        <v>2457</v>
      </c>
      <c r="C823" t="s">
        <v>61</v>
      </c>
      <c r="D823" t="s">
        <v>2960</v>
      </c>
      <c r="E823" t="s">
        <v>40</v>
      </c>
      <c r="F823" t="s">
        <v>2961</v>
      </c>
      <c r="G823" t="s">
        <v>460</v>
      </c>
      <c r="H823" t="s">
        <v>1195</v>
      </c>
      <c r="I823">
        <f t="shared" si="12"/>
        <v>1</v>
      </c>
      <c r="J823" t="s">
        <v>121</v>
      </c>
      <c r="K823" t="str" cm="1">
        <f t="array" ref="K823">_xlfn.SWITCH(TRIM(UPPER(J823)),
"BUSINESS", "Short Stay",
"CONFERENCE", "Medium Stay",
"VACATION", "Iong Stay",
"HOLIDAY", "Long Stay",
"V", "Leisure",
"UNKNOWN", "Unknown",
"Other")</f>
        <v>Iong Stay</v>
      </c>
    </row>
    <row r="824" spans="1:11" x14ac:dyDescent="0.3">
      <c r="A824" t="s">
        <v>2962</v>
      </c>
      <c r="B824" t="s">
        <v>1239</v>
      </c>
      <c r="C824" t="s">
        <v>75</v>
      </c>
      <c r="D824" t="s">
        <v>2963</v>
      </c>
      <c r="E824" t="s">
        <v>201</v>
      </c>
      <c r="F824" t="s">
        <v>2964</v>
      </c>
      <c r="G824" t="s">
        <v>1242</v>
      </c>
      <c r="H824" t="s">
        <v>2767</v>
      </c>
      <c r="I824">
        <f t="shared" si="12"/>
        <v>5</v>
      </c>
      <c r="J824" t="s">
        <v>27</v>
      </c>
      <c r="K824" t="str" cm="1">
        <f t="array" ref="K824">_xlfn.SWITCH(TRIM(UPPER(J824)),
"BUSINESS", "Short Stay",
"CONFERENCE", "Medium Stay",
"VACATION", "Iong Stay",
"HOLIDAY", "Long Stay",
"V", "Leisure",
"UNKNOWN", "Unknown",
"Other")</f>
        <v>Medium Stay</v>
      </c>
    </row>
    <row r="825" spans="1:11" x14ac:dyDescent="0.3">
      <c r="A825" t="s">
        <v>2965</v>
      </c>
      <c r="B825" t="s">
        <v>389</v>
      </c>
      <c r="C825" t="s">
        <v>61</v>
      </c>
      <c r="D825" t="s">
        <v>2966</v>
      </c>
      <c r="E825" t="s">
        <v>117</v>
      </c>
      <c r="F825" t="s">
        <v>2967</v>
      </c>
      <c r="G825" t="s">
        <v>392</v>
      </c>
      <c r="H825" t="s">
        <v>113</v>
      </c>
      <c r="I825">
        <f t="shared" si="12"/>
        <v>2</v>
      </c>
      <c r="J825" t="s">
        <v>18</v>
      </c>
      <c r="K825" t="str" cm="1">
        <f t="array" ref="K825">_xlfn.SWITCH(TRIM(UPPER(J825)),
"BUSINESS", "Short Stay",
"CONFERENCE", "Medium Stay",
"VACATION", "Iong Stay",
"HOLIDAY", "Long Stay",
"V", "Leisure",
"UNKNOWN", "Unknown",
"Other")</f>
        <v>Short Stay</v>
      </c>
    </row>
    <row r="826" spans="1:11" x14ac:dyDescent="0.3">
      <c r="A826" t="s">
        <v>2968</v>
      </c>
      <c r="B826" t="s">
        <v>1656</v>
      </c>
      <c r="C826" t="s">
        <v>174</v>
      </c>
      <c r="D826" t="s">
        <v>1524</v>
      </c>
      <c r="E826" t="s">
        <v>214</v>
      </c>
      <c r="F826" t="s">
        <v>2969</v>
      </c>
      <c r="G826" t="s">
        <v>1659</v>
      </c>
      <c r="H826" t="s">
        <v>764</v>
      </c>
      <c r="I826">
        <f t="shared" si="12"/>
        <v>1</v>
      </c>
      <c r="J826" t="s">
        <v>44</v>
      </c>
      <c r="K826" t="str" cm="1">
        <f t="array" ref="K826">_xlfn.SWITCH(TRIM(UPPER(J826)),
"BUSINESS", "Short Stay",
"CONFERENCE", "Medium Stay",
"VACATION", "Iong Stay",
"HOLIDAY", "Long Stay",
"V", "Leisure",
"UNKNOWN", "Unknown",
"Other")</f>
        <v>Other</v>
      </c>
    </row>
    <row r="827" spans="1:11" x14ac:dyDescent="0.3">
      <c r="A827" t="s">
        <v>2970</v>
      </c>
      <c r="B827" t="s">
        <v>2190</v>
      </c>
      <c r="C827" t="s">
        <v>61</v>
      </c>
      <c r="D827" t="s">
        <v>2971</v>
      </c>
      <c r="E827" t="s">
        <v>149</v>
      </c>
      <c r="F827" t="s">
        <v>2899</v>
      </c>
      <c r="G827" t="s">
        <v>1471</v>
      </c>
      <c r="H827" t="s">
        <v>725</v>
      </c>
      <c r="I827">
        <f t="shared" si="12"/>
        <v>5</v>
      </c>
      <c r="J827" t="s">
        <v>44</v>
      </c>
      <c r="K827" t="str" cm="1">
        <f t="array" ref="K827">_xlfn.SWITCH(TRIM(UPPER(J827)),
"BUSINESS", "Short Stay",
"CONFERENCE", "Medium Stay",
"VACATION", "Iong Stay",
"HOLIDAY", "Long Stay",
"V", "Leisure",
"UNKNOWN", "Unknown",
"Other")</f>
        <v>Other</v>
      </c>
    </row>
    <row r="828" spans="1:11" x14ac:dyDescent="0.3">
      <c r="A828" t="s">
        <v>2972</v>
      </c>
      <c r="B828" t="s">
        <v>831</v>
      </c>
      <c r="C828" t="s">
        <v>83</v>
      </c>
      <c r="D828" t="s">
        <v>2973</v>
      </c>
      <c r="E828" t="s">
        <v>117</v>
      </c>
      <c r="F828" t="s">
        <v>2974</v>
      </c>
      <c r="G828" t="s">
        <v>369</v>
      </c>
      <c r="H828" t="s">
        <v>94</v>
      </c>
      <c r="I828">
        <f t="shared" si="12"/>
        <v>3</v>
      </c>
      <c r="J828" t="s">
        <v>44</v>
      </c>
      <c r="K828" t="str" cm="1">
        <f t="array" ref="K828">_xlfn.SWITCH(TRIM(UPPER(J828)),
"BUSINESS", "Short Stay",
"CONFERENCE", "Medium Stay",
"VACATION", "Iong Stay",
"HOLIDAY", "Long Stay",
"V", "Leisure",
"UNKNOWN", "Unknown",
"Other")</f>
        <v>Other</v>
      </c>
    </row>
    <row r="829" spans="1:11" x14ac:dyDescent="0.3">
      <c r="A829" t="s">
        <v>2975</v>
      </c>
      <c r="B829" t="s">
        <v>129</v>
      </c>
      <c r="C829" t="s">
        <v>21</v>
      </c>
      <c r="D829" t="s">
        <v>819</v>
      </c>
      <c r="E829" t="s">
        <v>546</v>
      </c>
      <c r="F829" t="s">
        <v>2976</v>
      </c>
      <c r="G829" t="s">
        <v>132</v>
      </c>
      <c r="H829" t="s">
        <v>700</v>
      </c>
      <c r="I829">
        <f t="shared" si="12"/>
        <v>2</v>
      </c>
      <c r="J829" t="s">
        <v>18</v>
      </c>
      <c r="K829" t="str" cm="1">
        <f t="array" ref="K829">_xlfn.SWITCH(TRIM(UPPER(J829)),
"BUSINESS", "Short Stay",
"CONFERENCE", "Medium Stay",
"VACATION", "Iong Stay",
"HOLIDAY", "Long Stay",
"V", "Leisure",
"UNKNOWN", "Unknown",
"Other")</f>
        <v>Short Stay</v>
      </c>
    </row>
    <row r="830" spans="1:11" x14ac:dyDescent="0.3">
      <c r="A830" t="s">
        <v>2977</v>
      </c>
      <c r="B830" t="s">
        <v>722</v>
      </c>
      <c r="C830" t="s">
        <v>75</v>
      </c>
      <c r="D830" t="s">
        <v>1954</v>
      </c>
      <c r="E830" t="s">
        <v>201</v>
      </c>
      <c r="F830" t="s">
        <v>2978</v>
      </c>
      <c r="G830" t="s">
        <v>725</v>
      </c>
      <c r="H830" t="s">
        <v>726</v>
      </c>
      <c r="I830">
        <f t="shared" si="12"/>
        <v>2</v>
      </c>
      <c r="J830" t="s">
        <v>27</v>
      </c>
      <c r="K830" t="str" cm="1">
        <f t="array" ref="K830">_xlfn.SWITCH(TRIM(UPPER(J830)),
"BUSINESS", "Short Stay",
"CONFERENCE", "Medium Stay",
"VACATION", "Iong Stay",
"HOLIDAY", "Long Stay",
"V", "Leisure",
"UNKNOWN", "Unknown",
"Other")</f>
        <v>Medium Stay</v>
      </c>
    </row>
    <row r="831" spans="1:11" x14ac:dyDescent="0.3">
      <c r="A831" t="s">
        <v>2979</v>
      </c>
      <c r="B831" t="s">
        <v>247</v>
      </c>
      <c r="C831" t="s">
        <v>54</v>
      </c>
      <c r="D831" t="s">
        <v>2248</v>
      </c>
      <c r="E831" t="s">
        <v>117</v>
      </c>
      <c r="F831" t="s">
        <v>2980</v>
      </c>
      <c r="G831" t="s">
        <v>250</v>
      </c>
      <c r="H831" t="s">
        <v>583</v>
      </c>
      <c r="I831">
        <f t="shared" si="12"/>
        <v>2</v>
      </c>
      <c r="J831" t="s">
        <v>27</v>
      </c>
      <c r="K831" t="str" cm="1">
        <f t="array" ref="K831">_xlfn.SWITCH(TRIM(UPPER(J831)),
"BUSINESS", "Short Stay",
"CONFERENCE", "Medium Stay",
"VACATION", "Iong Stay",
"HOLIDAY", "Long Stay",
"V", "Leisure",
"UNKNOWN", "Unknown",
"Other")</f>
        <v>Medium Stay</v>
      </c>
    </row>
    <row r="832" spans="1:11" x14ac:dyDescent="0.3">
      <c r="A832" t="s">
        <v>2981</v>
      </c>
      <c r="B832" t="s">
        <v>262</v>
      </c>
      <c r="C832" t="s">
        <v>83</v>
      </c>
      <c r="D832" t="s">
        <v>2982</v>
      </c>
      <c r="E832" t="s">
        <v>430</v>
      </c>
      <c r="F832" t="s">
        <v>2983</v>
      </c>
      <c r="G832" t="s">
        <v>265</v>
      </c>
      <c r="H832" t="s">
        <v>51</v>
      </c>
      <c r="I832">
        <f t="shared" si="12"/>
        <v>5</v>
      </c>
      <c r="J832" t="s">
        <v>121</v>
      </c>
      <c r="K832" t="str" cm="1">
        <f t="array" ref="K832">_xlfn.SWITCH(TRIM(UPPER(J832)),
"BUSINESS", "Short Stay",
"CONFERENCE", "Medium Stay",
"VACATION", "Iong Stay",
"HOLIDAY", "Long Stay",
"V", "Leisure",
"UNKNOWN", "Unknown",
"Other")</f>
        <v>Iong Stay</v>
      </c>
    </row>
    <row r="833" spans="1:11" x14ac:dyDescent="0.3">
      <c r="A833" t="s">
        <v>2984</v>
      </c>
      <c r="B833" t="s">
        <v>2875</v>
      </c>
      <c r="C833" t="s">
        <v>30</v>
      </c>
      <c r="D833" t="s">
        <v>2985</v>
      </c>
      <c r="E833" t="s">
        <v>476</v>
      </c>
      <c r="F833" t="s">
        <v>2986</v>
      </c>
      <c r="G833" t="s">
        <v>731</v>
      </c>
      <c r="H833" t="s">
        <v>1986</v>
      </c>
      <c r="I833">
        <f t="shared" si="12"/>
        <v>3</v>
      </c>
      <c r="J833" t="s">
        <v>44</v>
      </c>
      <c r="K833" t="str" cm="1">
        <f t="array" ref="K833">_xlfn.SWITCH(TRIM(UPPER(J833)),
"BUSINESS", "Short Stay",
"CONFERENCE", "Medium Stay",
"VACATION", "Iong Stay",
"HOLIDAY", "Long Stay",
"V", "Leisure",
"UNKNOWN", "Unknown",
"Other")</f>
        <v>Other</v>
      </c>
    </row>
    <row r="834" spans="1:11" x14ac:dyDescent="0.3">
      <c r="A834" t="s">
        <v>2987</v>
      </c>
      <c r="B834" t="s">
        <v>761</v>
      </c>
      <c r="C834" t="s">
        <v>12</v>
      </c>
      <c r="D834" t="s">
        <v>2988</v>
      </c>
      <c r="E834" t="s">
        <v>201</v>
      </c>
      <c r="F834" t="s">
        <v>2989</v>
      </c>
      <c r="G834" t="s">
        <v>399</v>
      </c>
      <c r="H834" t="s">
        <v>604</v>
      </c>
      <c r="I834">
        <f t="shared" si="12"/>
        <v>1</v>
      </c>
      <c r="J834" t="s">
        <v>27</v>
      </c>
      <c r="K834" t="str" cm="1">
        <f t="array" ref="K834">_xlfn.SWITCH(TRIM(UPPER(J834)),
"BUSINESS", "Short Stay",
"CONFERENCE", "Medium Stay",
"VACATION", "Iong Stay",
"HOLIDAY", "Long Stay",
"V", "Leisure",
"UNKNOWN", "Unknown",
"Other")</f>
        <v>Medium Stay</v>
      </c>
    </row>
    <row r="835" spans="1:11" x14ac:dyDescent="0.3">
      <c r="A835" t="s">
        <v>2990</v>
      </c>
      <c r="B835" t="s">
        <v>648</v>
      </c>
      <c r="C835" t="s">
        <v>83</v>
      </c>
      <c r="D835" t="s">
        <v>2991</v>
      </c>
      <c r="E835" t="s">
        <v>314</v>
      </c>
      <c r="F835" t="s">
        <v>2992</v>
      </c>
      <c r="G835" t="s">
        <v>572</v>
      </c>
      <c r="H835" t="s">
        <v>139</v>
      </c>
      <c r="I835">
        <f t="shared" ref="I835:I898" si="13">H835-G835</f>
        <v>2</v>
      </c>
      <c r="J835" t="s">
        <v>121</v>
      </c>
      <c r="K835" t="str" cm="1">
        <f t="array" ref="K835">_xlfn.SWITCH(TRIM(UPPER(J835)),
"BUSINESS", "Short Stay",
"CONFERENCE", "Medium Stay",
"VACATION", "Iong Stay",
"HOLIDAY", "Long Stay",
"V", "Leisure",
"UNKNOWN", "Unknown",
"Other")</f>
        <v>Iong Stay</v>
      </c>
    </row>
    <row r="836" spans="1:11" x14ac:dyDescent="0.3">
      <c r="A836" t="s">
        <v>2993</v>
      </c>
      <c r="B836" t="s">
        <v>2287</v>
      </c>
      <c r="C836" t="s">
        <v>75</v>
      </c>
      <c r="D836" t="s">
        <v>2184</v>
      </c>
      <c r="E836" t="s">
        <v>201</v>
      </c>
      <c r="F836" t="s">
        <v>2994</v>
      </c>
      <c r="G836" t="s">
        <v>2290</v>
      </c>
      <c r="H836" t="s">
        <v>398</v>
      </c>
      <c r="I836">
        <f t="shared" si="13"/>
        <v>4</v>
      </c>
      <c r="J836" t="s">
        <v>44</v>
      </c>
      <c r="K836" t="str" cm="1">
        <f t="array" ref="K836">_xlfn.SWITCH(TRIM(UPPER(J836)),
"BUSINESS", "Short Stay",
"CONFERENCE", "Medium Stay",
"VACATION", "Iong Stay",
"HOLIDAY", "Long Stay",
"V", "Leisure",
"UNKNOWN", "Unknown",
"Other")</f>
        <v>Other</v>
      </c>
    </row>
    <row r="837" spans="1:11" x14ac:dyDescent="0.3">
      <c r="A837" t="s">
        <v>2995</v>
      </c>
      <c r="B837" t="s">
        <v>1601</v>
      </c>
      <c r="C837" t="s">
        <v>38</v>
      </c>
      <c r="D837" t="s">
        <v>1435</v>
      </c>
      <c r="E837" t="s">
        <v>546</v>
      </c>
      <c r="F837" t="s">
        <v>2996</v>
      </c>
      <c r="G837" t="s">
        <v>1604</v>
      </c>
      <c r="H837" t="s">
        <v>1030</v>
      </c>
      <c r="I837">
        <f t="shared" si="13"/>
        <v>1</v>
      </c>
      <c r="J837" t="s">
        <v>27</v>
      </c>
      <c r="K837" t="str" cm="1">
        <f t="array" ref="K837">_xlfn.SWITCH(TRIM(UPPER(J837)),
"BUSINESS", "Short Stay",
"CONFERENCE", "Medium Stay",
"VACATION", "Iong Stay",
"HOLIDAY", "Long Stay",
"V", "Leisure",
"UNKNOWN", "Unknown",
"Other")</f>
        <v>Medium Stay</v>
      </c>
    </row>
    <row r="838" spans="1:11" x14ac:dyDescent="0.3">
      <c r="A838" t="s">
        <v>2997</v>
      </c>
      <c r="B838" t="s">
        <v>2635</v>
      </c>
      <c r="C838" t="s">
        <v>54</v>
      </c>
      <c r="D838" t="s">
        <v>2998</v>
      </c>
      <c r="E838" t="s">
        <v>314</v>
      </c>
      <c r="F838" t="s">
        <v>2999</v>
      </c>
      <c r="G838" t="s">
        <v>2628</v>
      </c>
      <c r="H838" t="s">
        <v>120</v>
      </c>
      <c r="I838">
        <f t="shared" si="13"/>
        <v>5</v>
      </c>
      <c r="J838" t="s">
        <v>27</v>
      </c>
      <c r="K838" t="str" cm="1">
        <f t="array" ref="K838">_xlfn.SWITCH(TRIM(UPPER(J838)),
"BUSINESS", "Short Stay",
"CONFERENCE", "Medium Stay",
"VACATION", "Iong Stay",
"HOLIDAY", "Long Stay",
"V", "Leisure",
"UNKNOWN", "Unknown",
"Other")</f>
        <v>Medium Stay</v>
      </c>
    </row>
    <row r="839" spans="1:11" x14ac:dyDescent="0.3">
      <c r="A839" t="s">
        <v>3000</v>
      </c>
      <c r="B839" t="s">
        <v>3001</v>
      </c>
      <c r="C839" t="s">
        <v>83</v>
      </c>
      <c r="D839" t="s">
        <v>419</v>
      </c>
      <c r="E839" t="s">
        <v>176</v>
      </c>
      <c r="F839" t="s">
        <v>3002</v>
      </c>
      <c r="G839" t="s">
        <v>518</v>
      </c>
      <c r="H839" t="s">
        <v>1117</v>
      </c>
      <c r="I839">
        <f t="shared" si="13"/>
        <v>4</v>
      </c>
      <c r="J839" t="s">
        <v>44</v>
      </c>
      <c r="K839" t="str" cm="1">
        <f t="array" ref="K839">_xlfn.SWITCH(TRIM(UPPER(J839)),
"BUSINESS", "Short Stay",
"CONFERENCE", "Medium Stay",
"VACATION", "Iong Stay",
"HOLIDAY", "Long Stay",
"V", "Leisure",
"UNKNOWN", "Unknown",
"Other")</f>
        <v>Other</v>
      </c>
    </row>
    <row r="840" spans="1:11" x14ac:dyDescent="0.3">
      <c r="A840" t="s">
        <v>3003</v>
      </c>
      <c r="B840" t="s">
        <v>1482</v>
      </c>
      <c r="C840" t="s">
        <v>38</v>
      </c>
      <c r="D840" t="s">
        <v>2971</v>
      </c>
      <c r="E840" t="s">
        <v>63</v>
      </c>
      <c r="F840" t="s">
        <v>3004</v>
      </c>
      <c r="G840" t="s">
        <v>1485</v>
      </c>
      <c r="H840" t="s">
        <v>908</v>
      </c>
      <c r="I840">
        <f t="shared" si="13"/>
        <v>5</v>
      </c>
      <c r="J840" t="s">
        <v>121</v>
      </c>
      <c r="K840" t="str" cm="1">
        <f t="array" ref="K840">_xlfn.SWITCH(TRIM(UPPER(J840)),
"BUSINESS", "Short Stay",
"CONFERENCE", "Medium Stay",
"VACATION", "Iong Stay",
"HOLIDAY", "Long Stay",
"V", "Leisure",
"UNKNOWN", "Unknown",
"Other")</f>
        <v>Iong Stay</v>
      </c>
    </row>
    <row r="841" spans="1:11" x14ac:dyDescent="0.3">
      <c r="A841" t="s">
        <v>3005</v>
      </c>
      <c r="B841" t="s">
        <v>324</v>
      </c>
      <c r="C841" t="s">
        <v>54</v>
      </c>
      <c r="D841" t="s">
        <v>3006</v>
      </c>
      <c r="E841" t="s">
        <v>546</v>
      </c>
      <c r="F841" t="s">
        <v>3007</v>
      </c>
      <c r="G841" t="s">
        <v>327</v>
      </c>
      <c r="H841" t="s">
        <v>328</v>
      </c>
      <c r="I841">
        <f t="shared" si="13"/>
        <v>5</v>
      </c>
      <c r="J841" t="s">
        <v>121</v>
      </c>
      <c r="K841" t="str" cm="1">
        <f t="array" ref="K841">_xlfn.SWITCH(TRIM(UPPER(J841)),
"BUSINESS", "Short Stay",
"CONFERENCE", "Medium Stay",
"VACATION", "Iong Stay",
"HOLIDAY", "Long Stay",
"V", "Leisure",
"UNKNOWN", "Unknown",
"Other")</f>
        <v>Iong Stay</v>
      </c>
    </row>
    <row r="842" spans="1:11" x14ac:dyDescent="0.3">
      <c r="A842" t="s">
        <v>3008</v>
      </c>
      <c r="B842" t="s">
        <v>3009</v>
      </c>
      <c r="C842" t="s">
        <v>38</v>
      </c>
      <c r="D842" t="s">
        <v>2380</v>
      </c>
      <c r="E842" t="s">
        <v>476</v>
      </c>
      <c r="F842" t="s">
        <v>3010</v>
      </c>
      <c r="G842" t="s">
        <v>839</v>
      </c>
      <c r="H842" t="s">
        <v>877</v>
      </c>
      <c r="I842">
        <f t="shared" si="13"/>
        <v>3</v>
      </c>
      <c r="J842" t="s">
        <v>27</v>
      </c>
      <c r="K842" t="str" cm="1">
        <f t="array" ref="K842">_xlfn.SWITCH(TRIM(UPPER(J842)),
"BUSINESS", "Short Stay",
"CONFERENCE", "Medium Stay",
"VACATION", "Iong Stay",
"HOLIDAY", "Long Stay",
"V", "Leisure",
"UNKNOWN", "Unknown",
"Other")</f>
        <v>Medium Stay</v>
      </c>
    </row>
    <row r="843" spans="1:11" x14ac:dyDescent="0.3">
      <c r="A843" t="s">
        <v>3011</v>
      </c>
      <c r="B843" t="s">
        <v>1701</v>
      </c>
      <c r="C843" t="s">
        <v>12</v>
      </c>
      <c r="D843" t="s">
        <v>3012</v>
      </c>
      <c r="E843" t="s">
        <v>201</v>
      </c>
      <c r="F843" t="s">
        <v>3013</v>
      </c>
      <c r="G843" t="s">
        <v>1395</v>
      </c>
      <c r="H843" t="s">
        <v>1226</v>
      </c>
      <c r="I843">
        <f t="shared" si="13"/>
        <v>1</v>
      </c>
      <c r="J843" t="s">
        <v>18</v>
      </c>
      <c r="K843" t="str" cm="1">
        <f t="array" ref="K843">_xlfn.SWITCH(TRIM(UPPER(J843)),
"BUSINESS", "Short Stay",
"CONFERENCE", "Medium Stay",
"VACATION", "Iong Stay",
"HOLIDAY", "Long Stay",
"V", "Leisure",
"UNKNOWN", "Unknown",
"Other")</f>
        <v>Short Stay</v>
      </c>
    </row>
    <row r="844" spans="1:11" x14ac:dyDescent="0.3">
      <c r="A844" t="s">
        <v>3014</v>
      </c>
      <c r="B844" t="s">
        <v>980</v>
      </c>
      <c r="C844" t="s">
        <v>54</v>
      </c>
      <c r="D844" t="s">
        <v>1098</v>
      </c>
      <c r="E844" t="s">
        <v>214</v>
      </c>
      <c r="F844" t="s">
        <v>3015</v>
      </c>
      <c r="G844" t="s">
        <v>983</v>
      </c>
      <c r="H844" t="s">
        <v>780</v>
      </c>
      <c r="I844">
        <f t="shared" si="13"/>
        <v>4</v>
      </c>
      <c r="J844" t="s">
        <v>18</v>
      </c>
      <c r="K844" t="str" cm="1">
        <f t="array" ref="K844">_xlfn.SWITCH(TRIM(UPPER(J844)),
"BUSINESS", "Short Stay",
"CONFERENCE", "Medium Stay",
"VACATION", "Iong Stay",
"HOLIDAY", "Long Stay",
"V", "Leisure",
"UNKNOWN", "Unknown",
"Other")</f>
        <v>Short Stay</v>
      </c>
    </row>
    <row r="845" spans="1:11" x14ac:dyDescent="0.3">
      <c r="A845" t="s">
        <v>3016</v>
      </c>
      <c r="B845" t="s">
        <v>2219</v>
      </c>
      <c r="C845" t="s">
        <v>38</v>
      </c>
      <c r="D845" t="s">
        <v>188</v>
      </c>
      <c r="E845" t="s">
        <v>85</v>
      </c>
      <c r="F845" t="s">
        <v>3017</v>
      </c>
      <c r="G845" t="s">
        <v>1085</v>
      </c>
      <c r="H845" t="s">
        <v>1861</v>
      </c>
      <c r="I845">
        <f t="shared" si="13"/>
        <v>1</v>
      </c>
      <c r="J845" t="s">
        <v>27</v>
      </c>
      <c r="K845" t="str" cm="1">
        <f t="array" ref="K845">_xlfn.SWITCH(TRIM(UPPER(J845)),
"BUSINESS", "Short Stay",
"CONFERENCE", "Medium Stay",
"VACATION", "Iong Stay",
"HOLIDAY", "Long Stay",
"V", "Leisure",
"UNKNOWN", "Unknown",
"Other")</f>
        <v>Medium Stay</v>
      </c>
    </row>
    <row r="846" spans="1:11" x14ac:dyDescent="0.3">
      <c r="A846" t="s">
        <v>3018</v>
      </c>
      <c r="B846" t="s">
        <v>1510</v>
      </c>
      <c r="C846" t="s">
        <v>30</v>
      </c>
      <c r="D846" t="s">
        <v>3019</v>
      </c>
      <c r="E846" t="s">
        <v>23</v>
      </c>
      <c r="F846" t="s">
        <v>3020</v>
      </c>
      <c r="G846" t="s">
        <v>101</v>
      </c>
      <c r="H846" t="s">
        <v>621</v>
      </c>
      <c r="I846">
        <f t="shared" si="13"/>
        <v>4</v>
      </c>
      <c r="J846" t="s">
        <v>44</v>
      </c>
      <c r="K846" t="str" cm="1">
        <f t="array" ref="K846">_xlfn.SWITCH(TRIM(UPPER(J846)),
"BUSINESS", "Short Stay",
"CONFERENCE", "Medium Stay",
"VACATION", "Iong Stay",
"HOLIDAY", "Long Stay",
"V", "Leisure",
"UNKNOWN", "Unknown",
"Other")</f>
        <v>Other</v>
      </c>
    </row>
    <row r="847" spans="1:11" x14ac:dyDescent="0.3">
      <c r="A847" t="s">
        <v>3021</v>
      </c>
      <c r="B847" t="s">
        <v>2222</v>
      </c>
      <c r="C847" t="s">
        <v>174</v>
      </c>
      <c r="D847" t="s">
        <v>832</v>
      </c>
      <c r="E847" t="s">
        <v>48</v>
      </c>
      <c r="F847" t="s">
        <v>3022</v>
      </c>
      <c r="G847" t="s">
        <v>937</v>
      </c>
      <c r="H847" t="s">
        <v>706</v>
      </c>
      <c r="I847">
        <f t="shared" si="13"/>
        <v>2</v>
      </c>
      <c r="J847" t="s">
        <v>27</v>
      </c>
      <c r="K847" t="str" cm="1">
        <f t="array" ref="K847">_xlfn.SWITCH(TRIM(UPPER(J847)),
"BUSINESS", "Short Stay",
"CONFERENCE", "Medium Stay",
"VACATION", "Iong Stay",
"HOLIDAY", "Long Stay",
"V", "Leisure",
"UNKNOWN", "Unknown",
"Other")</f>
        <v>Medium Stay</v>
      </c>
    </row>
    <row r="848" spans="1:11" x14ac:dyDescent="0.3">
      <c r="A848" t="s">
        <v>3023</v>
      </c>
      <c r="B848" t="s">
        <v>1698</v>
      </c>
      <c r="C848" t="s">
        <v>38</v>
      </c>
      <c r="D848" t="s">
        <v>2514</v>
      </c>
      <c r="E848" t="s">
        <v>23</v>
      </c>
      <c r="F848" t="s">
        <v>3024</v>
      </c>
      <c r="G848" t="s">
        <v>759</v>
      </c>
      <c r="H848" t="s">
        <v>1522</v>
      </c>
      <c r="I848">
        <f t="shared" si="13"/>
        <v>2</v>
      </c>
      <c r="J848" t="s">
        <v>121</v>
      </c>
      <c r="K848" t="str" cm="1">
        <f t="array" ref="K848">_xlfn.SWITCH(TRIM(UPPER(J848)),
"BUSINESS", "Short Stay",
"CONFERENCE", "Medium Stay",
"VACATION", "Iong Stay",
"HOLIDAY", "Long Stay",
"V", "Leisure",
"UNKNOWN", "Unknown",
"Other")</f>
        <v>Iong Stay</v>
      </c>
    </row>
    <row r="849" spans="1:11" x14ac:dyDescent="0.3">
      <c r="A849" t="s">
        <v>3025</v>
      </c>
      <c r="B849" t="s">
        <v>1678</v>
      </c>
      <c r="C849" t="s">
        <v>174</v>
      </c>
      <c r="D849" t="s">
        <v>2889</v>
      </c>
      <c r="E849" t="s">
        <v>48</v>
      </c>
      <c r="F849" t="s">
        <v>3026</v>
      </c>
      <c r="G849" t="s">
        <v>1681</v>
      </c>
      <c r="H849" t="s">
        <v>1012</v>
      </c>
      <c r="I849">
        <f t="shared" si="13"/>
        <v>1</v>
      </c>
      <c r="J849" t="s">
        <v>18</v>
      </c>
      <c r="K849" t="str" cm="1">
        <f t="array" ref="K849">_xlfn.SWITCH(TRIM(UPPER(J849)),
"BUSINESS", "Short Stay",
"CONFERENCE", "Medium Stay",
"VACATION", "Iong Stay",
"HOLIDAY", "Long Stay",
"V", "Leisure",
"UNKNOWN", "Unknown",
"Other")</f>
        <v>Short Stay</v>
      </c>
    </row>
    <row r="850" spans="1:11" x14ac:dyDescent="0.3">
      <c r="A850" t="s">
        <v>3027</v>
      </c>
      <c r="B850" t="s">
        <v>1709</v>
      </c>
      <c r="C850" t="s">
        <v>97</v>
      </c>
      <c r="D850" t="s">
        <v>3028</v>
      </c>
      <c r="E850" t="s">
        <v>476</v>
      </c>
      <c r="F850" t="s">
        <v>3029</v>
      </c>
      <c r="G850" t="s">
        <v>133</v>
      </c>
      <c r="H850" t="s">
        <v>1331</v>
      </c>
      <c r="I850">
        <f t="shared" si="13"/>
        <v>2</v>
      </c>
      <c r="J850" t="s">
        <v>18</v>
      </c>
      <c r="K850" t="str" cm="1">
        <f t="array" ref="K850">_xlfn.SWITCH(TRIM(UPPER(J850)),
"BUSINESS", "Short Stay",
"CONFERENCE", "Medium Stay",
"VACATION", "Iong Stay",
"HOLIDAY", "Long Stay",
"V", "Leisure",
"UNKNOWN", "Unknown",
"Other")</f>
        <v>Short Stay</v>
      </c>
    </row>
    <row r="851" spans="1:11" x14ac:dyDescent="0.3">
      <c r="A851" t="s">
        <v>3030</v>
      </c>
      <c r="B851" t="s">
        <v>82</v>
      </c>
      <c r="C851" t="s">
        <v>61</v>
      </c>
      <c r="D851" t="s">
        <v>1140</v>
      </c>
      <c r="E851" t="s">
        <v>176</v>
      </c>
      <c r="F851" t="s">
        <v>3031</v>
      </c>
      <c r="G851" t="s">
        <v>87</v>
      </c>
      <c r="H851" t="s">
        <v>316</v>
      </c>
      <c r="I851">
        <f t="shared" si="13"/>
        <v>5</v>
      </c>
      <c r="J851" t="s">
        <v>121</v>
      </c>
      <c r="K851" t="str" cm="1">
        <f t="array" ref="K851">_xlfn.SWITCH(TRIM(UPPER(J851)),
"BUSINESS", "Short Stay",
"CONFERENCE", "Medium Stay",
"VACATION", "Iong Stay",
"HOLIDAY", "Long Stay",
"V", "Leisure",
"UNKNOWN", "Unknown",
"Other")</f>
        <v>Iong Stay</v>
      </c>
    </row>
    <row r="852" spans="1:11" x14ac:dyDescent="0.3">
      <c r="A852" t="s">
        <v>3032</v>
      </c>
      <c r="B852" t="s">
        <v>991</v>
      </c>
      <c r="C852" t="s">
        <v>21</v>
      </c>
      <c r="D852" t="s">
        <v>1369</v>
      </c>
      <c r="E852" t="s">
        <v>149</v>
      </c>
      <c r="F852" t="s">
        <v>3033</v>
      </c>
      <c r="G852" t="s">
        <v>994</v>
      </c>
      <c r="H852" t="s">
        <v>238</v>
      </c>
      <c r="I852">
        <f t="shared" si="13"/>
        <v>2</v>
      </c>
      <c r="J852" t="s">
        <v>27</v>
      </c>
      <c r="K852" t="str" cm="1">
        <f t="array" ref="K852">_xlfn.SWITCH(TRIM(UPPER(J852)),
"BUSINESS", "Short Stay",
"CONFERENCE", "Medium Stay",
"VACATION", "Iong Stay",
"HOLIDAY", "Long Stay",
"V", "Leisure",
"UNKNOWN", "Unknown",
"Other")</f>
        <v>Medium Stay</v>
      </c>
    </row>
    <row r="853" spans="1:11" x14ac:dyDescent="0.3">
      <c r="A853" t="s">
        <v>3034</v>
      </c>
      <c r="B853" t="s">
        <v>761</v>
      </c>
      <c r="C853" t="s">
        <v>12</v>
      </c>
      <c r="D853" t="s">
        <v>1398</v>
      </c>
      <c r="E853" t="s">
        <v>201</v>
      </c>
      <c r="F853" t="s">
        <v>3035</v>
      </c>
      <c r="G853" t="s">
        <v>399</v>
      </c>
      <c r="H853" t="s">
        <v>861</v>
      </c>
      <c r="I853">
        <f t="shared" si="13"/>
        <v>2</v>
      </c>
      <c r="J853" t="s">
        <v>18</v>
      </c>
      <c r="K853" t="str" cm="1">
        <f t="array" ref="K853">_xlfn.SWITCH(TRIM(UPPER(J853)),
"BUSINESS", "Short Stay",
"CONFERENCE", "Medium Stay",
"VACATION", "Iong Stay",
"HOLIDAY", "Long Stay",
"V", "Leisure",
"UNKNOWN", "Unknown",
"Other")</f>
        <v>Short Stay</v>
      </c>
    </row>
    <row r="854" spans="1:11" x14ac:dyDescent="0.3">
      <c r="A854" t="s">
        <v>3036</v>
      </c>
      <c r="B854" t="s">
        <v>960</v>
      </c>
      <c r="C854" t="s">
        <v>61</v>
      </c>
      <c r="D854" t="s">
        <v>2973</v>
      </c>
      <c r="E854" t="s">
        <v>69</v>
      </c>
      <c r="F854" t="s">
        <v>3037</v>
      </c>
      <c r="G854" t="s">
        <v>963</v>
      </c>
      <c r="H854" t="s">
        <v>328</v>
      </c>
      <c r="I854">
        <f t="shared" si="13"/>
        <v>1</v>
      </c>
      <c r="J854" t="s">
        <v>44</v>
      </c>
      <c r="K854" t="str" cm="1">
        <f t="array" ref="K854">_xlfn.SWITCH(TRIM(UPPER(J854)),
"BUSINESS", "Short Stay",
"CONFERENCE", "Medium Stay",
"VACATION", "Iong Stay",
"HOLIDAY", "Long Stay",
"V", "Leisure",
"UNKNOWN", "Unknown",
"Other")</f>
        <v>Other</v>
      </c>
    </row>
    <row r="855" spans="1:11" x14ac:dyDescent="0.3">
      <c r="A855" t="s">
        <v>3038</v>
      </c>
      <c r="B855" t="s">
        <v>2395</v>
      </c>
      <c r="C855" t="s">
        <v>12</v>
      </c>
      <c r="D855" t="s">
        <v>2147</v>
      </c>
      <c r="E855" t="s">
        <v>69</v>
      </c>
      <c r="F855" t="s">
        <v>3039</v>
      </c>
      <c r="G855" t="s">
        <v>2398</v>
      </c>
      <c r="H855" t="s">
        <v>781</v>
      </c>
      <c r="I855">
        <f t="shared" si="13"/>
        <v>5</v>
      </c>
      <c r="J855" t="s">
        <v>121</v>
      </c>
      <c r="K855" t="str" cm="1">
        <f t="array" ref="K855">_xlfn.SWITCH(TRIM(UPPER(J855)),
"BUSINESS", "Short Stay",
"CONFERENCE", "Medium Stay",
"VACATION", "Iong Stay",
"HOLIDAY", "Long Stay",
"V", "Leisure",
"UNKNOWN", "Unknown",
"Other")</f>
        <v>Iong Stay</v>
      </c>
    </row>
    <row r="856" spans="1:11" x14ac:dyDescent="0.3">
      <c r="A856" t="s">
        <v>3040</v>
      </c>
      <c r="B856" t="s">
        <v>772</v>
      </c>
      <c r="C856" t="s">
        <v>54</v>
      </c>
      <c r="D856" t="s">
        <v>3041</v>
      </c>
      <c r="E856" t="s">
        <v>458</v>
      </c>
      <c r="F856" t="s">
        <v>3042</v>
      </c>
      <c r="G856" t="s">
        <v>775</v>
      </c>
      <c r="H856" t="s">
        <v>100</v>
      </c>
      <c r="I856">
        <f t="shared" si="13"/>
        <v>4</v>
      </c>
      <c r="J856" t="s">
        <v>44</v>
      </c>
      <c r="K856" t="str" cm="1">
        <f t="array" ref="K856">_xlfn.SWITCH(TRIM(UPPER(J856)),
"BUSINESS", "Short Stay",
"CONFERENCE", "Medium Stay",
"VACATION", "Iong Stay",
"HOLIDAY", "Long Stay",
"V", "Leisure",
"UNKNOWN", "Unknown",
"Other")</f>
        <v>Other</v>
      </c>
    </row>
    <row r="857" spans="1:11" x14ac:dyDescent="0.3">
      <c r="A857" t="s">
        <v>3043</v>
      </c>
      <c r="B857" t="s">
        <v>1643</v>
      </c>
      <c r="C857" t="s">
        <v>38</v>
      </c>
      <c r="D857" t="s">
        <v>1637</v>
      </c>
      <c r="E857" t="s">
        <v>176</v>
      </c>
      <c r="F857" t="s">
        <v>3044</v>
      </c>
      <c r="G857" t="s">
        <v>1646</v>
      </c>
      <c r="H857" t="s">
        <v>1326</v>
      </c>
      <c r="I857">
        <f t="shared" si="13"/>
        <v>4</v>
      </c>
      <c r="J857" t="s">
        <v>44</v>
      </c>
      <c r="K857" t="str" cm="1">
        <f t="array" ref="K857">_xlfn.SWITCH(TRIM(UPPER(J857)),
"BUSINESS", "Short Stay",
"CONFERENCE", "Medium Stay",
"VACATION", "Iong Stay",
"HOLIDAY", "Long Stay",
"V", "Leisure",
"UNKNOWN", "Unknown",
"Other")</f>
        <v>Other</v>
      </c>
    </row>
    <row r="858" spans="1:11" x14ac:dyDescent="0.3">
      <c r="A858" t="s">
        <v>3045</v>
      </c>
      <c r="B858" t="s">
        <v>3046</v>
      </c>
      <c r="C858" t="s">
        <v>97</v>
      </c>
      <c r="D858" t="s">
        <v>1710</v>
      </c>
      <c r="E858" t="s">
        <v>117</v>
      </c>
      <c r="F858" t="s">
        <v>3047</v>
      </c>
      <c r="G858" t="s">
        <v>1589</v>
      </c>
      <c r="H858" t="s">
        <v>625</v>
      </c>
      <c r="I858">
        <f t="shared" si="13"/>
        <v>4</v>
      </c>
      <c r="J858" t="s">
        <v>18</v>
      </c>
      <c r="K858" t="str" cm="1">
        <f t="array" ref="K858">_xlfn.SWITCH(TRIM(UPPER(J858)),
"BUSINESS", "Short Stay",
"CONFERENCE", "Medium Stay",
"VACATION", "Iong Stay",
"HOLIDAY", "Long Stay",
"V", "Leisure",
"UNKNOWN", "Unknown",
"Other")</f>
        <v>Short Stay</v>
      </c>
    </row>
    <row r="859" spans="1:11" x14ac:dyDescent="0.3">
      <c r="A859" t="s">
        <v>3048</v>
      </c>
      <c r="B859" t="s">
        <v>1855</v>
      </c>
      <c r="C859" t="s">
        <v>21</v>
      </c>
      <c r="D859" t="s">
        <v>1076</v>
      </c>
      <c r="E859" t="s">
        <v>201</v>
      </c>
      <c r="F859" t="s">
        <v>3049</v>
      </c>
      <c r="G859" t="s">
        <v>1172</v>
      </c>
      <c r="H859" t="s">
        <v>1788</v>
      </c>
      <c r="I859">
        <f t="shared" si="13"/>
        <v>4</v>
      </c>
      <c r="J859" t="s">
        <v>18</v>
      </c>
      <c r="K859" t="str" cm="1">
        <f t="array" ref="K859">_xlfn.SWITCH(TRIM(UPPER(J859)),
"BUSINESS", "Short Stay",
"CONFERENCE", "Medium Stay",
"VACATION", "Iong Stay",
"HOLIDAY", "Long Stay",
"V", "Leisure",
"UNKNOWN", "Unknown",
"Other")</f>
        <v>Short Stay</v>
      </c>
    </row>
    <row r="860" spans="1:11" x14ac:dyDescent="0.3">
      <c r="A860" t="s">
        <v>3050</v>
      </c>
      <c r="B860" t="s">
        <v>1601</v>
      </c>
      <c r="C860" t="s">
        <v>30</v>
      </c>
      <c r="D860" t="s">
        <v>3051</v>
      </c>
      <c r="E860" t="s">
        <v>156</v>
      </c>
      <c r="F860" t="s">
        <v>3052</v>
      </c>
      <c r="G860" t="s">
        <v>1604</v>
      </c>
      <c r="H860" t="s">
        <v>1030</v>
      </c>
      <c r="I860">
        <f t="shared" si="13"/>
        <v>1</v>
      </c>
      <c r="J860" t="s">
        <v>44</v>
      </c>
      <c r="K860" t="str" cm="1">
        <f t="array" ref="K860">_xlfn.SWITCH(TRIM(UPPER(J860)),
"BUSINESS", "Short Stay",
"CONFERENCE", "Medium Stay",
"VACATION", "Iong Stay",
"HOLIDAY", "Long Stay",
"V", "Leisure",
"UNKNOWN", "Unknown",
"Other")</f>
        <v>Other</v>
      </c>
    </row>
    <row r="861" spans="1:11" x14ac:dyDescent="0.3">
      <c r="A861" t="s">
        <v>3053</v>
      </c>
      <c r="B861" t="s">
        <v>1502</v>
      </c>
      <c r="C861" t="s">
        <v>12</v>
      </c>
      <c r="D861" t="s">
        <v>1033</v>
      </c>
      <c r="E861" t="s">
        <v>214</v>
      </c>
      <c r="F861" t="s">
        <v>3054</v>
      </c>
      <c r="G861" t="s">
        <v>1505</v>
      </c>
      <c r="H861" t="s">
        <v>2777</v>
      </c>
      <c r="I861">
        <f t="shared" si="13"/>
        <v>4</v>
      </c>
      <c r="J861" t="s">
        <v>121</v>
      </c>
      <c r="K861" t="str" cm="1">
        <f t="array" ref="K861">_xlfn.SWITCH(TRIM(UPPER(J861)),
"BUSINESS", "Short Stay",
"CONFERENCE", "Medium Stay",
"VACATION", "Iong Stay",
"HOLIDAY", "Long Stay",
"V", "Leisure",
"UNKNOWN", "Unknown",
"Other")</f>
        <v>Iong Stay</v>
      </c>
    </row>
    <row r="862" spans="1:11" x14ac:dyDescent="0.3">
      <c r="A862" t="s">
        <v>3055</v>
      </c>
      <c r="B862" t="s">
        <v>235</v>
      </c>
      <c r="C862" t="s">
        <v>30</v>
      </c>
      <c r="D862" t="s">
        <v>3056</v>
      </c>
      <c r="E862" t="s">
        <v>63</v>
      </c>
      <c r="F862" t="s">
        <v>3057</v>
      </c>
      <c r="G862" t="s">
        <v>238</v>
      </c>
      <c r="H862" t="s">
        <v>946</v>
      </c>
      <c r="I862">
        <f t="shared" si="13"/>
        <v>3</v>
      </c>
      <c r="J862" t="s">
        <v>121</v>
      </c>
      <c r="K862" t="str" cm="1">
        <f t="array" ref="K862">_xlfn.SWITCH(TRIM(UPPER(J862)),
"BUSINESS", "Short Stay",
"CONFERENCE", "Medium Stay",
"VACATION", "Iong Stay",
"HOLIDAY", "Long Stay",
"V", "Leisure",
"UNKNOWN", "Unknown",
"Other")</f>
        <v>Iong Stay</v>
      </c>
    </row>
    <row r="863" spans="1:11" x14ac:dyDescent="0.3">
      <c r="A863" t="s">
        <v>3058</v>
      </c>
      <c r="B863" t="s">
        <v>1282</v>
      </c>
      <c r="C863" t="s">
        <v>21</v>
      </c>
      <c r="D863" t="s">
        <v>3059</v>
      </c>
      <c r="E863" t="s">
        <v>77</v>
      </c>
      <c r="F863" t="s">
        <v>3060</v>
      </c>
      <c r="G863" t="s">
        <v>1285</v>
      </c>
      <c r="H863" t="s">
        <v>377</v>
      </c>
      <c r="I863">
        <f t="shared" si="13"/>
        <v>3</v>
      </c>
      <c r="J863" t="s">
        <v>18</v>
      </c>
      <c r="K863" t="str" cm="1">
        <f t="array" ref="K863">_xlfn.SWITCH(TRIM(UPPER(J863)),
"BUSINESS", "Short Stay",
"CONFERENCE", "Medium Stay",
"VACATION", "Iong Stay",
"HOLIDAY", "Long Stay",
"V", "Leisure",
"UNKNOWN", "Unknown",
"Other")</f>
        <v>Short Stay</v>
      </c>
    </row>
    <row r="864" spans="1:11" x14ac:dyDescent="0.3">
      <c r="A864" t="s">
        <v>3061</v>
      </c>
      <c r="B864" t="s">
        <v>312</v>
      </c>
      <c r="C864" t="s">
        <v>12</v>
      </c>
      <c r="D864" t="s">
        <v>493</v>
      </c>
      <c r="E864" t="s">
        <v>23</v>
      </c>
      <c r="F864" t="s">
        <v>3062</v>
      </c>
      <c r="G864" t="s">
        <v>316</v>
      </c>
      <c r="H864" t="s">
        <v>255</v>
      </c>
      <c r="I864">
        <f t="shared" si="13"/>
        <v>1</v>
      </c>
      <c r="J864" t="s">
        <v>121</v>
      </c>
      <c r="K864" t="str" cm="1">
        <f t="array" ref="K864">_xlfn.SWITCH(TRIM(UPPER(J864)),
"BUSINESS", "Short Stay",
"CONFERENCE", "Medium Stay",
"VACATION", "Iong Stay",
"HOLIDAY", "Long Stay",
"V", "Leisure",
"UNKNOWN", "Unknown",
"Other")</f>
        <v>Iong Stay</v>
      </c>
    </row>
    <row r="865" spans="1:11" x14ac:dyDescent="0.3">
      <c r="A865" t="s">
        <v>3063</v>
      </c>
      <c r="B865" t="s">
        <v>1401</v>
      </c>
      <c r="C865" t="s">
        <v>12</v>
      </c>
      <c r="D865" t="s">
        <v>2220</v>
      </c>
      <c r="E865" t="s">
        <v>23</v>
      </c>
      <c r="F865" t="s">
        <v>3064</v>
      </c>
      <c r="G865" t="s">
        <v>1404</v>
      </c>
      <c r="H865" t="s">
        <v>1833</v>
      </c>
      <c r="I865">
        <f t="shared" si="13"/>
        <v>2</v>
      </c>
      <c r="J865" t="s">
        <v>18</v>
      </c>
      <c r="K865" t="str" cm="1">
        <f t="array" ref="K865">_xlfn.SWITCH(TRIM(UPPER(J865)),
"BUSINESS", "Short Stay",
"CONFERENCE", "Medium Stay",
"VACATION", "Iong Stay",
"HOLIDAY", "Long Stay",
"V", "Leisure",
"UNKNOWN", "Unknown",
"Other")</f>
        <v>Short Stay</v>
      </c>
    </row>
    <row r="866" spans="1:11" x14ac:dyDescent="0.3">
      <c r="A866" t="s">
        <v>3065</v>
      </c>
      <c r="B866" t="s">
        <v>960</v>
      </c>
      <c r="C866" t="s">
        <v>83</v>
      </c>
      <c r="D866" t="s">
        <v>2598</v>
      </c>
      <c r="E866" t="s">
        <v>430</v>
      </c>
      <c r="F866" t="s">
        <v>3066</v>
      </c>
      <c r="G866" t="s">
        <v>963</v>
      </c>
      <c r="H866" t="s">
        <v>184</v>
      </c>
      <c r="I866">
        <f t="shared" si="13"/>
        <v>4</v>
      </c>
      <c r="J866" t="s">
        <v>18</v>
      </c>
      <c r="K866" t="str" cm="1">
        <f t="array" ref="K866">_xlfn.SWITCH(TRIM(UPPER(J866)),
"BUSINESS", "Short Stay",
"CONFERENCE", "Medium Stay",
"VACATION", "Iong Stay",
"HOLIDAY", "Long Stay",
"V", "Leisure",
"UNKNOWN", "Unknown",
"Other")</f>
        <v>Short Stay</v>
      </c>
    </row>
    <row r="867" spans="1:11" x14ac:dyDescent="0.3">
      <c r="A867" t="s">
        <v>3067</v>
      </c>
      <c r="B867" t="s">
        <v>262</v>
      </c>
      <c r="C867" t="s">
        <v>97</v>
      </c>
      <c r="D867" t="s">
        <v>1679</v>
      </c>
      <c r="E867" t="s">
        <v>32</v>
      </c>
      <c r="F867" t="s">
        <v>3068</v>
      </c>
      <c r="G867" t="s">
        <v>265</v>
      </c>
      <c r="H867" t="s">
        <v>432</v>
      </c>
      <c r="I867">
        <f t="shared" si="13"/>
        <v>3</v>
      </c>
      <c r="J867" t="s">
        <v>121</v>
      </c>
      <c r="K867" t="str" cm="1">
        <f t="array" ref="K867">_xlfn.SWITCH(TRIM(UPPER(J867)),
"BUSINESS", "Short Stay",
"CONFERENCE", "Medium Stay",
"VACATION", "Iong Stay",
"HOLIDAY", "Long Stay",
"V", "Leisure",
"UNKNOWN", "Unknown",
"Other")</f>
        <v>Iong Stay</v>
      </c>
    </row>
    <row r="868" spans="1:11" x14ac:dyDescent="0.3">
      <c r="A868" t="s">
        <v>3069</v>
      </c>
      <c r="B868" t="s">
        <v>2264</v>
      </c>
      <c r="C868" t="s">
        <v>97</v>
      </c>
      <c r="D868" t="s">
        <v>2784</v>
      </c>
      <c r="E868" t="s">
        <v>201</v>
      </c>
      <c r="F868" t="s">
        <v>3070</v>
      </c>
      <c r="G868" t="s">
        <v>1857</v>
      </c>
      <c r="H868" t="s">
        <v>1007</v>
      </c>
      <c r="I868">
        <f t="shared" si="13"/>
        <v>2</v>
      </c>
      <c r="J868" t="s">
        <v>44</v>
      </c>
      <c r="K868" t="str" cm="1">
        <f t="array" ref="K868">_xlfn.SWITCH(TRIM(UPPER(J868)),
"BUSINESS", "Short Stay",
"CONFERENCE", "Medium Stay",
"VACATION", "Iong Stay",
"HOLIDAY", "Long Stay",
"V", "Leisure",
"UNKNOWN", "Unknown",
"Other")</f>
        <v>Other</v>
      </c>
    </row>
    <row r="869" spans="1:11" x14ac:dyDescent="0.3">
      <c r="A869" t="s">
        <v>3071</v>
      </c>
      <c r="B869" t="s">
        <v>482</v>
      </c>
      <c r="C869" t="s">
        <v>75</v>
      </c>
      <c r="D869" t="s">
        <v>3072</v>
      </c>
      <c r="E869" t="s">
        <v>156</v>
      </c>
      <c r="F869" t="s">
        <v>3073</v>
      </c>
      <c r="G869" t="s">
        <v>277</v>
      </c>
      <c r="H869" t="s">
        <v>485</v>
      </c>
      <c r="I869">
        <f t="shared" si="13"/>
        <v>5</v>
      </c>
      <c r="J869" t="s">
        <v>27</v>
      </c>
      <c r="K869" t="str" cm="1">
        <f t="array" ref="K869">_xlfn.SWITCH(TRIM(UPPER(J869)),
"BUSINESS", "Short Stay",
"CONFERENCE", "Medium Stay",
"VACATION", "Iong Stay",
"HOLIDAY", "Long Stay",
"V", "Leisure",
"UNKNOWN", "Unknown",
"Other")</f>
        <v>Medium Stay</v>
      </c>
    </row>
    <row r="870" spans="1:11" x14ac:dyDescent="0.3">
      <c r="A870" t="s">
        <v>3074</v>
      </c>
      <c r="B870" t="s">
        <v>2555</v>
      </c>
      <c r="C870" t="s">
        <v>61</v>
      </c>
      <c r="D870" t="s">
        <v>3075</v>
      </c>
      <c r="E870" t="s">
        <v>117</v>
      </c>
      <c r="F870" t="s">
        <v>3076</v>
      </c>
      <c r="G870" t="s">
        <v>600</v>
      </c>
      <c r="H870" t="s">
        <v>204</v>
      </c>
      <c r="I870">
        <f t="shared" si="13"/>
        <v>2</v>
      </c>
      <c r="J870" t="s">
        <v>27</v>
      </c>
      <c r="K870" t="str" cm="1">
        <f t="array" ref="K870">_xlfn.SWITCH(TRIM(UPPER(J870)),
"BUSINESS", "Short Stay",
"CONFERENCE", "Medium Stay",
"VACATION", "Iong Stay",
"HOLIDAY", "Long Stay",
"V", "Leisure",
"UNKNOWN", "Unknown",
"Other")</f>
        <v>Medium Stay</v>
      </c>
    </row>
    <row r="871" spans="1:11" x14ac:dyDescent="0.3">
      <c r="A871" t="s">
        <v>3077</v>
      </c>
      <c r="B871" t="s">
        <v>863</v>
      </c>
      <c r="C871" t="s">
        <v>83</v>
      </c>
      <c r="D871" t="s">
        <v>1023</v>
      </c>
      <c r="E871" t="s">
        <v>117</v>
      </c>
      <c r="F871" t="s">
        <v>3078</v>
      </c>
      <c r="G871" t="s">
        <v>548</v>
      </c>
      <c r="H871" t="s">
        <v>344</v>
      </c>
      <c r="I871">
        <f t="shared" si="13"/>
        <v>3</v>
      </c>
      <c r="J871" t="s">
        <v>18</v>
      </c>
      <c r="K871" t="str" cm="1">
        <f t="array" ref="K871">_xlfn.SWITCH(TRIM(UPPER(J871)),
"BUSINESS", "Short Stay",
"CONFERENCE", "Medium Stay",
"VACATION", "Iong Stay",
"HOLIDAY", "Long Stay",
"V", "Leisure",
"UNKNOWN", "Unknown",
"Other")</f>
        <v>Short Stay</v>
      </c>
    </row>
    <row r="872" spans="1:11" x14ac:dyDescent="0.3">
      <c r="A872" t="s">
        <v>3079</v>
      </c>
      <c r="B872" t="s">
        <v>279</v>
      </c>
      <c r="C872" t="s">
        <v>30</v>
      </c>
      <c r="D872" t="s">
        <v>3080</v>
      </c>
      <c r="E872" t="s">
        <v>40</v>
      </c>
      <c r="F872" t="s">
        <v>3081</v>
      </c>
      <c r="G872" t="s">
        <v>282</v>
      </c>
      <c r="H872" t="s">
        <v>2767</v>
      </c>
      <c r="I872">
        <f t="shared" si="13"/>
        <v>3</v>
      </c>
      <c r="J872" t="s">
        <v>27</v>
      </c>
      <c r="K872" t="str" cm="1">
        <f t="array" ref="K872">_xlfn.SWITCH(TRIM(UPPER(J872)),
"BUSINESS", "Short Stay",
"CONFERENCE", "Medium Stay",
"VACATION", "Iong Stay",
"HOLIDAY", "Long Stay",
"V", "Leisure",
"UNKNOWN", "Unknown",
"Other")</f>
        <v>Medium Stay</v>
      </c>
    </row>
    <row r="873" spans="1:11" x14ac:dyDescent="0.3">
      <c r="A873" t="s">
        <v>3082</v>
      </c>
      <c r="B873" t="s">
        <v>389</v>
      </c>
      <c r="C873" t="s">
        <v>83</v>
      </c>
      <c r="D873" t="s">
        <v>3083</v>
      </c>
      <c r="E873" t="s">
        <v>23</v>
      </c>
      <c r="F873" t="s">
        <v>3084</v>
      </c>
      <c r="G873" t="s">
        <v>392</v>
      </c>
      <c r="H873" t="s">
        <v>426</v>
      </c>
      <c r="I873">
        <f t="shared" si="13"/>
        <v>3</v>
      </c>
      <c r="J873" t="s">
        <v>27</v>
      </c>
      <c r="K873" t="str" cm="1">
        <f t="array" ref="K873">_xlfn.SWITCH(TRIM(UPPER(J873)),
"BUSINESS", "Short Stay",
"CONFERENCE", "Medium Stay",
"VACATION", "Iong Stay",
"HOLIDAY", "Long Stay",
"V", "Leisure",
"UNKNOWN", "Unknown",
"Other")</f>
        <v>Medium Stay</v>
      </c>
    </row>
    <row r="874" spans="1:11" x14ac:dyDescent="0.3">
      <c r="A874" t="s">
        <v>3085</v>
      </c>
      <c r="B874" t="s">
        <v>440</v>
      </c>
      <c r="C874" t="s">
        <v>21</v>
      </c>
      <c r="D874" t="s">
        <v>354</v>
      </c>
      <c r="E874" t="s">
        <v>32</v>
      </c>
      <c r="F874" t="s">
        <v>3086</v>
      </c>
      <c r="G874" t="s">
        <v>94</v>
      </c>
      <c r="H874" t="s">
        <v>2290</v>
      </c>
      <c r="I874">
        <f t="shared" si="13"/>
        <v>2</v>
      </c>
      <c r="J874" t="s">
        <v>44</v>
      </c>
      <c r="K874" t="str" cm="1">
        <f t="array" ref="K874">_xlfn.SWITCH(TRIM(UPPER(J874)),
"BUSINESS", "Short Stay",
"CONFERENCE", "Medium Stay",
"VACATION", "Iong Stay",
"HOLIDAY", "Long Stay",
"V", "Leisure",
"UNKNOWN", "Unknown",
"Other")</f>
        <v>Other</v>
      </c>
    </row>
    <row r="875" spans="1:11" x14ac:dyDescent="0.3">
      <c r="A875" t="s">
        <v>3087</v>
      </c>
      <c r="B875" t="s">
        <v>199</v>
      </c>
      <c r="C875" t="s">
        <v>54</v>
      </c>
      <c r="D875" t="s">
        <v>1064</v>
      </c>
      <c r="E875" t="s">
        <v>476</v>
      </c>
      <c r="F875" t="s">
        <v>3088</v>
      </c>
      <c r="G875" t="s">
        <v>203</v>
      </c>
      <c r="H875" t="s">
        <v>599</v>
      </c>
      <c r="I875">
        <f t="shared" si="13"/>
        <v>2</v>
      </c>
      <c r="J875" t="s">
        <v>44</v>
      </c>
      <c r="K875" t="str" cm="1">
        <f t="array" ref="K875">_xlfn.SWITCH(TRIM(UPPER(J875)),
"BUSINESS", "Short Stay",
"CONFERENCE", "Medium Stay",
"VACATION", "Iong Stay",
"HOLIDAY", "Long Stay",
"V", "Leisure",
"UNKNOWN", "Unknown",
"Other")</f>
        <v>Other</v>
      </c>
    </row>
    <row r="876" spans="1:11" x14ac:dyDescent="0.3">
      <c r="A876" t="s">
        <v>3089</v>
      </c>
      <c r="B876" t="s">
        <v>1799</v>
      </c>
      <c r="C876" t="s">
        <v>12</v>
      </c>
      <c r="D876" t="s">
        <v>981</v>
      </c>
      <c r="E876" t="s">
        <v>156</v>
      </c>
      <c r="F876" t="s">
        <v>3090</v>
      </c>
      <c r="G876" t="s">
        <v>1125</v>
      </c>
      <c r="H876" t="s">
        <v>548</v>
      </c>
      <c r="I876">
        <f t="shared" si="13"/>
        <v>2</v>
      </c>
      <c r="J876" t="s">
        <v>27</v>
      </c>
      <c r="K876" t="str" cm="1">
        <f t="array" ref="K876">_xlfn.SWITCH(TRIM(UPPER(J876)),
"BUSINESS", "Short Stay",
"CONFERENCE", "Medium Stay",
"VACATION", "Iong Stay",
"HOLIDAY", "Long Stay",
"V", "Leisure",
"UNKNOWN", "Unknown",
"Other")</f>
        <v>Medium Stay</v>
      </c>
    </row>
    <row r="877" spans="1:11" x14ac:dyDescent="0.3">
      <c r="A877" t="s">
        <v>3091</v>
      </c>
      <c r="B877" t="s">
        <v>212</v>
      </c>
      <c r="C877" t="s">
        <v>61</v>
      </c>
      <c r="D877" t="s">
        <v>1335</v>
      </c>
      <c r="E877" t="s">
        <v>23</v>
      </c>
      <c r="F877" t="s">
        <v>3092</v>
      </c>
      <c r="G877" t="s">
        <v>165</v>
      </c>
      <c r="H877" t="s">
        <v>409</v>
      </c>
      <c r="I877">
        <f t="shared" si="13"/>
        <v>2</v>
      </c>
      <c r="J877" t="s">
        <v>18</v>
      </c>
      <c r="K877" t="str" cm="1">
        <f t="array" ref="K877">_xlfn.SWITCH(TRIM(UPPER(J877)),
"BUSINESS", "Short Stay",
"CONFERENCE", "Medium Stay",
"VACATION", "Iong Stay",
"HOLIDAY", "Long Stay",
"V", "Leisure",
"UNKNOWN", "Unknown",
"Other")</f>
        <v>Short Stay</v>
      </c>
    </row>
    <row r="878" spans="1:11" x14ac:dyDescent="0.3">
      <c r="A878" t="s">
        <v>3093</v>
      </c>
      <c r="B878" t="s">
        <v>1790</v>
      </c>
      <c r="C878" t="s">
        <v>75</v>
      </c>
      <c r="D878" t="s">
        <v>2712</v>
      </c>
      <c r="E878" t="s">
        <v>176</v>
      </c>
      <c r="F878" t="s">
        <v>3094</v>
      </c>
      <c r="G878" t="s">
        <v>1793</v>
      </c>
      <c r="H878" t="s">
        <v>185</v>
      </c>
      <c r="I878">
        <f t="shared" si="13"/>
        <v>2</v>
      </c>
      <c r="J878" t="s">
        <v>121</v>
      </c>
      <c r="K878" t="str" cm="1">
        <f t="array" ref="K878">_xlfn.SWITCH(TRIM(UPPER(J878)),
"BUSINESS", "Short Stay",
"CONFERENCE", "Medium Stay",
"VACATION", "Iong Stay",
"HOLIDAY", "Long Stay",
"V", "Leisure",
"UNKNOWN", "Unknown",
"Other")</f>
        <v>Iong Stay</v>
      </c>
    </row>
    <row r="879" spans="1:11" x14ac:dyDescent="0.3">
      <c r="A879" t="s">
        <v>3095</v>
      </c>
      <c r="B879" t="s">
        <v>1212</v>
      </c>
      <c r="C879" t="s">
        <v>38</v>
      </c>
      <c r="D879" t="s">
        <v>1306</v>
      </c>
      <c r="E879" t="s">
        <v>214</v>
      </c>
      <c r="F879" t="s">
        <v>3096</v>
      </c>
      <c r="G879" t="s">
        <v>1007</v>
      </c>
      <c r="H879" t="s">
        <v>769</v>
      </c>
      <c r="I879">
        <f t="shared" si="13"/>
        <v>3</v>
      </c>
      <c r="J879" t="s">
        <v>121</v>
      </c>
      <c r="K879" t="str" cm="1">
        <f t="array" ref="K879">_xlfn.SWITCH(TRIM(UPPER(J879)),
"BUSINESS", "Short Stay",
"CONFERENCE", "Medium Stay",
"VACATION", "Iong Stay",
"HOLIDAY", "Long Stay",
"V", "Leisure",
"UNKNOWN", "Unknown",
"Other")</f>
        <v>Iong Stay</v>
      </c>
    </row>
    <row r="880" spans="1:11" x14ac:dyDescent="0.3">
      <c r="A880" t="s">
        <v>3097</v>
      </c>
      <c r="B880" t="s">
        <v>3098</v>
      </c>
      <c r="C880" t="s">
        <v>174</v>
      </c>
      <c r="D880" t="s">
        <v>1462</v>
      </c>
      <c r="E880" t="s">
        <v>77</v>
      </c>
      <c r="F880" t="s">
        <v>3099</v>
      </c>
      <c r="G880" t="s">
        <v>2767</v>
      </c>
      <c r="H880" t="s">
        <v>2870</v>
      </c>
      <c r="I880">
        <f t="shared" si="13"/>
        <v>4</v>
      </c>
      <c r="J880" t="s">
        <v>121</v>
      </c>
      <c r="K880" t="str" cm="1">
        <f t="array" ref="K880">_xlfn.SWITCH(TRIM(UPPER(J880)),
"BUSINESS", "Short Stay",
"CONFERENCE", "Medium Stay",
"VACATION", "Iong Stay",
"HOLIDAY", "Long Stay",
"V", "Leisure",
"UNKNOWN", "Unknown",
"Other")</f>
        <v>Iong Stay</v>
      </c>
    </row>
    <row r="881" spans="1:11" x14ac:dyDescent="0.3">
      <c r="A881" t="s">
        <v>3100</v>
      </c>
      <c r="B881" t="s">
        <v>1661</v>
      </c>
      <c r="C881" t="s">
        <v>21</v>
      </c>
      <c r="D881" t="s">
        <v>1824</v>
      </c>
      <c r="E881" t="s">
        <v>77</v>
      </c>
      <c r="F881" t="s">
        <v>3101</v>
      </c>
      <c r="G881" t="s">
        <v>946</v>
      </c>
      <c r="H881" t="s">
        <v>1219</v>
      </c>
      <c r="I881">
        <f t="shared" si="13"/>
        <v>1</v>
      </c>
      <c r="J881" t="s">
        <v>121</v>
      </c>
      <c r="K881" t="str" cm="1">
        <f t="array" ref="K881">_xlfn.SWITCH(TRIM(UPPER(J881)),
"BUSINESS", "Short Stay",
"CONFERENCE", "Medium Stay",
"VACATION", "Iong Stay",
"HOLIDAY", "Long Stay",
"V", "Leisure",
"UNKNOWN", "Unknown",
"Other")</f>
        <v>Iong Stay</v>
      </c>
    </row>
    <row r="882" spans="1:11" x14ac:dyDescent="0.3">
      <c r="A882" t="s">
        <v>3102</v>
      </c>
      <c r="B882" t="s">
        <v>2260</v>
      </c>
      <c r="C882" t="s">
        <v>30</v>
      </c>
      <c r="D882" t="s">
        <v>1193</v>
      </c>
      <c r="E882" t="s">
        <v>23</v>
      </c>
      <c r="F882" t="s">
        <v>1034</v>
      </c>
      <c r="G882" t="s">
        <v>255</v>
      </c>
      <c r="H882" t="s">
        <v>317</v>
      </c>
      <c r="I882">
        <f t="shared" si="13"/>
        <v>3</v>
      </c>
      <c r="J882" t="s">
        <v>44</v>
      </c>
      <c r="K882" t="str" cm="1">
        <f t="array" ref="K882">_xlfn.SWITCH(TRIM(UPPER(J882)),
"BUSINESS", "Short Stay",
"CONFERENCE", "Medium Stay",
"VACATION", "Iong Stay",
"HOLIDAY", "Long Stay",
"V", "Leisure",
"UNKNOWN", "Unknown",
"Other")</f>
        <v>Other</v>
      </c>
    </row>
    <row r="883" spans="1:11" x14ac:dyDescent="0.3">
      <c r="A883" t="s">
        <v>3103</v>
      </c>
      <c r="B883" t="s">
        <v>3104</v>
      </c>
      <c r="C883" t="s">
        <v>38</v>
      </c>
      <c r="D883" t="s">
        <v>2317</v>
      </c>
      <c r="E883" t="s">
        <v>176</v>
      </c>
      <c r="F883" t="s">
        <v>3105</v>
      </c>
      <c r="G883" t="s">
        <v>266</v>
      </c>
      <c r="H883" t="s">
        <v>50</v>
      </c>
      <c r="I883">
        <f t="shared" si="13"/>
        <v>3</v>
      </c>
      <c r="J883" t="s">
        <v>121</v>
      </c>
      <c r="K883" t="str" cm="1">
        <f t="array" ref="K883">_xlfn.SWITCH(TRIM(UPPER(J883)),
"BUSINESS", "Short Stay",
"CONFERENCE", "Medium Stay",
"VACATION", "Iong Stay",
"HOLIDAY", "Long Stay",
"V", "Leisure",
"UNKNOWN", "Unknown",
"Other")</f>
        <v>Iong Stay</v>
      </c>
    </row>
    <row r="884" spans="1:11" x14ac:dyDescent="0.3">
      <c r="A884" t="s">
        <v>3106</v>
      </c>
      <c r="B884" t="s">
        <v>235</v>
      </c>
      <c r="C884" t="s">
        <v>30</v>
      </c>
      <c r="D884" t="s">
        <v>3107</v>
      </c>
      <c r="E884" t="s">
        <v>476</v>
      </c>
      <c r="F884" t="s">
        <v>3108</v>
      </c>
      <c r="G884" t="s">
        <v>238</v>
      </c>
      <c r="H884" t="s">
        <v>404</v>
      </c>
      <c r="I884">
        <f t="shared" si="13"/>
        <v>2</v>
      </c>
      <c r="J884" t="s">
        <v>121</v>
      </c>
      <c r="K884" t="str" cm="1">
        <f t="array" ref="K884">_xlfn.SWITCH(TRIM(UPPER(J884)),
"BUSINESS", "Short Stay",
"CONFERENCE", "Medium Stay",
"VACATION", "Iong Stay",
"HOLIDAY", "Long Stay",
"V", "Leisure",
"UNKNOWN", "Unknown",
"Other")</f>
        <v>Iong Stay</v>
      </c>
    </row>
    <row r="885" spans="1:11" x14ac:dyDescent="0.3">
      <c r="A885" t="s">
        <v>3109</v>
      </c>
      <c r="B885" t="s">
        <v>2392</v>
      </c>
      <c r="C885" t="s">
        <v>83</v>
      </c>
      <c r="D885" t="s">
        <v>581</v>
      </c>
      <c r="E885" t="s">
        <v>40</v>
      </c>
      <c r="F885" t="s">
        <v>3110</v>
      </c>
      <c r="G885" t="s">
        <v>1833</v>
      </c>
      <c r="H885" t="s">
        <v>588</v>
      </c>
      <c r="I885">
        <f t="shared" si="13"/>
        <v>2</v>
      </c>
      <c r="J885" t="s">
        <v>27</v>
      </c>
      <c r="K885" t="str" cm="1">
        <f t="array" ref="K885">_xlfn.SWITCH(TRIM(UPPER(J885)),
"BUSINESS", "Short Stay",
"CONFERENCE", "Medium Stay",
"VACATION", "Iong Stay",
"HOLIDAY", "Long Stay",
"V", "Leisure",
"UNKNOWN", "Unknown",
"Other")</f>
        <v>Medium Stay</v>
      </c>
    </row>
    <row r="886" spans="1:11" x14ac:dyDescent="0.3">
      <c r="A886" t="s">
        <v>3111</v>
      </c>
      <c r="B886" t="s">
        <v>960</v>
      </c>
      <c r="C886" t="s">
        <v>174</v>
      </c>
      <c r="D886" t="s">
        <v>3112</v>
      </c>
      <c r="E886" t="s">
        <v>546</v>
      </c>
      <c r="F886" t="s">
        <v>3113</v>
      </c>
      <c r="G886" t="s">
        <v>963</v>
      </c>
      <c r="H886" t="s">
        <v>2340</v>
      </c>
      <c r="I886">
        <f t="shared" si="13"/>
        <v>3</v>
      </c>
      <c r="J886" t="s">
        <v>121</v>
      </c>
      <c r="K886" t="str" cm="1">
        <f t="array" ref="K886">_xlfn.SWITCH(TRIM(UPPER(J886)),
"BUSINESS", "Short Stay",
"CONFERENCE", "Medium Stay",
"VACATION", "Iong Stay",
"HOLIDAY", "Long Stay",
"V", "Leisure",
"UNKNOWN", "Unknown",
"Other")</f>
        <v>Iong Stay</v>
      </c>
    </row>
    <row r="887" spans="1:11" x14ac:dyDescent="0.3">
      <c r="A887" t="s">
        <v>3114</v>
      </c>
      <c r="B887" t="s">
        <v>60</v>
      </c>
      <c r="C887" t="s">
        <v>12</v>
      </c>
      <c r="D887" t="s">
        <v>3115</v>
      </c>
      <c r="E887" t="s">
        <v>201</v>
      </c>
      <c r="F887" t="s">
        <v>3116</v>
      </c>
      <c r="G887" t="s">
        <v>65</v>
      </c>
      <c r="H887" t="s">
        <v>1121</v>
      </c>
      <c r="I887">
        <f t="shared" si="13"/>
        <v>1</v>
      </c>
      <c r="J887" t="s">
        <v>121</v>
      </c>
      <c r="K887" t="str" cm="1">
        <f t="array" ref="K887">_xlfn.SWITCH(TRIM(UPPER(J887)),
"BUSINESS", "Short Stay",
"CONFERENCE", "Medium Stay",
"VACATION", "Iong Stay",
"HOLIDAY", "Long Stay",
"V", "Leisure",
"UNKNOWN", "Unknown",
"Other")</f>
        <v>Iong Stay</v>
      </c>
    </row>
    <row r="888" spans="1:11" x14ac:dyDescent="0.3">
      <c r="A888" t="s">
        <v>3117</v>
      </c>
      <c r="B888" t="s">
        <v>341</v>
      </c>
      <c r="C888" t="s">
        <v>174</v>
      </c>
      <c r="D888" t="s">
        <v>1805</v>
      </c>
      <c r="E888" t="s">
        <v>201</v>
      </c>
      <c r="F888" t="s">
        <v>3118</v>
      </c>
      <c r="G888" t="s">
        <v>344</v>
      </c>
      <c r="H888" t="s">
        <v>79</v>
      </c>
      <c r="I888">
        <f t="shared" si="13"/>
        <v>1</v>
      </c>
      <c r="J888" t="s">
        <v>27</v>
      </c>
      <c r="K888" t="str" cm="1">
        <f t="array" ref="K888">_xlfn.SWITCH(TRIM(UPPER(J888)),
"BUSINESS", "Short Stay",
"CONFERENCE", "Medium Stay",
"VACATION", "Iong Stay",
"HOLIDAY", "Long Stay",
"V", "Leisure",
"UNKNOWN", "Unknown",
"Other")</f>
        <v>Medium Stay</v>
      </c>
    </row>
    <row r="889" spans="1:11" x14ac:dyDescent="0.3">
      <c r="A889" t="s">
        <v>3119</v>
      </c>
      <c r="B889" t="s">
        <v>722</v>
      </c>
      <c r="C889" t="s">
        <v>174</v>
      </c>
      <c r="D889" t="s">
        <v>3120</v>
      </c>
      <c r="E889" t="s">
        <v>14</v>
      </c>
      <c r="F889" t="s">
        <v>3121</v>
      </c>
      <c r="G889" t="s">
        <v>725</v>
      </c>
      <c r="H889" t="s">
        <v>512</v>
      </c>
      <c r="I889">
        <f t="shared" si="13"/>
        <v>5</v>
      </c>
      <c r="J889" t="s">
        <v>121</v>
      </c>
      <c r="K889" t="str" cm="1">
        <f t="array" ref="K889">_xlfn.SWITCH(TRIM(UPPER(J889)),
"BUSINESS", "Short Stay",
"CONFERENCE", "Medium Stay",
"VACATION", "Iong Stay",
"HOLIDAY", "Long Stay",
"V", "Leisure",
"UNKNOWN", "Unknown",
"Other")</f>
        <v>Iong Stay</v>
      </c>
    </row>
    <row r="890" spans="1:11" x14ac:dyDescent="0.3">
      <c r="A890" t="s">
        <v>3122</v>
      </c>
      <c r="B890" t="s">
        <v>1553</v>
      </c>
      <c r="C890" t="s">
        <v>12</v>
      </c>
      <c r="D890" t="s">
        <v>2446</v>
      </c>
      <c r="E890" t="s">
        <v>48</v>
      </c>
      <c r="F890" t="s">
        <v>3123</v>
      </c>
      <c r="G890" t="s">
        <v>1555</v>
      </c>
      <c r="H890" t="s">
        <v>65</v>
      </c>
      <c r="I890">
        <f t="shared" si="13"/>
        <v>2</v>
      </c>
      <c r="J890" t="s">
        <v>18</v>
      </c>
      <c r="K890" t="str" cm="1">
        <f t="array" ref="K890">_xlfn.SWITCH(TRIM(UPPER(J890)),
"BUSINESS", "Short Stay",
"CONFERENCE", "Medium Stay",
"VACATION", "Iong Stay",
"HOLIDAY", "Long Stay",
"V", "Leisure",
"UNKNOWN", "Unknown",
"Other")</f>
        <v>Short Stay</v>
      </c>
    </row>
    <row r="891" spans="1:11" x14ac:dyDescent="0.3">
      <c r="A891" t="s">
        <v>3124</v>
      </c>
      <c r="B891" t="s">
        <v>1761</v>
      </c>
      <c r="C891" t="s">
        <v>54</v>
      </c>
      <c r="D891" t="s">
        <v>3056</v>
      </c>
      <c r="E891" t="s">
        <v>14</v>
      </c>
      <c r="F891" t="s">
        <v>3125</v>
      </c>
      <c r="G891" t="s">
        <v>1763</v>
      </c>
      <c r="H891" t="s">
        <v>554</v>
      </c>
      <c r="I891">
        <f t="shared" si="13"/>
        <v>5</v>
      </c>
      <c r="J891" t="s">
        <v>121</v>
      </c>
      <c r="K891" t="str" cm="1">
        <f t="array" ref="K891">_xlfn.SWITCH(TRIM(UPPER(J891)),
"BUSINESS", "Short Stay",
"CONFERENCE", "Medium Stay",
"VACATION", "Iong Stay",
"HOLIDAY", "Long Stay",
"V", "Leisure",
"UNKNOWN", "Unknown",
"Other")</f>
        <v>Iong Stay</v>
      </c>
    </row>
    <row r="892" spans="1:11" x14ac:dyDescent="0.3">
      <c r="A892" t="s">
        <v>3126</v>
      </c>
      <c r="B892" t="s">
        <v>279</v>
      </c>
      <c r="C892" t="s">
        <v>30</v>
      </c>
      <c r="D892" t="s">
        <v>3127</v>
      </c>
      <c r="E892" t="s">
        <v>117</v>
      </c>
      <c r="F892" t="s">
        <v>3128</v>
      </c>
      <c r="G892" t="s">
        <v>282</v>
      </c>
      <c r="H892" t="s">
        <v>1243</v>
      </c>
      <c r="I892">
        <f t="shared" si="13"/>
        <v>1</v>
      </c>
      <c r="J892" t="s">
        <v>27</v>
      </c>
      <c r="K892" t="str" cm="1">
        <f t="array" ref="K892">_xlfn.SWITCH(TRIM(UPPER(J892)),
"BUSINESS", "Short Stay",
"CONFERENCE", "Medium Stay",
"VACATION", "Iong Stay",
"HOLIDAY", "Long Stay",
"V", "Leisure",
"UNKNOWN", "Unknown",
"Other")</f>
        <v>Medium Stay</v>
      </c>
    </row>
    <row r="893" spans="1:11" x14ac:dyDescent="0.3">
      <c r="A893" t="s">
        <v>3129</v>
      </c>
      <c r="B893" t="s">
        <v>2322</v>
      </c>
      <c r="C893" t="s">
        <v>75</v>
      </c>
      <c r="D893" t="s">
        <v>3130</v>
      </c>
      <c r="E893" t="s">
        <v>430</v>
      </c>
      <c r="F893" t="s">
        <v>3131</v>
      </c>
      <c r="G893" t="s">
        <v>485</v>
      </c>
      <c r="H893" t="s">
        <v>1167</v>
      </c>
      <c r="I893">
        <f t="shared" si="13"/>
        <v>2</v>
      </c>
      <c r="J893" t="s">
        <v>18</v>
      </c>
      <c r="K893" t="str" cm="1">
        <f t="array" ref="K893">_xlfn.SWITCH(TRIM(UPPER(J893)),
"BUSINESS", "Short Stay",
"CONFERENCE", "Medium Stay",
"VACATION", "Iong Stay",
"HOLIDAY", "Long Stay",
"V", "Leisure",
"UNKNOWN", "Unknown",
"Other")</f>
        <v>Short Stay</v>
      </c>
    </row>
    <row r="894" spans="1:11" x14ac:dyDescent="0.3">
      <c r="A894" t="s">
        <v>3132</v>
      </c>
      <c r="B894" t="s">
        <v>2153</v>
      </c>
      <c r="C894" t="s">
        <v>54</v>
      </c>
      <c r="D894" t="s">
        <v>515</v>
      </c>
      <c r="E894" t="s">
        <v>201</v>
      </c>
      <c r="F894" t="s">
        <v>3133</v>
      </c>
      <c r="G894" t="s">
        <v>72</v>
      </c>
      <c r="H894" t="s">
        <v>26</v>
      </c>
      <c r="I894">
        <f t="shared" si="13"/>
        <v>3</v>
      </c>
      <c r="J894" t="s">
        <v>121</v>
      </c>
      <c r="K894" t="str" cm="1">
        <f t="array" ref="K894">_xlfn.SWITCH(TRIM(UPPER(J894)),
"BUSINESS", "Short Stay",
"CONFERENCE", "Medium Stay",
"VACATION", "Iong Stay",
"HOLIDAY", "Long Stay",
"V", "Leisure",
"UNKNOWN", "Unknown",
"Other")</f>
        <v>Iong Stay</v>
      </c>
    </row>
    <row r="895" spans="1:11" x14ac:dyDescent="0.3">
      <c r="A895" t="s">
        <v>3134</v>
      </c>
      <c r="B895" t="s">
        <v>129</v>
      </c>
      <c r="C895" t="s">
        <v>61</v>
      </c>
      <c r="D895" t="s">
        <v>3041</v>
      </c>
      <c r="E895" t="s">
        <v>149</v>
      </c>
      <c r="F895" t="s">
        <v>3135</v>
      </c>
      <c r="G895" t="s">
        <v>132</v>
      </c>
      <c r="H895" t="s">
        <v>133</v>
      </c>
      <c r="I895">
        <f t="shared" si="13"/>
        <v>4</v>
      </c>
      <c r="J895" t="s">
        <v>121</v>
      </c>
      <c r="K895" t="str" cm="1">
        <f t="array" ref="K895">_xlfn.SWITCH(TRIM(UPPER(J895)),
"BUSINESS", "Short Stay",
"CONFERENCE", "Medium Stay",
"VACATION", "Iong Stay",
"HOLIDAY", "Long Stay",
"V", "Leisure",
"UNKNOWN", "Unknown",
"Other")</f>
        <v>Iong Stay</v>
      </c>
    </row>
    <row r="896" spans="1:11" x14ac:dyDescent="0.3">
      <c r="A896" t="s">
        <v>3136</v>
      </c>
      <c r="B896" t="s">
        <v>2073</v>
      </c>
      <c r="C896" t="s">
        <v>75</v>
      </c>
      <c r="D896" t="s">
        <v>911</v>
      </c>
      <c r="E896" t="s">
        <v>48</v>
      </c>
      <c r="F896" t="s">
        <v>3137</v>
      </c>
      <c r="G896" t="s">
        <v>1300</v>
      </c>
      <c r="H896" t="s">
        <v>1415</v>
      </c>
      <c r="I896">
        <f t="shared" si="13"/>
        <v>1</v>
      </c>
      <c r="J896" t="s">
        <v>18</v>
      </c>
      <c r="K896" t="str" cm="1">
        <f t="array" ref="K896">_xlfn.SWITCH(TRIM(UPPER(J896)),
"BUSINESS", "Short Stay",
"CONFERENCE", "Medium Stay",
"VACATION", "Iong Stay",
"HOLIDAY", "Long Stay",
"V", "Leisure",
"UNKNOWN", "Unknown",
"Other")</f>
        <v>Short Stay</v>
      </c>
    </row>
    <row r="897" spans="1:11" x14ac:dyDescent="0.3">
      <c r="A897" t="s">
        <v>3138</v>
      </c>
      <c r="B897" t="s">
        <v>2200</v>
      </c>
      <c r="C897" t="s">
        <v>12</v>
      </c>
      <c r="D897" t="s">
        <v>3028</v>
      </c>
      <c r="E897" t="s">
        <v>85</v>
      </c>
      <c r="F897" t="s">
        <v>3139</v>
      </c>
      <c r="G897" t="s">
        <v>120</v>
      </c>
      <c r="H897" t="s">
        <v>3140</v>
      </c>
      <c r="I897">
        <f t="shared" si="13"/>
        <v>5</v>
      </c>
      <c r="J897" t="s">
        <v>121</v>
      </c>
      <c r="K897" t="str" cm="1">
        <f t="array" ref="K897">_xlfn.SWITCH(TRIM(UPPER(J897)),
"BUSINESS", "Short Stay",
"CONFERENCE", "Medium Stay",
"VACATION", "Iong Stay",
"HOLIDAY", "Long Stay",
"V", "Leisure",
"UNKNOWN", "Unknown",
"Other")</f>
        <v>Iong Stay</v>
      </c>
    </row>
    <row r="898" spans="1:11" x14ac:dyDescent="0.3">
      <c r="A898" t="s">
        <v>3141</v>
      </c>
      <c r="B898" t="s">
        <v>306</v>
      </c>
      <c r="C898" t="s">
        <v>75</v>
      </c>
      <c r="D898" t="s">
        <v>1683</v>
      </c>
      <c r="E898" t="s">
        <v>156</v>
      </c>
      <c r="F898" t="s">
        <v>3142</v>
      </c>
      <c r="G898" t="s">
        <v>309</v>
      </c>
      <c r="H898" t="s">
        <v>735</v>
      </c>
      <c r="I898">
        <f t="shared" si="13"/>
        <v>1</v>
      </c>
      <c r="J898" t="s">
        <v>27</v>
      </c>
      <c r="K898" t="str" cm="1">
        <f t="array" ref="K898">_xlfn.SWITCH(TRIM(UPPER(J898)),
"BUSINESS", "Short Stay",
"CONFERENCE", "Medium Stay",
"VACATION", "Iong Stay",
"HOLIDAY", "Long Stay",
"V", "Leisure",
"UNKNOWN", "Unknown",
"Other")</f>
        <v>Medium Stay</v>
      </c>
    </row>
    <row r="899" spans="1:11" x14ac:dyDescent="0.3">
      <c r="A899" t="s">
        <v>3143</v>
      </c>
      <c r="B899" t="s">
        <v>1714</v>
      </c>
      <c r="C899" t="s">
        <v>54</v>
      </c>
      <c r="D899" t="s">
        <v>3144</v>
      </c>
      <c r="E899" t="s">
        <v>77</v>
      </c>
      <c r="F899" t="s">
        <v>3145</v>
      </c>
      <c r="G899" t="s">
        <v>58</v>
      </c>
      <c r="H899" t="s">
        <v>204</v>
      </c>
      <c r="I899">
        <f t="shared" ref="I899:I962" si="14">H899-G899</f>
        <v>4</v>
      </c>
      <c r="J899" t="s">
        <v>27</v>
      </c>
      <c r="K899" t="str" cm="1">
        <f t="array" ref="K899">_xlfn.SWITCH(TRIM(UPPER(J899)),
"BUSINESS", "Short Stay",
"CONFERENCE", "Medium Stay",
"VACATION", "Iong Stay",
"HOLIDAY", "Long Stay",
"V", "Leisure",
"UNKNOWN", "Unknown",
"Other")</f>
        <v>Medium Stay</v>
      </c>
    </row>
    <row r="900" spans="1:11" x14ac:dyDescent="0.3">
      <c r="A900" t="s">
        <v>3146</v>
      </c>
      <c r="B900" t="s">
        <v>697</v>
      </c>
      <c r="C900" t="s">
        <v>83</v>
      </c>
      <c r="D900" t="s">
        <v>3147</v>
      </c>
      <c r="E900" t="s">
        <v>176</v>
      </c>
      <c r="F900" t="s">
        <v>3148</v>
      </c>
      <c r="G900" t="s">
        <v>700</v>
      </c>
      <c r="H900" t="s">
        <v>2516</v>
      </c>
      <c r="I900">
        <f t="shared" si="14"/>
        <v>1</v>
      </c>
      <c r="J900" t="s">
        <v>121</v>
      </c>
      <c r="K900" t="str" cm="1">
        <f t="array" ref="K900">_xlfn.SWITCH(TRIM(UPPER(J900)),
"BUSINESS", "Short Stay",
"CONFERENCE", "Medium Stay",
"VACATION", "Iong Stay",
"HOLIDAY", "Long Stay",
"V", "Leisure",
"UNKNOWN", "Unknown",
"Other")</f>
        <v>Iong Stay</v>
      </c>
    </row>
    <row r="901" spans="1:11" x14ac:dyDescent="0.3">
      <c r="A901" t="s">
        <v>3149</v>
      </c>
      <c r="B901" t="s">
        <v>1156</v>
      </c>
      <c r="C901" t="s">
        <v>97</v>
      </c>
      <c r="D901" t="s">
        <v>557</v>
      </c>
      <c r="E901" t="s">
        <v>117</v>
      </c>
      <c r="F901" t="s">
        <v>3150</v>
      </c>
      <c r="G901" t="s">
        <v>1159</v>
      </c>
      <c r="H901" t="s">
        <v>16</v>
      </c>
      <c r="I901">
        <f t="shared" si="14"/>
        <v>1</v>
      </c>
      <c r="J901" t="s">
        <v>27</v>
      </c>
      <c r="K901" t="str" cm="1">
        <f t="array" ref="K901">_xlfn.SWITCH(TRIM(UPPER(J901)),
"BUSINESS", "Short Stay",
"CONFERENCE", "Medium Stay",
"VACATION", "Iong Stay",
"HOLIDAY", "Long Stay",
"V", "Leisure",
"UNKNOWN", "Unknown",
"Other")</f>
        <v>Medium Stay</v>
      </c>
    </row>
    <row r="902" spans="1:11" x14ac:dyDescent="0.3">
      <c r="A902" t="s">
        <v>3151</v>
      </c>
      <c r="B902" t="s">
        <v>418</v>
      </c>
      <c r="C902" t="s">
        <v>21</v>
      </c>
      <c r="D902" t="s">
        <v>3152</v>
      </c>
      <c r="E902" t="s">
        <v>77</v>
      </c>
      <c r="F902" t="s">
        <v>3153</v>
      </c>
      <c r="G902" t="s">
        <v>421</v>
      </c>
      <c r="H902" t="s">
        <v>422</v>
      </c>
      <c r="I902">
        <f t="shared" si="14"/>
        <v>3</v>
      </c>
      <c r="J902" t="s">
        <v>27</v>
      </c>
      <c r="K902" t="str" cm="1">
        <f t="array" ref="K902">_xlfn.SWITCH(TRIM(UPPER(J902)),
"BUSINESS", "Short Stay",
"CONFERENCE", "Medium Stay",
"VACATION", "Iong Stay",
"HOLIDAY", "Long Stay",
"V", "Leisure",
"UNKNOWN", "Unknown",
"Other")</f>
        <v>Medium Stay</v>
      </c>
    </row>
    <row r="903" spans="1:11" x14ac:dyDescent="0.3">
      <c r="A903" t="s">
        <v>3154</v>
      </c>
      <c r="B903" t="s">
        <v>1757</v>
      </c>
      <c r="C903" t="s">
        <v>75</v>
      </c>
      <c r="D903" t="s">
        <v>2248</v>
      </c>
      <c r="E903" t="s">
        <v>14</v>
      </c>
      <c r="F903" t="s">
        <v>3155</v>
      </c>
      <c r="G903" t="s">
        <v>1759</v>
      </c>
      <c r="H903" t="s">
        <v>1347</v>
      </c>
      <c r="I903">
        <f t="shared" si="14"/>
        <v>3</v>
      </c>
      <c r="J903" t="s">
        <v>44</v>
      </c>
      <c r="K903" t="str" cm="1">
        <f t="array" ref="K903">_xlfn.SWITCH(TRIM(UPPER(J903)),
"BUSINESS", "Short Stay",
"CONFERENCE", "Medium Stay",
"VACATION", "Iong Stay",
"HOLIDAY", "Long Stay",
"V", "Leisure",
"UNKNOWN", "Unknown",
"Other")</f>
        <v>Other</v>
      </c>
    </row>
    <row r="904" spans="1:11" x14ac:dyDescent="0.3">
      <c r="A904" t="s">
        <v>3156</v>
      </c>
      <c r="B904" t="s">
        <v>565</v>
      </c>
      <c r="C904" t="s">
        <v>61</v>
      </c>
      <c r="D904" t="s">
        <v>1802</v>
      </c>
      <c r="E904" t="s">
        <v>201</v>
      </c>
      <c r="F904" t="s">
        <v>3157</v>
      </c>
      <c r="G904" t="s">
        <v>568</v>
      </c>
      <c r="H904" t="s">
        <v>1085</v>
      </c>
      <c r="I904">
        <f t="shared" si="14"/>
        <v>5</v>
      </c>
      <c r="J904" t="s">
        <v>121</v>
      </c>
      <c r="K904" t="str" cm="1">
        <f t="array" ref="K904">_xlfn.SWITCH(TRIM(UPPER(J904)),
"BUSINESS", "Short Stay",
"CONFERENCE", "Medium Stay",
"VACATION", "Iong Stay",
"HOLIDAY", "Long Stay",
"V", "Leisure",
"UNKNOWN", "Unknown",
"Other")</f>
        <v>Iong Stay</v>
      </c>
    </row>
    <row r="905" spans="1:11" x14ac:dyDescent="0.3">
      <c r="A905" t="s">
        <v>3158</v>
      </c>
      <c r="B905" t="s">
        <v>2423</v>
      </c>
      <c r="C905" t="s">
        <v>174</v>
      </c>
      <c r="D905" t="s">
        <v>3159</v>
      </c>
      <c r="E905" t="s">
        <v>40</v>
      </c>
      <c r="F905" t="s">
        <v>3160</v>
      </c>
      <c r="G905" t="s">
        <v>621</v>
      </c>
      <c r="H905" t="s">
        <v>826</v>
      </c>
      <c r="I905">
        <f t="shared" si="14"/>
        <v>3</v>
      </c>
      <c r="J905" t="s">
        <v>44</v>
      </c>
      <c r="K905" t="str" cm="1">
        <f t="array" ref="K905">_xlfn.SWITCH(TRIM(UPPER(J905)),
"BUSINESS", "Short Stay",
"CONFERENCE", "Medium Stay",
"VACATION", "Iong Stay",
"HOLIDAY", "Long Stay",
"V", "Leisure",
"UNKNOWN", "Unknown",
"Other")</f>
        <v>Other</v>
      </c>
    </row>
    <row r="906" spans="1:11" x14ac:dyDescent="0.3">
      <c r="A906" t="s">
        <v>3161</v>
      </c>
      <c r="B906" t="s">
        <v>648</v>
      </c>
      <c r="C906" t="s">
        <v>12</v>
      </c>
      <c r="D906" t="s">
        <v>3162</v>
      </c>
      <c r="E906" t="s">
        <v>314</v>
      </c>
      <c r="F906" t="s">
        <v>3163</v>
      </c>
      <c r="G906" t="s">
        <v>572</v>
      </c>
      <c r="H906" t="s">
        <v>232</v>
      </c>
      <c r="I906">
        <f t="shared" si="14"/>
        <v>3</v>
      </c>
      <c r="J906" t="s">
        <v>18</v>
      </c>
      <c r="K906" t="str" cm="1">
        <f t="array" ref="K906">_xlfn.SWITCH(TRIM(UPPER(J906)),
"BUSINESS", "Short Stay",
"CONFERENCE", "Medium Stay",
"VACATION", "Iong Stay",
"HOLIDAY", "Long Stay",
"V", "Leisure",
"UNKNOWN", "Unknown",
"Other")</f>
        <v>Short Stay</v>
      </c>
    </row>
    <row r="907" spans="1:11" x14ac:dyDescent="0.3">
      <c r="A907" t="s">
        <v>3164</v>
      </c>
      <c r="B907" t="s">
        <v>590</v>
      </c>
      <c r="C907" t="s">
        <v>54</v>
      </c>
      <c r="D907" t="s">
        <v>3165</v>
      </c>
      <c r="E907" t="s">
        <v>546</v>
      </c>
      <c r="F907" t="s">
        <v>3166</v>
      </c>
      <c r="G907" t="s">
        <v>593</v>
      </c>
      <c r="H907" t="s">
        <v>594</v>
      </c>
      <c r="I907">
        <f t="shared" si="14"/>
        <v>1</v>
      </c>
      <c r="J907" t="s">
        <v>18</v>
      </c>
      <c r="K907" t="str" cm="1">
        <f t="array" ref="K907">_xlfn.SWITCH(TRIM(UPPER(J907)),
"BUSINESS", "Short Stay",
"CONFERENCE", "Medium Stay",
"VACATION", "Iong Stay",
"HOLIDAY", "Long Stay",
"V", "Leisure",
"UNKNOWN", "Unknown",
"Other")</f>
        <v>Short Stay</v>
      </c>
    </row>
    <row r="908" spans="1:11" x14ac:dyDescent="0.3">
      <c r="A908" t="s">
        <v>3167</v>
      </c>
      <c r="B908" t="s">
        <v>3046</v>
      </c>
      <c r="C908" t="s">
        <v>61</v>
      </c>
      <c r="D908" t="s">
        <v>2546</v>
      </c>
      <c r="E908" t="s">
        <v>314</v>
      </c>
      <c r="F908" t="s">
        <v>3168</v>
      </c>
      <c r="G908" t="s">
        <v>1589</v>
      </c>
      <c r="H908" t="s">
        <v>1759</v>
      </c>
      <c r="I908">
        <f t="shared" si="14"/>
        <v>3</v>
      </c>
      <c r="J908" t="s">
        <v>27</v>
      </c>
      <c r="K908" t="str" cm="1">
        <f t="array" ref="K908">_xlfn.SWITCH(TRIM(UPPER(J908)),
"BUSINESS", "Short Stay",
"CONFERENCE", "Medium Stay",
"VACATION", "Iong Stay",
"HOLIDAY", "Long Stay",
"V", "Leisure",
"UNKNOWN", "Unknown",
"Other")</f>
        <v>Medium Stay</v>
      </c>
    </row>
    <row r="909" spans="1:11" x14ac:dyDescent="0.3">
      <c r="A909" t="s">
        <v>3169</v>
      </c>
      <c r="B909" t="s">
        <v>2153</v>
      </c>
      <c r="C909" t="s">
        <v>61</v>
      </c>
      <c r="D909" t="s">
        <v>1377</v>
      </c>
      <c r="E909" t="s">
        <v>85</v>
      </c>
      <c r="F909" t="s">
        <v>3170</v>
      </c>
      <c r="G909" t="s">
        <v>72</v>
      </c>
      <c r="H909" t="s">
        <v>25</v>
      </c>
      <c r="I909">
        <f t="shared" si="14"/>
        <v>1</v>
      </c>
      <c r="J909" t="s">
        <v>121</v>
      </c>
      <c r="K909" t="str" cm="1">
        <f t="array" ref="K909">_xlfn.SWITCH(TRIM(UPPER(J909)),
"BUSINESS", "Short Stay",
"CONFERENCE", "Medium Stay",
"VACATION", "Iong Stay",
"HOLIDAY", "Long Stay",
"V", "Leisure",
"UNKNOWN", "Unknown",
"Other")</f>
        <v>Iong Stay</v>
      </c>
    </row>
    <row r="910" spans="1:11" x14ac:dyDescent="0.3">
      <c r="A910" t="s">
        <v>3171</v>
      </c>
      <c r="B910" t="s">
        <v>2503</v>
      </c>
      <c r="C910" t="s">
        <v>97</v>
      </c>
      <c r="D910" t="s">
        <v>2403</v>
      </c>
      <c r="E910" t="s">
        <v>546</v>
      </c>
      <c r="F910" t="s">
        <v>3172</v>
      </c>
      <c r="G910" t="s">
        <v>2505</v>
      </c>
      <c r="H910" t="s">
        <v>297</v>
      </c>
      <c r="I910">
        <f t="shared" si="14"/>
        <v>1</v>
      </c>
      <c r="J910" t="s">
        <v>121</v>
      </c>
      <c r="K910" t="str" cm="1">
        <f t="array" ref="K910">_xlfn.SWITCH(TRIM(UPPER(J910)),
"BUSINESS", "Short Stay",
"CONFERENCE", "Medium Stay",
"VACATION", "Iong Stay",
"HOLIDAY", "Long Stay",
"V", "Leisure",
"UNKNOWN", "Unknown",
"Other")</f>
        <v>Iong Stay</v>
      </c>
    </row>
    <row r="911" spans="1:11" x14ac:dyDescent="0.3">
      <c r="A911" t="s">
        <v>3173</v>
      </c>
      <c r="B911" t="s">
        <v>3174</v>
      </c>
      <c r="C911" t="s">
        <v>38</v>
      </c>
      <c r="D911" t="s">
        <v>784</v>
      </c>
      <c r="E911" t="s">
        <v>32</v>
      </c>
      <c r="F911" t="s">
        <v>3175</v>
      </c>
      <c r="G911" t="s">
        <v>1407</v>
      </c>
      <c r="H911" t="s">
        <v>327</v>
      </c>
      <c r="I911">
        <f t="shared" si="14"/>
        <v>4</v>
      </c>
      <c r="J911" t="s">
        <v>121</v>
      </c>
      <c r="K911" t="str" cm="1">
        <f t="array" ref="K911">_xlfn.SWITCH(TRIM(UPPER(J911)),
"BUSINESS", "Short Stay",
"CONFERENCE", "Medium Stay",
"VACATION", "Iong Stay",
"HOLIDAY", "Long Stay",
"V", "Leisure",
"UNKNOWN", "Unknown",
"Other")</f>
        <v>Iong Stay</v>
      </c>
    </row>
    <row r="912" spans="1:11" x14ac:dyDescent="0.3">
      <c r="A912" t="s">
        <v>3176</v>
      </c>
      <c r="B912" t="s">
        <v>1705</v>
      </c>
      <c r="C912" t="s">
        <v>38</v>
      </c>
      <c r="D912" t="s">
        <v>3177</v>
      </c>
      <c r="E912" t="s">
        <v>40</v>
      </c>
      <c r="F912" t="s">
        <v>3178</v>
      </c>
      <c r="G912" t="s">
        <v>1371</v>
      </c>
      <c r="H912" t="s">
        <v>620</v>
      </c>
      <c r="I912">
        <f t="shared" si="14"/>
        <v>1</v>
      </c>
      <c r="J912" t="s">
        <v>121</v>
      </c>
      <c r="K912" t="str" cm="1">
        <f t="array" ref="K912">_xlfn.SWITCH(TRIM(UPPER(J912)),
"BUSINESS", "Short Stay",
"CONFERENCE", "Medium Stay",
"VACATION", "Iong Stay",
"HOLIDAY", "Long Stay",
"V", "Leisure",
"UNKNOWN", "Unknown",
"Other")</f>
        <v>Iong Stay</v>
      </c>
    </row>
    <row r="913" spans="1:11" x14ac:dyDescent="0.3">
      <c r="A913" t="s">
        <v>3179</v>
      </c>
      <c r="B913" t="s">
        <v>541</v>
      </c>
      <c r="C913" t="s">
        <v>97</v>
      </c>
      <c r="D913" t="s">
        <v>2883</v>
      </c>
      <c r="E913" t="s">
        <v>546</v>
      </c>
      <c r="F913" t="s">
        <v>3180</v>
      </c>
      <c r="G913" t="s">
        <v>17</v>
      </c>
      <c r="H913" t="s">
        <v>1167</v>
      </c>
      <c r="I913">
        <f t="shared" si="14"/>
        <v>5</v>
      </c>
      <c r="J913" t="s">
        <v>121</v>
      </c>
      <c r="K913" t="str" cm="1">
        <f t="array" ref="K913">_xlfn.SWITCH(TRIM(UPPER(J913)),
"BUSINESS", "Short Stay",
"CONFERENCE", "Medium Stay",
"VACATION", "Iong Stay",
"HOLIDAY", "Long Stay",
"V", "Leisure",
"UNKNOWN", "Unknown",
"Other")</f>
        <v>Iong Stay</v>
      </c>
    </row>
    <row r="914" spans="1:11" x14ac:dyDescent="0.3">
      <c r="A914" t="s">
        <v>3181</v>
      </c>
      <c r="B914" t="s">
        <v>3182</v>
      </c>
      <c r="C914" t="s">
        <v>21</v>
      </c>
      <c r="D914" t="s">
        <v>2239</v>
      </c>
      <c r="E914" t="s">
        <v>14</v>
      </c>
      <c r="F914" t="s">
        <v>3183</v>
      </c>
      <c r="G914" t="s">
        <v>351</v>
      </c>
      <c r="H914" t="s">
        <v>1316</v>
      </c>
      <c r="I914">
        <f t="shared" si="14"/>
        <v>2</v>
      </c>
      <c r="J914" t="s">
        <v>27</v>
      </c>
      <c r="K914" t="str" cm="1">
        <f t="array" ref="K914">_xlfn.SWITCH(TRIM(UPPER(J914)),
"BUSINESS", "Short Stay",
"CONFERENCE", "Medium Stay",
"VACATION", "Iong Stay",
"HOLIDAY", "Long Stay",
"V", "Leisure",
"UNKNOWN", "Unknown",
"Other")</f>
        <v>Medium Stay</v>
      </c>
    </row>
    <row r="915" spans="1:11" x14ac:dyDescent="0.3">
      <c r="A915" t="s">
        <v>3184</v>
      </c>
      <c r="B915" t="s">
        <v>2043</v>
      </c>
      <c r="C915" t="s">
        <v>12</v>
      </c>
      <c r="D915" t="s">
        <v>3185</v>
      </c>
      <c r="E915" t="s">
        <v>314</v>
      </c>
      <c r="F915" t="s">
        <v>3186</v>
      </c>
      <c r="G915" t="s">
        <v>1226</v>
      </c>
      <c r="H915" t="s">
        <v>719</v>
      </c>
      <c r="I915">
        <f t="shared" si="14"/>
        <v>2</v>
      </c>
      <c r="J915" t="s">
        <v>18</v>
      </c>
      <c r="K915" t="str" cm="1">
        <f t="array" ref="K915">_xlfn.SWITCH(TRIM(UPPER(J915)),
"BUSINESS", "Short Stay",
"CONFERENCE", "Medium Stay",
"VACATION", "Iong Stay",
"HOLIDAY", "Long Stay",
"V", "Leisure",
"UNKNOWN", "Unknown",
"Other")</f>
        <v>Short Stay</v>
      </c>
    </row>
    <row r="916" spans="1:11" x14ac:dyDescent="0.3">
      <c r="A916" t="s">
        <v>3187</v>
      </c>
      <c r="B916" t="s">
        <v>879</v>
      </c>
      <c r="C916" t="s">
        <v>54</v>
      </c>
      <c r="D916" t="s">
        <v>320</v>
      </c>
      <c r="E916" t="s">
        <v>201</v>
      </c>
      <c r="F916" t="s">
        <v>3188</v>
      </c>
      <c r="G916" t="s">
        <v>179</v>
      </c>
      <c r="H916" t="s">
        <v>152</v>
      </c>
      <c r="I916">
        <f t="shared" si="14"/>
        <v>5</v>
      </c>
      <c r="J916" t="s">
        <v>27</v>
      </c>
      <c r="K916" t="str" cm="1">
        <f t="array" ref="K916">_xlfn.SWITCH(TRIM(UPPER(J916)),
"BUSINESS", "Short Stay",
"CONFERENCE", "Medium Stay",
"VACATION", "Iong Stay",
"HOLIDAY", "Long Stay",
"V", "Leisure",
"UNKNOWN", "Unknown",
"Other")</f>
        <v>Medium Stay</v>
      </c>
    </row>
    <row r="917" spans="1:11" x14ac:dyDescent="0.3">
      <c r="A917" t="s">
        <v>3189</v>
      </c>
      <c r="B917" t="s">
        <v>2043</v>
      </c>
      <c r="C917" t="s">
        <v>54</v>
      </c>
      <c r="D917" t="s">
        <v>3190</v>
      </c>
      <c r="E917" t="s">
        <v>458</v>
      </c>
      <c r="F917" t="s">
        <v>3191</v>
      </c>
      <c r="G917" t="s">
        <v>1226</v>
      </c>
      <c r="H917" t="s">
        <v>719</v>
      </c>
      <c r="I917">
        <f t="shared" si="14"/>
        <v>2</v>
      </c>
      <c r="J917" t="s">
        <v>27</v>
      </c>
      <c r="K917" t="str" cm="1">
        <f t="array" ref="K917">_xlfn.SWITCH(TRIM(UPPER(J917)),
"BUSINESS", "Short Stay",
"CONFERENCE", "Medium Stay",
"VACATION", "Iong Stay",
"HOLIDAY", "Long Stay",
"V", "Leisure",
"UNKNOWN", "Unknown",
"Other")</f>
        <v>Medium Stay</v>
      </c>
    </row>
    <row r="918" spans="1:11" x14ac:dyDescent="0.3">
      <c r="A918" t="s">
        <v>3192</v>
      </c>
      <c r="B918" t="s">
        <v>1597</v>
      </c>
      <c r="C918" t="s">
        <v>97</v>
      </c>
      <c r="D918" t="s">
        <v>1978</v>
      </c>
      <c r="E918" t="s">
        <v>77</v>
      </c>
      <c r="F918" t="s">
        <v>3193</v>
      </c>
      <c r="G918" t="s">
        <v>304</v>
      </c>
      <c r="H918" t="s">
        <v>1100</v>
      </c>
      <c r="I918">
        <f t="shared" si="14"/>
        <v>1</v>
      </c>
      <c r="J918" t="s">
        <v>27</v>
      </c>
      <c r="K918" t="str" cm="1">
        <f t="array" ref="K918">_xlfn.SWITCH(TRIM(UPPER(J918)),
"BUSINESS", "Short Stay",
"CONFERENCE", "Medium Stay",
"VACATION", "Iong Stay",
"HOLIDAY", "Long Stay",
"V", "Leisure",
"UNKNOWN", "Unknown",
"Other")</f>
        <v>Medium Stay</v>
      </c>
    </row>
    <row r="919" spans="1:11" x14ac:dyDescent="0.3">
      <c r="A919" t="s">
        <v>3194</v>
      </c>
      <c r="B919" t="s">
        <v>1178</v>
      </c>
      <c r="C919" t="s">
        <v>12</v>
      </c>
      <c r="D919" t="s">
        <v>2383</v>
      </c>
      <c r="E919" t="s">
        <v>430</v>
      </c>
      <c r="F919" t="s">
        <v>3195</v>
      </c>
      <c r="G919" t="s">
        <v>1181</v>
      </c>
      <c r="H919" t="s">
        <v>399</v>
      </c>
      <c r="I919">
        <f t="shared" si="14"/>
        <v>5</v>
      </c>
      <c r="J919" t="s">
        <v>27</v>
      </c>
      <c r="K919" t="str" cm="1">
        <f t="array" ref="K919">_xlfn.SWITCH(TRIM(UPPER(J919)),
"BUSINESS", "Short Stay",
"CONFERENCE", "Medium Stay",
"VACATION", "Iong Stay",
"HOLIDAY", "Long Stay",
"V", "Leisure",
"UNKNOWN", "Unknown",
"Other")</f>
        <v>Medium Stay</v>
      </c>
    </row>
    <row r="920" spans="1:11" x14ac:dyDescent="0.3">
      <c r="A920" t="s">
        <v>3196</v>
      </c>
      <c r="B920" t="s">
        <v>347</v>
      </c>
      <c r="C920" t="s">
        <v>75</v>
      </c>
      <c r="D920" t="s">
        <v>2889</v>
      </c>
      <c r="E920" t="s">
        <v>458</v>
      </c>
      <c r="F920" t="s">
        <v>3197</v>
      </c>
      <c r="G920" t="s">
        <v>350</v>
      </c>
      <c r="H920" t="s">
        <v>3198</v>
      </c>
      <c r="I920">
        <f t="shared" si="14"/>
        <v>5</v>
      </c>
      <c r="J920" t="s">
        <v>44</v>
      </c>
      <c r="K920" t="str" cm="1">
        <f t="array" ref="K920">_xlfn.SWITCH(TRIM(UPPER(J920)),
"BUSINESS", "Short Stay",
"CONFERENCE", "Medium Stay",
"VACATION", "Iong Stay",
"HOLIDAY", "Long Stay",
"V", "Leisure",
"UNKNOWN", "Unknown",
"Other")</f>
        <v>Other</v>
      </c>
    </row>
    <row r="921" spans="1:11" x14ac:dyDescent="0.3">
      <c r="A921" t="s">
        <v>3199</v>
      </c>
      <c r="B921" t="s">
        <v>147</v>
      </c>
      <c r="C921" t="s">
        <v>61</v>
      </c>
      <c r="D921" t="s">
        <v>1507</v>
      </c>
      <c r="E921" t="s">
        <v>201</v>
      </c>
      <c r="F921" t="s">
        <v>3200</v>
      </c>
      <c r="G921" t="s">
        <v>151</v>
      </c>
      <c r="H921" t="s">
        <v>2840</v>
      </c>
      <c r="I921">
        <f t="shared" si="14"/>
        <v>5</v>
      </c>
      <c r="J921" t="s">
        <v>44</v>
      </c>
      <c r="K921" t="str" cm="1">
        <f t="array" ref="K921">_xlfn.SWITCH(TRIM(UPPER(J921)),
"BUSINESS", "Short Stay",
"CONFERENCE", "Medium Stay",
"VACATION", "Iong Stay",
"HOLIDAY", "Long Stay",
"V", "Leisure",
"UNKNOWN", "Unknown",
"Other")</f>
        <v>Other</v>
      </c>
    </row>
    <row r="922" spans="1:11" x14ac:dyDescent="0.3">
      <c r="A922" t="s">
        <v>3201</v>
      </c>
      <c r="B922" t="s">
        <v>2146</v>
      </c>
      <c r="C922" t="s">
        <v>54</v>
      </c>
      <c r="D922" t="s">
        <v>1672</v>
      </c>
      <c r="E922" t="s">
        <v>149</v>
      </c>
      <c r="F922" t="s">
        <v>3202</v>
      </c>
      <c r="G922" t="s">
        <v>328</v>
      </c>
      <c r="H922" t="s">
        <v>1575</v>
      </c>
      <c r="I922">
        <f t="shared" si="14"/>
        <v>5</v>
      </c>
      <c r="J922" t="s">
        <v>18</v>
      </c>
      <c r="K922" t="str" cm="1">
        <f t="array" ref="K922">_xlfn.SWITCH(TRIM(UPPER(J922)),
"BUSINESS", "Short Stay",
"CONFERENCE", "Medium Stay",
"VACATION", "Iong Stay",
"HOLIDAY", "Long Stay",
"V", "Leisure",
"UNKNOWN", "Unknown",
"Other")</f>
        <v>Short Stay</v>
      </c>
    </row>
    <row r="923" spans="1:11" x14ac:dyDescent="0.3">
      <c r="A923" t="s">
        <v>3203</v>
      </c>
      <c r="B923" t="s">
        <v>1454</v>
      </c>
      <c r="C923" t="s">
        <v>97</v>
      </c>
      <c r="D923" t="s">
        <v>1528</v>
      </c>
      <c r="E923" t="s">
        <v>32</v>
      </c>
      <c r="F923" t="s">
        <v>3204</v>
      </c>
      <c r="G923" t="s">
        <v>1456</v>
      </c>
      <c r="H923" t="s">
        <v>1347</v>
      </c>
      <c r="I923">
        <f t="shared" si="14"/>
        <v>5</v>
      </c>
      <c r="J923" t="s">
        <v>44</v>
      </c>
      <c r="K923" t="str" cm="1">
        <f t="array" ref="K923">_xlfn.SWITCH(TRIM(UPPER(J923)),
"BUSINESS", "Short Stay",
"CONFERENCE", "Medium Stay",
"VACATION", "Iong Stay",
"HOLIDAY", "Long Stay",
"V", "Leisure",
"UNKNOWN", "Unknown",
"Other")</f>
        <v>Other</v>
      </c>
    </row>
    <row r="924" spans="1:11" x14ac:dyDescent="0.3">
      <c r="A924" t="s">
        <v>3205</v>
      </c>
      <c r="B924" t="s">
        <v>3206</v>
      </c>
      <c r="C924" t="s">
        <v>174</v>
      </c>
      <c r="D924" t="s">
        <v>3207</v>
      </c>
      <c r="E924" t="s">
        <v>85</v>
      </c>
      <c r="F924" t="s">
        <v>3208</v>
      </c>
      <c r="G924" t="s">
        <v>416</v>
      </c>
      <c r="H924" t="s">
        <v>1125</v>
      </c>
      <c r="I924">
        <f t="shared" si="14"/>
        <v>1</v>
      </c>
      <c r="J924" t="s">
        <v>18</v>
      </c>
      <c r="K924" t="str" cm="1">
        <f t="array" ref="K924">_xlfn.SWITCH(TRIM(UPPER(J924)),
"BUSINESS", "Short Stay",
"CONFERENCE", "Medium Stay",
"VACATION", "Iong Stay",
"HOLIDAY", "Long Stay",
"V", "Leisure",
"UNKNOWN", "Unknown",
"Other")</f>
        <v>Short Stay</v>
      </c>
    </row>
    <row r="925" spans="1:11" x14ac:dyDescent="0.3">
      <c r="A925" t="s">
        <v>3209</v>
      </c>
      <c r="B925" t="s">
        <v>3210</v>
      </c>
      <c r="C925" t="s">
        <v>54</v>
      </c>
      <c r="D925" t="s">
        <v>155</v>
      </c>
      <c r="E925" t="s">
        <v>69</v>
      </c>
      <c r="F925" t="s">
        <v>3211</v>
      </c>
      <c r="G925" t="s">
        <v>1260</v>
      </c>
      <c r="H925" t="s">
        <v>1026</v>
      </c>
      <c r="I925">
        <f t="shared" si="14"/>
        <v>1</v>
      </c>
      <c r="J925" t="s">
        <v>44</v>
      </c>
      <c r="K925" t="str" cm="1">
        <f t="array" ref="K925">_xlfn.SWITCH(TRIM(UPPER(J925)),
"BUSINESS", "Short Stay",
"CONFERENCE", "Medium Stay",
"VACATION", "Iong Stay",
"HOLIDAY", "Long Stay",
"V", "Leisure",
"UNKNOWN", "Unknown",
"Other")</f>
        <v>Other</v>
      </c>
    </row>
    <row r="926" spans="1:11" x14ac:dyDescent="0.3">
      <c r="A926" t="s">
        <v>3212</v>
      </c>
      <c r="B926" t="s">
        <v>741</v>
      </c>
      <c r="C926" t="s">
        <v>61</v>
      </c>
      <c r="D926" t="s">
        <v>1383</v>
      </c>
      <c r="E926" t="s">
        <v>546</v>
      </c>
      <c r="F926" t="s">
        <v>3213</v>
      </c>
      <c r="G926" t="s">
        <v>744</v>
      </c>
      <c r="H926" t="s">
        <v>677</v>
      </c>
      <c r="I926">
        <f t="shared" si="14"/>
        <v>4</v>
      </c>
      <c r="J926" t="s">
        <v>121</v>
      </c>
      <c r="K926" t="str" cm="1">
        <f t="array" ref="K926">_xlfn.SWITCH(TRIM(UPPER(J926)),
"BUSINESS", "Short Stay",
"CONFERENCE", "Medium Stay",
"VACATION", "Iong Stay",
"HOLIDAY", "Long Stay",
"V", "Leisure",
"UNKNOWN", "Unknown",
"Other")</f>
        <v>Iong Stay</v>
      </c>
    </row>
    <row r="927" spans="1:11" x14ac:dyDescent="0.3">
      <c r="A927" t="s">
        <v>3214</v>
      </c>
      <c r="B927" t="s">
        <v>1133</v>
      </c>
      <c r="C927" t="s">
        <v>12</v>
      </c>
      <c r="D927" t="s">
        <v>3215</v>
      </c>
      <c r="E927" t="s">
        <v>85</v>
      </c>
      <c r="F927" t="s">
        <v>3216</v>
      </c>
      <c r="G927" t="s">
        <v>107</v>
      </c>
      <c r="H927" t="s">
        <v>1256</v>
      </c>
      <c r="I927">
        <f t="shared" si="14"/>
        <v>5</v>
      </c>
      <c r="J927" t="s">
        <v>27</v>
      </c>
      <c r="K927" t="str" cm="1">
        <f t="array" ref="K927">_xlfn.SWITCH(TRIM(UPPER(J927)),
"BUSINESS", "Short Stay",
"CONFERENCE", "Medium Stay",
"VACATION", "Iong Stay",
"HOLIDAY", "Long Stay",
"V", "Leisure",
"UNKNOWN", "Unknown",
"Other")</f>
        <v>Medium Stay</v>
      </c>
    </row>
    <row r="928" spans="1:11" x14ac:dyDescent="0.3">
      <c r="A928" t="s">
        <v>3217</v>
      </c>
      <c r="B928" t="s">
        <v>3218</v>
      </c>
      <c r="C928" t="s">
        <v>174</v>
      </c>
      <c r="D928" t="s">
        <v>2623</v>
      </c>
      <c r="E928" t="s">
        <v>176</v>
      </c>
      <c r="F928" t="s">
        <v>3219</v>
      </c>
      <c r="G928" t="s">
        <v>3220</v>
      </c>
      <c r="H928" t="s">
        <v>190</v>
      </c>
      <c r="I928">
        <f t="shared" si="14"/>
        <v>1</v>
      </c>
      <c r="J928" t="s">
        <v>121</v>
      </c>
      <c r="K928" t="str" cm="1">
        <f t="array" ref="K928">_xlfn.SWITCH(TRIM(UPPER(J928)),
"BUSINESS", "Short Stay",
"CONFERENCE", "Medium Stay",
"VACATION", "Iong Stay",
"HOLIDAY", "Long Stay",
"V", "Leisure",
"UNKNOWN", "Unknown",
"Other")</f>
        <v>Iong Stay</v>
      </c>
    </row>
    <row r="929" spans="1:11" x14ac:dyDescent="0.3">
      <c r="A929" t="s">
        <v>3221</v>
      </c>
      <c r="B929" t="s">
        <v>257</v>
      </c>
      <c r="C929" t="s">
        <v>97</v>
      </c>
      <c r="D929" t="s">
        <v>1766</v>
      </c>
      <c r="E929" t="s">
        <v>546</v>
      </c>
      <c r="F929" t="s">
        <v>3222</v>
      </c>
      <c r="G929" t="s">
        <v>260</v>
      </c>
      <c r="H929" t="s">
        <v>65</v>
      </c>
      <c r="I929">
        <f t="shared" si="14"/>
        <v>5</v>
      </c>
      <c r="J929" t="s">
        <v>27</v>
      </c>
      <c r="K929" t="str" cm="1">
        <f t="array" ref="K929">_xlfn.SWITCH(TRIM(UPPER(J929)),
"BUSINESS", "Short Stay",
"CONFERENCE", "Medium Stay",
"VACATION", "Iong Stay",
"HOLIDAY", "Long Stay",
"V", "Leisure",
"UNKNOWN", "Unknown",
"Other")</f>
        <v>Medium Stay</v>
      </c>
    </row>
    <row r="930" spans="1:11" x14ac:dyDescent="0.3">
      <c r="A930" t="s">
        <v>3223</v>
      </c>
      <c r="B930" t="s">
        <v>199</v>
      </c>
      <c r="C930" t="s">
        <v>12</v>
      </c>
      <c r="D930" t="s">
        <v>130</v>
      </c>
      <c r="E930" t="s">
        <v>156</v>
      </c>
      <c r="F930" t="s">
        <v>3224</v>
      </c>
      <c r="G930" t="s">
        <v>203</v>
      </c>
      <c r="H930" t="s">
        <v>204</v>
      </c>
      <c r="I930">
        <f t="shared" si="14"/>
        <v>5</v>
      </c>
      <c r="J930" t="s">
        <v>44</v>
      </c>
      <c r="K930" t="str" cm="1">
        <f t="array" ref="K930">_xlfn.SWITCH(TRIM(UPPER(J930)),
"BUSINESS", "Short Stay",
"CONFERENCE", "Medium Stay",
"VACATION", "Iong Stay",
"HOLIDAY", "Long Stay",
"V", "Leisure",
"UNKNOWN", "Unknown",
"Other")</f>
        <v>Other</v>
      </c>
    </row>
    <row r="931" spans="1:11" x14ac:dyDescent="0.3">
      <c r="A931" t="s">
        <v>3225</v>
      </c>
      <c r="B931" t="s">
        <v>702</v>
      </c>
      <c r="C931" t="s">
        <v>97</v>
      </c>
      <c r="D931" t="s">
        <v>2805</v>
      </c>
      <c r="E931" t="s">
        <v>48</v>
      </c>
      <c r="F931" t="s">
        <v>3226</v>
      </c>
      <c r="G931" t="s">
        <v>705</v>
      </c>
      <c r="H931" t="s">
        <v>132</v>
      </c>
      <c r="I931">
        <f t="shared" si="14"/>
        <v>2</v>
      </c>
      <c r="J931" t="s">
        <v>27</v>
      </c>
      <c r="K931" t="str" cm="1">
        <f t="array" ref="K931">_xlfn.SWITCH(TRIM(UPPER(J931)),
"BUSINESS", "Short Stay",
"CONFERENCE", "Medium Stay",
"VACATION", "Iong Stay",
"HOLIDAY", "Long Stay",
"V", "Leisure",
"UNKNOWN", "Unknown",
"Other")</f>
        <v>Medium Stay</v>
      </c>
    </row>
    <row r="932" spans="1:11" x14ac:dyDescent="0.3">
      <c r="A932" t="s">
        <v>3227</v>
      </c>
      <c r="B932" t="s">
        <v>596</v>
      </c>
      <c r="C932" t="s">
        <v>12</v>
      </c>
      <c r="D932" t="s">
        <v>3228</v>
      </c>
      <c r="E932" t="s">
        <v>85</v>
      </c>
      <c r="F932" t="s">
        <v>3229</v>
      </c>
      <c r="G932" t="s">
        <v>599</v>
      </c>
      <c r="H932" t="s">
        <v>204</v>
      </c>
      <c r="I932">
        <f t="shared" si="14"/>
        <v>3</v>
      </c>
      <c r="J932" t="s">
        <v>44</v>
      </c>
      <c r="K932" t="str" cm="1">
        <f t="array" ref="K932">_xlfn.SWITCH(TRIM(UPPER(J932)),
"BUSINESS", "Short Stay",
"CONFERENCE", "Medium Stay",
"VACATION", "Iong Stay",
"HOLIDAY", "Long Stay",
"V", "Leisure",
"UNKNOWN", "Unknown",
"Other")</f>
        <v>Other</v>
      </c>
    </row>
    <row r="933" spans="1:11" x14ac:dyDescent="0.3">
      <c r="A933" t="s">
        <v>3230</v>
      </c>
      <c r="B933" t="s">
        <v>1093</v>
      </c>
      <c r="C933" t="s">
        <v>174</v>
      </c>
      <c r="D933" t="s">
        <v>819</v>
      </c>
      <c r="E933" t="s">
        <v>156</v>
      </c>
      <c r="F933" t="s">
        <v>3231</v>
      </c>
      <c r="G933" t="s">
        <v>1096</v>
      </c>
      <c r="H933" t="s">
        <v>719</v>
      </c>
      <c r="I933">
        <f t="shared" si="14"/>
        <v>5</v>
      </c>
      <c r="J933" t="s">
        <v>44</v>
      </c>
      <c r="K933" t="str" cm="1">
        <f t="array" ref="K933">_xlfn.SWITCH(TRIM(UPPER(J933)),
"BUSINESS", "Short Stay",
"CONFERENCE", "Medium Stay",
"VACATION", "Iong Stay",
"HOLIDAY", "Long Stay",
"V", "Leisure",
"UNKNOWN", "Unknown",
"Other")</f>
        <v>Other</v>
      </c>
    </row>
    <row r="934" spans="1:11" x14ac:dyDescent="0.3">
      <c r="A934" t="s">
        <v>3232</v>
      </c>
      <c r="B934" t="s">
        <v>3174</v>
      </c>
      <c r="C934" t="s">
        <v>75</v>
      </c>
      <c r="D934" t="s">
        <v>1187</v>
      </c>
      <c r="E934" t="s">
        <v>149</v>
      </c>
      <c r="F934" t="s">
        <v>3233</v>
      </c>
      <c r="G934" t="s">
        <v>1407</v>
      </c>
      <c r="H934" t="s">
        <v>780</v>
      </c>
      <c r="I934">
        <f t="shared" si="14"/>
        <v>3</v>
      </c>
      <c r="J934" t="s">
        <v>18</v>
      </c>
      <c r="K934" t="str" cm="1">
        <f t="array" ref="K934">_xlfn.SWITCH(TRIM(UPPER(J934)),
"BUSINESS", "Short Stay",
"CONFERENCE", "Medium Stay",
"VACATION", "Iong Stay",
"HOLIDAY", "Long Stay",
"V", "Leisure",
"UNKNOWN", "Unknown",
"Other")</f>
        <v>Short Stay</v>
      </c>
    </row>
    <row r="935" spans="1:11" x14ac:dyDescent="0.3">
      <c r="A935" t="s">
        <v>3234</v>
      </c>
      <c r="B935" t="s">
        <v>565</v>
      </c>
      <c r="C935" t="s">
        <v>54</v>
      </c>
      <c r="D935" t="s">
        <v>3235</v>
      </c>
      <c r="E935" t="s">
        <v>458</v>
      </c>
      <c r="F935" t="s">
        <v>3236</v>
      </c>
      <c r="G935" t="s">
        <v>568</v>
      </c>
      <c r="H935" t="s">
        <v>553</v>
      </c>
      <c r="I935">
        <f t="shared" si="14"/>
        <v>3</v>
      </c>
      <c r="J935" t="s">
        <v>44</v>
      </c>
      <c r="K935" t="str" cm="1">
        <f t="array" ref="K935">_xlfn.SWITCH(TRIM(UPPER(J935)),
"BUSINESS", "Short Stay",
"CONFERENCE", "Medium Stay",
"VACATION", "Iong Stay",
"HOLIDAY", "Long Stay",
"V", "Leisure",
"UNKNOWN", "Unknown",
"Other")</f>
        <v>Other</v>
      </c>
    </row>
    <row r="936" spans="1:11" x14ac:dyDescent="0.3">
      <c r="A936" t="s">
        <v>3237</v>
      </c>
      <c r="B936" t="s">
        <v>135</v>
      </c>
      <c r="C936" t="s">
        <v>174</v>
      </c>
      <c r="D936" t="s">
        <v>2583</v>
      </c>
      <c r="E936" t="s">
        <v>40</v>
      </c>
      <c r="F936" t="s">
        <v>3238</v>
      </c>
      <c r="G936" t="s">
        <v>138</v>
      </c>
      <c r="H936" t="s">
        <v>572</v>
      </c>
      <c r="I936">
        <f t="shared" si="14"/>
        <v>2</v>
      </c>
      <c r="J936" t="s">
        <v>27</v>
      </c>
      <c r="K936" t="str" cm="1">
        <f t="array" ref="K936">_xlfn.SWITCH(TRIM(UPPER(J936)),
"BUSINESS", "Short Stay",
"CONFERENCE", "Medium Stay",
"VACATION", "Iong Stay",
"HOLIDAY", "Long Stay",
"V", "Leisure",
"UNKNOWN", "Unknown",
"Other")</f>
        <v>Medium Stay</v>
      </c>
    </row>
    <row r="937" spans="1:11" x14ac:dyDescent="0.3">
      <c r="A937" t="s">
        <v>3239</v>
      </c>
      <c r="B937" t="s">
        <v>1373</v>
      </c>
      <c r="C937" t="s">
        <v>61</v>
      </c>
      <c r="D937" t="s">
        <v>2353</v>
      </c>
      <c r="E937" t="s">
        <v>156</v>
      </c>
      <c r="F937" t="s">
        <v>3240</v>
      </c>
      <c r="G937" t="s">
        <v>720</v>
      </c>
      <c r="H937" t="s">
        <v>839</v>
      </c>
      <c r="I937">
        <f t="shared" si="14"/>
        <v>4</v>
      </c>
      <c r="J937" t="s">
        <v>44</v>
      </c>
      <c r="K937" t="str" cm="1">
        <f t="array" ref="K937">_xlfn.SWITCH(TRIM(UPPER(J937)),
"BUSINESS", "Short Stay",
"CONFERENCE", "Medium Stay",
"VACATION", "Iong Stay",
"HOLIDAY", "Long Stay",
"V", "Leisure",
"UNKNOWN", "Unknown",
"Other")</f>
        <v>Other</v>
      </c>
    </row>
    <row r="938" spans="1:11" x14ac:dyDescent="0.3">
      <c r="A938" t="s">
        <v>3241</v>
      </c>
      <c r="B938" t="s">
        <v>2187</v>
      </c>
      <c r="C938" t="s">
        <v>54</v>
      </c>
      <c r="D938" t="s">
        <v>3006</v>
      </c>
      <c r="E938" t="s">
        <v>14</v>
      </c>
      <c r="F938" t="s">
        <v>3242</v>
      </c>
      <c r="G938" t="s">
        <v>1788</v>
      </c>
      <c r="H938" t="s">
        <v>769</v>
      </c>
      <c r="I938">
        <f t="shared" si="14"/>
        <v>2</v>
      </c>
      <c r="J938" t="s">
        <v>44</v>
      </c>
      <c r="K938" t="str" cm="1">
        <f t="array" ref="K938">_xlfn.SWITCH(TRIM(UPPER(J938)),
"BUSINESS", "Short Stay",
"CONFERENCE", "Medium Stay",
"VACATION", "Iong Stay",
"HOLIDAY", "Long Stay",
"V", "Leisure",
"UNKNOWN", "Unknown",
"Other")</f>
        <v>Other</v>
      </c>
    </row>
    <row r="939" spans="1:11" x14ac:dyDescent="0.3">
      <c r="A939" t="s">
        <v>3243</v>
      </c>
      <c r="B939" t="s">
        <v>3244</v>
      </c>
      <c r="C939" t="s">
        <v>83</v>
      </c>
      <c r="D939" t="s">
        <v>2143</v>
      </c>
      <c r="E939" t="s">
        <v>546</v>
      </c>
      <c r="F939" t="s">
        <v>3245</v>
      </c>
      <c r="G939" t="s">
        <v>480</v>
      </c>
      <c r="H939" t="s">
        <v>1048</v>
      </c>
      <c r="I939">
        <f t="shared" si="14"/>
        <v>5</v>
      </c>
      <c r="J939" t="s">
        <v>18</v>
      </c>
      <c r="K939" t="str" cm="1">
        <f t="array" ref="K939">_xlfn.SWITCH(TRIM(UPPER(J939)),
"BUSINESS", "Short Stay",
"CONFERENCE", "Medium Stay",
"VACATION", "Iong Stay",
"HOLIDAY", "Long Stay",
"V", "Leisure",
"UNKNOWN", "Unknown",
"Other")</f>
        <v>Short Stay</v>
      </c>
    </row>
    <row r="940" spans="1:11" x14ac:dyDescent="0.3">
      <c r="A940" t="s">
        <v>3246</v>
      </c>
      <c r="B940" t="s">
        <v>761</v>
      </c>
      <c r="C940" t="s">
        <v>75</v>
      </c>
      <c r="D940" t="s">
        <v>3247</v>
      </c>
      <c r="E940" t="s">
        <v>546</v>
      </c>
      <c r="F940" t="s">
        <v>3248</v>
      </c>
      <c r="G940" t="s">
        <v>399</v>
      </c>
      <c r="H940" t="s">
        <v>861</v>
      </c>
      <c r="I940">
        <f t="shared" si="14"/>
        <v>2</v>
      </c>
      <c r="J940" t="s">
        <v>121</v>
      </c>
      <c r="K940" t="str" cm="1">
        <f t="array" ref="K940">_xlfn.SWITCH(TRIM(UPPER(J940)),
"BUSINESS", "Short Stay",
"CONFERENCE", "Medium Stay",
"VACATION", "Iong Stay",
"HOLIDAY", "Long Stay",
"V", "Leisure",
"UNKNOWN", "Unknown",
"Other")</f>
        <v>Iong Stay</v>
      </c>
    </row>
    <row r="941" spans="1:11" x14ac:dyDescent="0.3">
      <c r="A941" t="s">
        <v>3249</v>
      </c>
      <c r="B941" t="s">
        <v>1795</v>
      </c>
      <c r="C941" t="s">
        <v>54</v>
      </c>
      <c r="D941" t="s">
        <v>1217</v>
      </c>
      <c r="E941" t="s">
        <v>214</v>
      </c>
      <c r="F941" t="s">
        <v>3250</v>
      </c>
      <c r="G941" t="s">
        <v>1797</v>
      </c>
      <c r="H941" t="s">
        <v>726</v>
      </c>
      <c r="I941">
        <f t="shared" si="14"/>
        <v>4</v>
      </c>
      <c r="J941" t="s">
        <v>121</v>
      </c>
      <c r="K941" t="str" cm="1">
        <f t="array" ref="K941">_xlfn.SWITCH(TRIM(UPPER(J941)),
"BUSINESS", "Short Stay",
"CONFERENCE", "Medium Stay",
"VACATION", "Iong Stay",
"HOLIDAY", "Long Stay",
"V", "Leisure",
"UNKNOWN", "Unknown",
"Other")</f>
        <v>Iong Stay</v>
      </c>
    </row>
    <row r="942" spans="1:11" x14ac:dyDescent="0.3">
      <c r="A942" t="s">
        <v>3251</v>
      </c>
      <c r="B942" t="s">
        <v>3252</v>
      </c>
      <c r="C942" t="s">
        <v>83</v>
      </c>
      <c r="D942" t="s">
        <v>3253</v>
      </c>
      <c r="E942" t="s">
        <v>32</v>
      </c>
      <c r="F942" t="s">
        <v>3254</v>
      </c>
      <c r="G942" t="s">
        <v>2870</v>
      </c>
      <c r="H942" t="s">
        <v>57</v>
      </c>
      <c r="I942">
        <f t="shared" si="14"/>
        <v>1</v>
      </c>
      <c r="J942" t="s">
        <v>18</v>
      </c>
      <c r="K942" t="str" cm="1">
        <f t="array" ref="K942">_xlfn.SWITCH(TRIM(UPPER(J942)),
"BUSINESS", "Short Stay",
"CONFERENCE", "Medium Stay",
"VACATION", "Iong Stay",
"HOLIDAY", "Long Stay",
"V", "Leisure",
"UNKNOWN", "Unknown",
"Other")</f>
        <v>Short Stay</v>
      </c>
    </row>
    <row r="943" spans="1:11" x14ac:dyDescent="0.3">
      <c r="A943" t="s">
        <v>3255</v>
      </c>
      <c r="B943" t="s">
        <v>1454</v>
      </c>
      <c r="C943" t="s">
        <v>75</v>
      </c>
      <c r="D943" t="s">
        <v>3256</v>
      </c>
      <c r="E943" t="s">
        <v>32</v>
      </c>
      <c r="F943" t="s">
        <v>3257</v>
      </c>
      <c r="G943" t="s">
        <v>1456</v>
      </c>
      <c r="H943" t="s">
        <v>1759</v>
      </c>
      <c r="I943">
        <f t="shared" si="14"/>
        <v>2</v>
      </c>
      <c r="J943" t="s">
        <v>27</v>
      </c>
      <c r="K943" t="str" cm="1">
        <f t="array" ref="K943">_xlfn.SWITCH(TRIM(UPPER(J943)),
"BUSINESS", "Short Stay",
"CONFERENCE", "Medium Stay",
"VACATION", "Iong Stay",
"HOLIDAY", "Long Stay",
"V", "Leisure",
"UNKNOWN", "Unknown",
"Other")</f>
        <v>Medium Stay</v>
      </c>
    </row>
    <row r="944" spans="1:11" x14ac:dyDescent="0.3">
      <c r="A944" t="s">
        <v>3258</v>
      </c>
      <c r="B944" t="s">
        <v>2603</v>
      </c>
      <c r="C944" t="s">
        <v>38</v>
      </c>
      <c r="D944" t="s">
        <v>3259</v>
      </c>
      <c r="E944" t="s">
        <v>214</v>
      </c>
      <c r="F944" t="s">
        <v>3260</v>
      </c>
      <c r="G944" t="s">
        <v>951</v>
      </c>
      <c r="H944" t="s">
        <v>139</v>
      </c>
      <c r="I944">
        <f t="shared" si="14"/>
        <v>1</v>
      </c>
      <c r="J944" t="s">
        <v>44</v>
      </c>
      <c r="K944" t="str" cm="1">
        <f t="array" ref="K944">_xlfn.SWITCH(TRIM(UPPER(J944)),
"BUSINESS", "Short Stay",
"CONFERENCE", "Medium Stay",
"VACATION", "Iong Stay",
"HOLIDAY", "Long Stay",
"V", "Leisure",
"UNKNOWN", "Unknown",
"Other")</f>
        <v>Other</v>
      </c>
    </row>
    <row r="945" spans="1:11" x14ac:dyDescent="0.3">
      <c r="A945" t="s">
        <v>3261</v>
      </c>
      <c r="B945" t="s">
        <v>2664</v>
      </c>
      <c r="C945" t="s">
        <v>38</v>
      </c>
      <c r="D945" t="s">
        <v>2905</v>
      </c>
      <c r="E945" t="s">
        <v>40</v>
      </c>
      <c r="F945" t="s">
        <v>3262</v>
      </c>
      <c r="G945" t="s">
        <v>197</v>
      </c>
      <c r="H945" t="s">
        <v>438</v>
      </c>
      <c r="I945">
        <f t="shared" si="14"/>
        <v>2</v>
      </c>
      <c r="J945" t="s">
        <v>121</v>
      </c>
      <c r="K945" t="str" cm="1">
        <f t="array" ref="K945">_xlfn.SWITCH(TRIM(UPPER(J945)),
"BUSINESS", "Short Stay",
"CONFERENCE", "Medium Stay",
"VACATION", "Iong Stay",
"HOLIDAY", "Long Stay",
"V", "Leisure",
"UNKNOWN", "Unknown",
"Other")</f>
        <v>Iong Stay</v>
      </c>
    </row>
    <row r="946" spans="1:11" x14ac:dyDescent="0.3">
      <c r="A946" t="s">
        <v>3263</v>
      </c>
      <c r="B946" t="s">
        <v>1828</v>
      </c>
      <c r="C946" t="s">
        <v>83</v>
      </c>
      <c r="D946" t="s">
        <v>2475</v>
      </c>
      <c r="E946" t="s">
        <v>63</v>
      </c>
      <c r="F946" t="s">
        <v>3264</v>
      </c>
      <c r="G946" t="s">
        <v>1151</v>
      </c>
      <c r="H946" t="s">
        <v>1311</v>
      </c>
      <c r="I946">
        <f t="shared" si="14"/>
        <v>1</v>
      </c>
      <c r="J946" t="s">
        <v>121</v>
      </c>
      <c r="K946" t="str" cm="1">
        <f t="array" ref="K946">_xlfn.SWITCH(TRIM(UPPER(J946)),
"BUSINESS", "Short Stay",
"CONFERENCE", "Medium Stay",
"VACATION", "Iong Stay",
"HOLIDAY", "Long Stay",
"V", "Leisure",
"UNKNOWN", "Unknown",
"Other")</f>
        <v>Iong Stay</v>
      </c>
    </row>
    <row r="947" spans="1:11" x14ac:dyDescent="0.3">
      <c r="A947" t="s">
        <v>3265</v>
      </c>
      <c r="B947" t="s">
        <v>526</v>
      </c>
      <c r="C947" t="s">
        <v>21</v>
      </c>
      <c r="D947" t="s">
        <v>3266</v>
      </c>
      <c r="E947" t="s">
        <v>40</v>
      </c>
      <c r="F947" t="s">
        <v>3267</v>
      </c>
      <c r="G947" t="s">
        <v>345</v>
      </c>
      <c r="H947" t="s">
        <v>480</v>
      </c>
      <c r="I947">
        <f t="shared" si="14"/>
        <v>1</v>
      </c>
      <c r="J947" t="s">
        <v>44</v>
      </c>
      <c r="K947" t="str" cm="1">
        <f t="array" ref="K947">_xlfn.SWITCH(TRIM(UPPER(J947)),
"BUSINESS", "Short Stay",
"CONFERENCE", "Medium Stay",
"VACATION", "Iong Stay",
"HOLIDAY", "Long Stay",
"V", "Leisure",
"UNKNOWN", "Unknown",
"Other")</f>
        <v>Other</v>
      </c>
    </row>
    <row r="948" spans="1:11" x14ac:dyDescent="0.3">
      <c r="A948" t="s">
        <v>3268</v>
      </c>
      <c r="B948" t="s">
        <v>2264</v>
      </c>
      <c r="C948" t="s">
        <v>97</v>
      </c>
      <c r="D948" t="s">
        <v>2090</v>
      </c>
      <c r="E948" t="s">
        <v>430</v>
      </c>
      <c r="F948" t="s">
        <v>3269</v>
      </c>
      <c r="G948" t="s">
        <v>1857</v>
      </c>
      <c r="H948" t="s">
        <v>1007</v>
      </c>
      <c r="I948">
        <f t="shared" si="14"/>
        <v>2</v>
      </c>
      <c r="J948" t="s">
        <v>44</v>
      </c>
      <c r="K948" t="str" cm="1">
        <f t="array" ref="K948">_xlfn.SWITCH(TRIM(UPPER(J948)),
"BUSINESS", "Short Stay",
"CONFERENCE", "Medium Stay",
"VACATION", "Iong Stay",
"HOLIDAY", "Long Stay",
"V", "Leisure",
"UNKNOWN", "Unknown",
"Other")</f>
        <v>Other</v>
      </c>
    </row>
    <row r="949" spans="1:11" x14ac:dyDescent="0.3">
      <c r="A949" t="s">
        <v>3270</v>
      </c>
      <c r="B949" t="s">
        <v>1448</v>
      </c>
      <c r="C949" t="s">
        <v>54</v>
      </c>
      <c r="D949" t="s">
        <v>22</v>
      </c>
      <c r="E949" t="s">
        <v>77</v>
      </c>
      <c r="F949" t="s">
        <v>3271</v>
      </c>
      <c r="G949" t="s">
        <v>1091</v>
      </c>
      <c r="H949" t="s">
        <v>1012</v>
      </c>
      <c r="I949">
        <f t="shared" si="14"/>
        <v>3</v>
      </c>
      <c r="J949" t="s">
        <v>18</v>
      </c>
      <c r="K949" t="str" cm="1">
        <f t="array" ref="K949">_xlfn.SWITCH(TRIM(UPPER(J949)),
"BUSINESS", "Short Stay",
"CONFERENCE", "Medium Stay",
"VACATION", "Iong Stay",
"HOLIDAY", "Long Stay",
"V", "Leisure",
"UNKNOWN", "Unknown",
"Other")</f>
        <v>Short Stay</v>
      </c>
    </row>
    <row r="950" spans="1:11" x14ac:dyDescent="0.3">
      <c r="A950" t="s">
        <v>3272</v>
      </c>
      <c r="B950" t="s">
        <v>2392</v>
      </c>
      <c r="C950" t="s">
        <v>61</v>
      </c>
      <c r="D950" t="s">
        <v>2301</v>
      </c>
      <c r="E950" t="s">
        <v>117</v>
      </c>
      <c r="F950" t="s">
        <v>3273</v>
      </c>
      <c r="G950" t="s">
        <v>1833</v>
      </c>
      <c r="H950" t="s">
        <v>588</v>
      </c>
      <c r="I950">
        <f t="shared" si="14"/>
        <v>2</v>
      </c>
      <c r="J950" t="s">
        <v>27</v>
      </c>
      <c r="K950" t="str" cm="1">
        <f t="array" ref="K950">_xlfn.SWITCH(TRIM(UPPER(J950)),
"BUSINESS", "Short Stay",
"CONFERENCE", "Medium Stay",
"VACATION", "Iong Stay",
"HOLIDAY", "Long Stay",
"V", "Leisure",
"UNKNOWN", "Unknown",
"Other")</f>
        <v>Medium Stay</v>
      </c>
    </row>
    <row r="951" spans="1:11" x14ac:dyDescent="0.3">
      <c r="A951" t="s">
        <v>3274</v>
      </c>
      <c r="B951" t="s">
        <v>3275</v>
      </c>
      <c r="C951" t="s">
        <v>97</v>
      </c>
      <c r="D951" t="s">
        <v>2566</v>
      </c>
      <c r="E951" t="s">
        <v>23</v>
      </c>
      <c r="F951" t="s">
        <v>3276</v>
      </c>
      <c r="G951" t="s">
        <v>2677</v>
      </c>
      <c r="H951" t="s">
        <v>42</v>
      </c>
      <c r="I951">
        <f t="shared" si="14"/>
        <v>3</v>
      </c>
      <c r="J951" t="s">
        <v>27</v>
      </c>
      <c r="K951" t="str" cm="1">
        <f t="array" ref="K951">_xlfn.SWITCH(TRIM(UPPER(J951)),
"BUSINESS", "Short Stay",
"CONFERENCE", "Medium Stay",
"VACATION", "Iong Stay",
"HOLIDAY", "Long Stay",
"V", "Leisure",
"UNKNOWN", "Unknown",
"Other")</f>
        <v>Medium Stay</v>
      </c>
    </row>
    <row r="952" spans="1:11" x14ac:dyDescent="0.3">
      <c r="A952" t="s">
        <v>3277</v>
      </c>
      <c r="B952" t="s">
        <v>1933</v>
      </c>
      <c r="C952" t="s">
        <v>61</v>
      </c>
      <c r="D952" t="s">
        <v>3278</v>
      </c>
      <c r="E952" t="s">
        <v>69</v>
      </c>
      <c r="F952" t="s">
        <v>3279</v>
      </c>
      <c r="G952" t="s">
        <v>726</v>
      </c>
      <c r="H952" t="s">
        <v>533</v>
      </c>
      <c r="I952">
        <f t="shared" si="14"/>
        <v>4</v>
      </c>
      <c r="J952" t="s">
        <v>44</v>
      </c>
      <c r="K952" t="str" cm="1">
        <f t="array" ref="K952">_xlfn.SWITCH(TRIM(UPPER(J952)),
"BUSINESS", "Short Stay",
"CONFERENCE", "Medium Stay",
"VACATION", "Iong Stay",
"HOLIDAY", "Long Stay",
"V", "Leisure",
"UNKNOWN", "Unknown",
"Other")</f>
        <v>Other</v>
      </c>
    </row>
    <row r="953" spans="1:11" x14ac:dyDescent="0.3">
      <c r="A953" t="s">
        <v>3280</v>
      </c>
      <c r="B953" t="s">
        <v>1040</v>
      </c>
      <c r="C953" t="s">
        <v>97</v>
      </c>
      <c r="D953" t="s">
        <v>3281</v>
      </c>
      <c r="E953" t="s">
        <v>458</v>
      </c>
      <c r="F953" t="s">
        <v>3282</v>
      </c>
      <c r="G953" t="s">
        <v>1043</v>
      </c>
      <c r="H953" t="s">
        <v>2677</v>
      </c>
      <c r="I953">
        <f t="shared" si="14"/>
        <v>2</v>
      </c>
      <c r="J953" t="s">
        <v>18</v>
      </c>
      <c r="K953" t="str" cm="1">
        <f t="array" ref="K953">_xlfn.SWITCH(TRIM(UPPER(J953)),
"BUSINESS", "Short Stay",
"CONFERENCE", "Medium Stay",
"VACATION", "Iong Stay",
"HOLIDAY", "Long Stay",
"V", "Leisure",
"UNKNOWN", "Unknown",
"Other")</f>
        <v>Short Stay</v>
      </c>
    </row>
    <row r="954" spans="1:11" x14ac:dyDescent="0.3">
      <c r="A954" t="s">
        <v>3283</v>
      </c>
      <c r="B954" t="s">
        <v>1465</v>
      </c>
      <c r="C954" t="s">
        <v>75</v>
      </c>
      <c r="D954" t="s">
        <v>2575</v>
      </c>
      <c r="E954" t="s">
        <v>314</v>
      </c>
      <c r="F954" t="s">
        <v>1180</v>
      </c>
      <c r="G954" t="s">
        <v>1415</v>
      </c>
      <c r="H954" t="s">
        <v>1208</v>
      </c>
      <c r="I954">
        <f t="shared" si="14"/>
        <v>3</v>
      </c>
      <c r="J954" t="s">
        <v>27</v>
      </c>
      <c r="K954" t="str" cm="1">
        <f t="array" ref="K954">_xlfn.SWITCH(TRIM(UPPER(J954)),
"BUSINESS", "Short Stay",
"CONFERENCE", "Medium Stay",
"VACATION", "Iong Stay",
"HOLIDAY", "Long Stay",
"V", "Leisure",
"UNKNOWN", "Unknown",
"Other")</f>
        <v>Medium Stay</v>
      </c>
    </row>
    <row r="955" spans="1:11" x14ac:dyDescent="0.3">
      <c r="A955" t="s">
        <v>3284</v>
      </c>
      <c r="B955" t="s">
        <v>2774</v>
      </c>
      <c r="C955" t="s">
        <v>83</v>
      </c>
      <c r="D955" t="s">
        <v>981</v>
      </c>
      <c r="E955" t="s">
        <v>32</v>
      </c>
      <c r="F955" t="s">
        <v>3285</v>
      </c>
      <c r="G955" t="s">
        <v>2777</v>
      </c>
      <c r="H955" t="s">
        <v>554</v>
      </c>
      <c r="I955">
        <f t="shared" si="14"/>
        <v>3</v>
      </c>
      <c r="J955" t="s">
        <v>27</v>
      </c>
      <c r="K955" t="str" cm="1">
        <f t="array" ref="K955">_xlfn.SWITCH(TRIM(UPPER(J955)),
"BUSINESS", "Short Stay",
"CONFERENCE", "Medium Stay",
"VACATION", "Iong Stay",
"HOLIDAY", "Long Stay",
"V", "Leisure",
"UNKNOWN", "Unknown",
"Other")</f>
        <v>Medium Stay</v>
      </c>
    </row>
    <row r="956" spans="1:11" x14ac:dyDescent="0.3">
      <c r="A956" t="s">
        <v>3286</v>
      </c>
      <c r="B956" t="s">
        <v>330</v>
      </c>
      <c r="C956" t="s">
        <v>97</v>
      </c>
      <c r="D956" t="s">
        <v>3287</v>
      </c>
      <c r="E956" t="s">
        <v>201</v>
      </c>
      <c r="F956" t="s">
        <v>3288</v>
      </c>
      <c r="G956" t="s">
        <v>333</v>
      </c>
      <c r="H956" t="s">
        <v>919</v>
      </c>
      <c r="I956">
        <f t="shared" si="14"/>
        <v>5</v>
      </c>
      <c r="J956" t="s">
        <v>121</v>
      </c>
      <c r="K956" t="str" cm="1">
        <f t="array" ref="K956">_xlfn.SWITCH(TRIM(UPPER(J956)),
"BUSINESS", "Short Stay",
"CONFERENCE", "Medium Stay",
"VACATION", "Iong Stay",
"HOLIDAY", "Long Stay",
"V", "Leisure",
"UNKNOWN", "Unknown",
"Other")</f>
        <v>Iong Stay</v>
      </c>
    </row>
    <row r="957" spans="1:11" x14ac:dyDescent="0.3">
      <c r="A957" t="s">
        <v>3289</v>
      </c>
      <c r="B957" t="s">
        <v>330</v>
      </c>
      <c r="C957" t="s">
        <v>30</v>
      </c>
      <c r="D957" t="s">
        <v>3290</v>
      </c>
      <c r="E957" t="s">
        <v>476</v>
      </c>
      <c r="F957" t="s">
        <v>3291</v>
      </c>
      <c r="G957" t="s">
        <v>333</v>
      </c>
      <c r="H957" t="s">
        <v>1304</v>
      </c>
      <c r="I957">
        <f t="shared" si="14"/>
        <v>4</v>
      </c>
      <c r="J957" t="s">
        <v>27</v>
      </c>
      <c r="K957" t="str" cm="1">
        <f t="array" ref="K957">_xlfn.SWITCH(TRIM(UPPER(J957)),
"BUSINESS", "Short Stay",
"CONFERENCE", "Medium Stay",
"VACATION", "Iong Stay",
"HOLIDAY", "Long Stay",
"V", "Leisure",
"UNKNOWN", "Unknown",
"Other")</f>
        <v>Medium Stay</v>
      </c>
    </row>
    <row r="958" spans="1:11" x14ac:dyDescent="0.3">
      <c r="A958" t="s">
        <v>3292</v>
      </c>
      <c r="B958" t="s">
        <v>252</v>
      </c>
      <c r="C958" t="s">
        <v>38</v>
      </c>
      <c r="D958" t="s">
        <v>3293</v>
      </c>
      <c r="E958" t="s">
        <v>48</v>
      </c>
      <c r="F958" t="s">
        <v>3294</v>
      </c>
      <c r="G958" t="s">
        <v>88</v>
      </c>
      <c r="H958" t="s">
        <v>791</v>
      </c>
      <c r="I958">
        <f t="shared" si="14"/>
        <v>1</v>
      </c>
      <c r="J958" t="s">
        <v>44</v>
      </c>
      <c r="K958" t="str" cm="1">
        <f t="array" ref="K958">_xlfn.SWITCH(TRIM(UPPER(J958)),
"BUSINESS", "Short Stay",
"CONFERENCE", "Medium Stay",
"VACATION", "Iong Stay",
"HOLIDAY", "Long Stay",
"V", "Leisure",
"UNKNOWN", "Unknown",
"Other")</f>
        <v>Other</v>
      </c>
    </row>
    <row r="959" spans="1:11" x14ac:dyDescent="0.3">
      <c r="A959" t="s">
        <v>3295</v>
      </c>
      <c r="B959" t="s">
        <v>1709</v>
      </c>
      <c r="C959" t="s">
        <v>75</v>
      </c>
      <c r="D959" t="s">
        <v>1179</v>
      </c>
      <c r="E959" t="s">
        <v>85</v>
      </c>
      <c r="F959" t="s">
        <v>3296</v>
      </c>
      <c r="G959" t="s">
        <v>133</v>
      </c>
      <c r="H959" t="s">
        <v>2517</v>
      </c>
      <c r="I959">
        <f t="shared" si="14"/>
        <v>1</v>
      </c>
      <c r="J959" t="s">
        <v>44</v>
      </c>
      <c r="K959" t="str" cm="1">
        <f t="array" ref="K959">_xlfn.SWITCH(TRIM(UPPER(J959)),
"BUSINESS", "Short Stay",
"CONFERENCE", "Medium Stay",
"VACATION", "Iong Stay",
"HOLIDAY", "Long Stay",
"V", "Leisure",
"UNKNOWN", "Unknown",
"Other")</f>
        <v>Other</v>
      </c>
    </row>
    <row r="960" spans="1:11" x14ac:dyDescent="0.3">
      <c r="A960" t="s">
        <v>3297</v>
      </c>
      <c r="B960" t="s">
        <v>1201</v>
      </c>
      <c r="C960" t="s">
        <v>12</v>
      </c>
      <c r="D960" t="s">
        <v>3298</v>
      </c>
      <c r="E960" t="s">
        <v>40</v>
      </c>
      <c r="F960" t="s">
        <v>3299</v>
      </c>
      <c r="G960" t="s">
        <v>1204</v>
      </c>
      <c r="H960" t="s">
        <v>473</v>
      </c>
      <c r="I960">
        <f t="shared" si="14"/>
        <v>3</v>
      </c>
      <c r="J960" t="s">
        <v>18</v>
      </c>
      <c r="K960" t="str" cm="1">
        <f t="array" ref="K960">_xlfn.SWITCH(TRIM(UPPER(J960)),
"BUSINESS", "Short Stay",
"CONFERENCE", "Medium Stay",
"VACATION", "Iong Stay",
"HOLIDAY", "Long Stay",
"V", "Leisure",
"UNKNOWN", "Unknown",
"Other")</f>
        <v>Short Stay</v>
      </c>
    </row>
    <row r="961" spans="1:11" x14ac:dyDescent="0.3">
      <c r="A961" t="s">
        <v>3300</v>
      </c>
      <c r="B961" t="s">
        <v>487</v>
      </c>
      <c r="C961" t="s">
        <v>97</v>
      </c>
      <c r="D961" t="s">
        <v>3083</v>
      </c>
      <c r="E961" t="s">
        <v>149</v>
      </c>
      <c r="F961" t="s">
        <v>3301</v>
      </c>
      <c r="G961" t="s">
        <v>490</v>
      </c>
      <c r="H961" t="s">
        <v>197</v>
      </c>
      <c r="I961">
        <f t="shared" si="14"/>
        <v>1</v>
      </c>
      <c r="J961" t="s">
        <v>27</v>
      </c>
      <c r="K961" t="str" cm="1">
        <f t="array" ref="K961">_xlfn.SWITCH(TRIM(UPPER(J961)),
"BUSINESS", "Short Stay",
"CONFERENCE", "Medium Stay",
"VACATION", "Iong Stay",
"HOLIDAY", "Long Stay",
"V", "Leisure",
"UNKNOWN", "Unknown",
"Other")</f>
        <v>Medium Stay</v>
      </c>
    </row>
    <row r="962" spans="1:11" x14ac:dyDescent="0.3">
      <c r="A962" t="s">
        <v>3302</v>
      </c>
      <c r="B962" t="s">
        <v>841</v>
      </c>
      <c r="C962" t="s">
        <v>174</v>
      </c>
      <c r="D962" t="s">
        <v>3303</v>
      </c>
      <c r="E962" t="s">
        <v>458</v>
      </c>
      <c r="F962" t="s">
        <v>3304</v>
      </c>
      <c r="G962" t="s">
        <v>844</v>
      </c>
      <c r="H962" t="s">
        <v>861</v>
      </c>
      <c r="I962">
        <f t="shared" si="14"/>
        <v>3</v>
      </c>
      <c r="J962" t="s">
        <v>121</v>
      </c>
      <c r="K962" t="str" cm="1">
        <f t="array" ref="K962">_xlfn.SWITCH(TRIM(UPPER(J962)),
"BUSINESS", "Short Stay",
"CONFERENCE", "Medium Stay",
"VACATION", "Iong Stay",
"HOLIDAY", "Long Stay",
"V", "Leisure",
"UNKNOWN", "Unknown",
"Other")</f>
        <v>Iong Stay</v>
      </c>
    </row>
    <row r="963" spans="1:11" x14ac:dyDescent="0.3">
      <c r="A963" t="s">
        <v>3305</v>
      </c>
      <c r="B963" t="s">
        <v>1282</v>
      </c>
      <c r="C963" t="s">
        <v>54</v>
      </c>
      <c r="D963" t="s">
        <v>3306</v>
      </c>
      <c r="E963" t="s">
        <v>476</v>
      </c>
      <c r="F963" t="s">
        <v>3307</v>
      </c>
      <c r="G963" t="s">
        <v>1285</v>
      </c>
      <c r="H963" t="s">
        <v>377</v>
      </c>
      <c r="I963">
        <f t="shared" ref="I963:I1026" si="15">H963-G963</f>
        <v>3</v>
      </c>
      <c r="J963" t="s">
        <v>44</v>
      </c>
      <c r="K963" t="str" cm="1">
        <f t="array" ref="K963">_xlfn.SWITCH(TRIM(UPPER(J963)),
"BUSINESS", "Short Stay",
"CONFERENCE", "Medium Stay",
"VACATION", "Iong Stay",
"HOLIDAY", "Long Stay",
"V", "Leisure",
"UNKNOWN", "Unknown",
"Other")</f>
        <v>Other</v>
      </c>
    </row>
    <row r="964" spans="1:11" x14ac:dyDescent="0.3">
      <c r="A964" t="s">
        <v>3308</v>
      </c>
      <c r="B964" t="s">
        <v>520</v>
      </c>
      <c r="C964" t="s">
        <v>75</v>
      </c>
      <c r="D964" t="s">
        <v>3309</v>
      </c>
      <c r="E964" t="s">
        <v>48</v>
      </c>
      <c r="F964" t="s">
        <v>1665</v>
      </c>
      <c r="G964" t="s">
        <v>523</v>
      </c>
      <c r="H964" t="s">
        <v>87</v>
      </c>
      <c r="I964">
        <f t="shared" si="15"/>
        <v>4</v>
      </c>
      <c r="J964" t="s">
        <v>44</v>
      </c>
      <c r="K964" t="str" cm="1">
        <f t="array" ref="K964">_xlfn.SWITCH(TRIM(UPPER(J964)),
"BUSINESS", "Short Stay",
"CONFERENCE", "Medium Stay",
"VACATION", "Iong Stay",
"HOLIDAY", "Long Stay",
"V", "Leisure",
"UNKNOWN", "Unknown",
"Other")</f>
        <v>Other</v>
      </c>
    </row>
    <row r="965" spans="1:11" x14ac:dyDescent="0.3">
      <c r="A965" t="s">
        <v>3310</v>
      </c>
      <c r="B965" t="s">
        <v>492</v>
      </c>
      <c r="C965" t="s">
        <v>21</v>
      </c>
      <c r="D965" t="s">
        <v>441</v>
      </c>
      <c r="E965" t="s">
        <v>430</v>
      </c>
      <c r="F965" t="s">
        <v>3311</v>
      </c>
      <c r="G965" t="s">
        <v>495</v>
      </c>
      <c r="H965" t="s">
        <v>362</v>
      </c>
      <c r="I965">
        <f t="shared" si="15"/>
        <v>5</v>
      </c>
      <c r="J965" t="s">
        <v>121</v>
      </c>
      <c r="K965" t="str" cm="1">
        <f t="array" ref="K965">_xlfn.SWITCH(TRIM(UPPER(J965)),
"BUSINESS", "Short Stay",
"CONFERENCE", "Medium Stay",
"VACATION", "Iong Stay",
"HOLIDAY", "Long Stay",
"V", "Leisure",
"UNKNOWN", "Unknown",
"Other")</f>
        <v>Iong Stay</v>
      </c>
    </row>
    <row r="966" spans="1:11" x14ac:dyDescent="0.3">
      <c r="A966" t="s">
        <v>3312</v>
      </c>
      <c r="B966" t="s">
        <v>1541</v>
      </c>
      <c r="C966" t="s">
        <v>61</v>
      </c>
      <c r="D966" t="s">
        <v>3313</v>
      </c>
      <c r="E966" t="s">
        <v>458</v>
      </c>
      <c r="F966" t="s">
        <v>3314</v>
      </c>
      <c r="G966" t="s">
        <v>1543</v>
      </c>
      <c r="H966" t="s">
        <v>170</v>
      </c>
      <c r="I966">
        <f t="shared" si="15"/>
        <v>2</v>
      </c>
      <c r="J966" t="s">
        <v>18</v>
      </c>
      <c r="K966" t="str" cm="1">
        <f t="array" ref="K966">_xlfn.SWITCH(TRIM(UPPER(J966)),
"BUSINESS", "Short Stay",
"CONFERENCE", "Medium Stay",
"VACATION", "Iong Stay",
"HOLIDAY", "Long Stay",
"V", "Leisure",
"UNKNOWN", "Unknown",
"Other")</f>
        <v>Short Stay</v>
      </c>
    </row>
    <row r="967" spans="1:11" x14ac:dyDescent="0.3">
      <c r="A967" t="s">
        <v>3315</v>
      </c>
      <c r="B967" t="s">
        <v>1328</v>
      </c>
      <c r="C967" t="s">
        <v>75</v>
      </c>
      <c r="D967" t="s">
        <v>2894</v>
      </c>
      <c r="E967" t="s">
        <v>458</v>
      </c>
      <c r="F967" t="s">
        <v>3316</v>
      </c>
      <c r="G967" t="s">
        <v>1331</v>
      </c>
      <c r="H967" t="s">
        <v>1646</v>
      </c>
      <c r="I967">
        <f t="shared" si="15"/>
        <v>4</v>
      </c>
      <c r="J967" t="s">
        <v>27</v>
      </c>
      <c r="K967" t="str" cm="1">
        <f t="array" ref="K967">_xlfn.SWITCH(TRIM(UPPER(J967)),
"BUSINESS", "Short Stay",
"CONFERENCE", "Medium Stay",
"VACATION", "Iong Stay",
"HOLIDAY", "Long Stay",
"V", "Leisure",
"UNKNOWN", "Unknown",
"Other")</f>
        <v>Medium Stay</v>
      </c>
    </row>
    <row r="968" spans="1:11" x14ac:dyDescent="0.3">
      <c r="A968" t="s">
        <v>3317</v>
      </c>
      <c r="B968" t="s">
        <v>445</v>
      </c>
      <c r="C968" t="s">
        <v>174</v>
      </c>
      <c r="D968" t="s">
        <v>2005</v>
      </c>
      <c r="E968" t="s">
        <v>14</v>
      </c>
      <c r="F968" t="s">
        <v>3318</v>
      </c>
      <c r="G968" t="s">
        <v>448</v>
      </c>
      <c r="H968" t="s">
        <v>101</v>
      </c>
      <c r="I968">
        <f t="shared" si="15"/>
        <v>3</v>
      </c>
      <c r="J968" t="s">
        <v>121</v>
      </c>
      <c r="K968" t="str" cm="1">
        <f t="array" ref="K968">_xlfn.SWITCH(TRIM(UPPER(J968)),
"BUSINESS", "Short Stay",
"CONFERENCE", "Medium Stay",
"VACATION", "Iong Stay",
"HOLIDAY", "Long Stay",
"V", "Leisure",
"UNKNOWN", "Unknown",
"Other")</f>
        <v>Iong Stay</v>
      </c>
    </row>
    <row r="969" spans="1:11" x14ac:dyDescent="0.3">
      <c r="A969" t="s">
        <v>3319</v>
      </c>
      <c r="B969" t="s">
        <v>2717</v>
      </c>
      <c r="C969" t="s">
        <v>75</v>
      </c>
      <c r="D969" t="s">
        <v>2317</v>
      </c>
      <c r="E969" t="s">
        <v>48</v>
      </c>
      <c r="F969" t="s">
        <v>3320</v>
      </c>
      <c r="G969" t="s">
        <v>239</v>
      </c>
      <c r="H969" t="s">
        <v>1020</v>
      </c>
      <c r="I969">
        <f t="shared" si="15"/>
        <v>1</v>
      </c>
      <c r="J969" t="s">
        <v>121</v>
      </c>
      <c r="K969" t="str" cm="1">
        <f t="array" ref="K969">_xlfn.SWITCH(TRIM(UPPER(J969)),
"BUSINESS", "Short Stay",
"CONFERENCE", "Medium Stay",
"VACATION", "Iong Stay",
"HOLIDAY", "Long Stay",
"V", "Leisure",
"UNKNOWN", "Unknown",
"Other")</f>
        <v>Iong Stay</v>
      </c>
    </row>
    <row r="970" spans="1:11" x14ac:dyDescent="0.3">
      <c r="A970" t="s">
        <v>3321</v>
      </c>
      <c r="B970" t="s">
        <v>905</v>
      </c>
      <c r="C970" t="s">
        <v>12</v>
      </c>
      <c r="D970" t="s">
        <v>3322</v>
      </c>
      <c r="E970" t="s">
        <v>117</v>
      </c>
      <c r="F970" t="s">
        <v>3323</v>
      </c>
      <c r="G970" t="s">
        <v>539</v>
      </c>
      <c r="H970" t="s">
        <v>1204</v>
      </c>
      <c r="I970">
        <f t="shared" si="15"/>
        <v>4</v>
      </c>
      <c r="J970" t="s">
        <v>27</v>
      </c>
      <c r="K970" t="str" cm="1">
        <f t="array" ref="K970">_xlfn.SWITCH(TRIM(UPPER(J970)),
"BUSINESS", "Short Stay",
"CONFERENCE", "Medium Stay",
"VACATION", "Iong Stay",
"HOLIDAY", "Long Stay",
"V", "Leisure",
"UNKNOWN", "Unknown",
"Other")</f>
        <v>Medium Stay</v>
      </c>
    </row>
    <row r="971" spans="1:11" x14ac:dyDescent="0.3">
      <c r="A971" t="s">
        <v>3324</v>
      </c>
      <c r="B971" t="s">
        <v>1799</v>
      </c>
      <c r="C971" t="s">
        <v>174</v>
      </c>
      <c r="D971" t="s">
        <v>3162</v>
      </c>
      <c r="E971" t="s">
        <v>85</v>
      </c>
      <c r="F971" t="s">
        <v>3325</v>
      </c>
      <c r="G971" t="s">
        <v>1125</v>
      </c>
      <c r="H971" t="s">
        <v>548</v>
      </c>
      <c r="I971">
        <f t="shared" si="15"/>
        <v>2</v>
      </c>
      <c r="J971" t="s">
        <v>27</v>
      </c>
      <c r="K971" t="str" cm="1">
        <f t="array" ref="K971">_xlfn.SWITCH(TRIM(UPPER(J971)),
"BUSINESS", "Short Stay",
"CONFERENCE", "Medium Stay",
"VACATION", "Iong Stay",
"HOLIDAY", "Long Stay",
"V", "Leisure",
"UNKNOWN", "Unknown",
"Other")</f>
        <v>Medium Stay</v>
      </c>
    </row>
    <row r="972" spans="1:11" x14ac:dyDescent="0.3">
      <c r="A972" t="s">
        <v>3326</v>
      </c>
      <c r="B972" t="s">
        <v>2413</v>
      </c>
      <c r="C972" t="s">
        <v>54</v>
      </c>
      <c r="D972" t="s">
        <v>1773</v>
      </c>
      <c r="E972" t="s">
        <v>176</v>
      </c>
      <c r="F972" t="s">
        <v>3327</v>
      </c>
      <c r="G972" t="s">
        <v>739</v>
      </c>
      <c r="H972" t="s">
        <v>1296</v>
      </c>
      <c r="I972">
        <f t="shared" si="15"/>
        <v>5</v>
      </c>
      <c r="J972" t="s">
        <v>121</v>
      </c>
      <c r="K972" t="str" cm="1">
        <f t="array" ref="K972">_xlfn.SWITCH(TRIM(UPPER(J972)),
"BUSINESS", "Short Stay",
"CONFERENCE", "Medium Stay",
"VACATION", "Iong Stay",
"HOLIDAY", "Long Stay",
"V", "Leisure",
"UNKNOWN", "Unknown",
"Other")</f>
        <v>Iong Stay</v>
      </c>
    </row>
    <row r="973" spans="1:11" x14ac:dyDescent="0.3">
      <c r="A973" t="s">
        <v>3328</v>
      </c>
      <c r="B973" t="s">
        <v>1745</v>
      </c>
      <c r="C973" t="s">
        <v>174</v>
      </c>
      <c r="D973" t="s">
        <v>13</v>
      </c>
      <c r="E973" t="s">
        <v>546</v>
      </c>
      <c r="F973" t="s">
        <v>3329</v>
      </c>
      <c r="G973" t="s">
        <v>43</v>
      </c>
      <c r="H973" t="s">
        <v>936</v>
      </c>
      <c r="I973">
        <f t="shared" si="15"/>
        <v>2</v>
      </c>
      <c r="J973" t="s">
        <v>27</v>
      </c>
      <c r="K973" t="str" cm="1">
        <f t="array" ref="K973">_xlfn.SWITCH(TRIM(UPPER(J973)),
"BUSINESS", "Short Stay",
"CONFERENCE", "Medium Stay",
"VACATION", "Iong Stay",
"HOLIDAY", "Long Stay",
"V", "Leisure",
"UNKNOWN", "Unknown",
"Other")</f>
        <v>Medium Stay</v>
      </c>
    </row>
    <row r="974" spans="1:11" x14ac:dyDescent="0.3">
      <c r="A974" t="s">
        <v>3330</v>
      </c>
      <c r="B974" t="s">
        <v>980</v>
      </c>
      <c r="C974" t="s">
        <v>61</v>
      </c>
      <c r="D974" t="s">
        <v>3331</v>
      </c>
      <c r="E974" t="s">
        <v>23</v>
      </c>
      <c r="F974" t="s">
        <v>3332</v>
      </c>
      <c r="G974" t="s">
        <v>983</v>
      </c>
      <c r="H974" t="s">
        <v>2398</v>
      </c>
      <c r="I974">
        <f t="shared" si="15"/>
        <v>3</v>
      </c>
      <c r="J974" t="s">
        <v>121</v>
      </c>
      <c r="K974" t="str" cm="1">
        <f t="array" ref="K974">_xlfn.SWITCH(TRIM(UPPER(J974)),
"BUSINESS", "Short Stay",
"CONFERENCE", "Medium Stay",
"VACATION", "Iong Stay",
"HOLIDAY", "Long Stay",
"V", "Leisure",
"UNKNOWN", "Unknown",
"Other")</f>
        <v>Iong Stay</v>
      </c>
    </row>
    <row r="975" spans="1:11" x14ac:dyDescent="0.3">
      <c r="A975" t="s">
        <v>3333</v>
      </c>
      <c r="B975" t="s">
        <v>541</v>
      </c>
      <c r="C975" t="s">
        <v>12</v>
      </c>
      <c r="D975" t="s">
        <v>3334</v>
      </c>
      <c r="E975" t="s">
        <v>476</v>
      </c>
      <c r="F975" t="s">
        <v>3335</v>
      </c>
      <c r="G975" t="s">
        <v>17</v>
      </c>
      <c r="H975" t="s">
        <v>753</v>
      </c>
      <c r="I975">
        <f t="shared" si="15"/>
        <v>2</v>
      </c>
      <c r="J975" t="s">
        <v>44</v>
      </c>
      <c r="K975" t="str" cm="1">
        <f t="array" ref="K975">_xlfn.SWITCH(TRIM(UPPER(J975)),
"BUSINESS", "Short Stay",
"CONFERENCE", "Medium Stay",
"VACATION", "Iong Stay",
"HOLIDAY", "Long Stay",
"V", "Leisure",
"UNKNOWN", "Unknown",
"Other")</f>
        <v>Other</v>
      </c>
    </row>
    <row r="976" spans="1:11" x14ac:dyDescent="0.3">
      <c r="A976" t="s">
        <v>3336</v>
      </c>
      <c r="B976" t="s">
        <v>2153</v>
      </c>
      <c r="C976" t="s">
        <v>61</v>
      </c>
      <c r="D976" t="s">
        <v>413</v>
      </c>
      <c r="E976" t="s">
        <v>63</v>
      </c>
      <c r="F976" t="s">
        <v>1251</v>
      </c>
      <c r="G976" t="s">
        <v>72</v>
      </c>
      <c r="H976" t="s">
        <v>25</v>
      </c>
      <c r="I976">
        <f t="shared" si="15"/>
        <v>1</v>
      </c>
      <c r="J976" t="s">
        <v>27</v>
      </c>
      <c r="K976" t="str" cm="1">
        <f t="array" ref="K976">_xlfn.SWITCH(TRIM(UPPER(J976)),
"BUSINESS", "Short Stay",
"CONFERENCE", "Medium Stay",
"VACATION", "Iong Stay",
"HOLIDAY", "Long Stay",
"V", "Leisure",
"UNKNOWN", "Unknown",
"Other")</f>
        <v>Medium Stay</v>
      </c>
    </row>
    <row r="977" spans="1:11" x14ac:dyDescent="0.3">
      <c r="A977" t="s">
        <v>3337</v>
      </c>
      <c r="B977" t="s">
        <v>1601</v>
      </c>
      <c r="C977" t="s">
        <v>97</v>
      </c>
      <c r="D977" t="s">
        <v>1018</v>
      </c>
      <c r="E977" t="s">
        <v>314</v>
      </c>
      <c r="F977" t="s">
        <v>3338</v>
      </c>
      <c r="G977" t="s">
        <v>1604</v>
      </c>
      <c r="H977" t="s">
        <v>1543</v>
      </c>
      <c r="I977">
        <f t="shared" si="15"/>
        <v>2</v>
      </c>
      <c r="J977" t="s">
        <v>18</v>
      </c>
      <c r="K977" t="str" cm="1">
        <f t="array" ref="K977">_xlfn.SWITCH(TRIM(UPPER(J977)),
"BUSINESS", "Short Stay",
"CONFERENCE", "Medium Stay",
"VACATION", "Iong Stay",
"HOLIDAY", "Long Stay",
"V", "Leisure",
"UNKNOWN", "Unknown",
"Other")</f>
        <v>Short Stay</v>
      </c>
    </row>
    <row r="978" spans="1:11" x14ac:dyDescent="0.3">
      <c r="A978" t="s">
        <v>3339</v>
      </c>
      <c r="B978" t="s">
        <v>900</v>
      </c>
      <c r="C978" t="s">
        <v>21</v>
      </c>
      <c r="D978" t="s">
        <v>1831</v>
      </c>
      <c r="E978" t="s">
        <v>430</v>
      </c>
      <c r="F978" t="s">
        <v>3340</v>
      </c>
      <c r="G978" t="s">
        <v>903</v>
      </c>
      <c r="H978" t="s">
        <v>645</v>
      </c>
      <c r="I978">
        <f t="shared" si="15"/>
        <v>3</v>
      </c>
      <c r="J978" t="s">
        <v>121</v>
      </c>
      <c r="K978" t="str" cm="1">
        <f t="array" ref="K978">_xlfn.SWITCH(TRIM(UPPER(J978)),
"BUSINESS", "Short Stay",
"CONFERENCE", "Medium Stay",
"VACATION", "Iong Stay",
"HOLIDAY", "Long Stay",
"V", "Leisure",
"UNKNOWN", "Unknown",
"Other")</f>
        <v>Iong Stay</v>
      </c>
    </row>
    <row r="979" spans="1:11" x14ac:dyDescent="0.3">
      <c r="A979" t="s">
        <v>3341</v>
      </c>
      <c r="B979" t="s">
        <v>550</v>
      </c>
      <c r="C979" t="s">
        <v>30</v>
      </c>
      <c r="D979" t="s">
        <v>1948</v>
      </c>
      <c r="E979" t="s">
        <v>458</v>
      </c>
      <c r="F979" t="s">
        <v>3342</v>
      </c>
      <c r="G979" t="s">
        <v>553</v>
      </c>
      <c r="H979" t="s">
        <v>1861</v>
      </c>
      <c r="I979">
        <f t="shared" si="15"/>
        <v>3</v>
      </c>
      <c r="J979" t="s">
        <v>44</v>
      </c>
      <c r="K979" t="str" cm="1">
        <f t="array" ref="K979">_xlfn.SWITCH(TRIM(UPPER(J979)),
"BUSINESS", "Short Stay",
"CONFERENCE", "Medium Stay",
"VACATION", "Iong Stay",
"HOLIDAY", "Long Stay",
"V", "Leisure",
"UNKNOWN", "Unknown",
"Other")</f>
        <v>Other</v>
      </c>
    </row>
    <row r="980" spans="1:11" x14ac:dyDescent="0.3">
      <c r="A980" t="s">
        <v>3343</v>
      </c>
      <c r="B980" t="s">
        <v>300</v>
      </c>
      <c r="C980" t="s">
        <v>12</v>
      </c>
      <c r="D980" t="s">
        <v>3309</v>
      </c>
      <c r="E980" t="s">
        <v>40</v>
      </c>
      <c r="F980" t="s">
        <v>3344</v>
      </c>
      <c r="G980" t="s">
        <v>303</v>
      </c>
      <c r="H980" t="s">
        <v>304</v>
      </c>
      <c r="I980">
        <f t="shared" si="15"/>
        <v>4</v>
      </c>
      <c r="J980" t="s">
        <v>44</v>
      </c>
      <c r="K980" t="str" cm="1">
        <f t="array" ref="K980">_xlfn.SWITCH(TRIM(UPPER(J980)),
"BUSINESS", "Short Stay",
"CONFERENCE", "Medium Stay",
"VACATION", "Iong Stay",
"HOLIDAY", "Long Stay",
"V", "Leisure",
"UNKNOWN", "Unknown",
"Other")</f>
        <v>Other</v>
      </c>
    </row>
    <row r="981" spans="1:11" x14ac:dyDescent="0.3">
      <c r="A981" t="s">
        <v>3345</v>
      </c>
      <c r="B981" t="s">
        <v>2187</v>
      </c>
      <c r="C981" t="s">
        <v>30</v>
      </c>
      <c r="D981" t="s">
        <v>3346</v>
      </c>
      <c r="E981" t="s">
        <v>201</v>
      </c>
      <c r="F981" t="s">
        <v>3347</v>
      </c>
      <c r="G981" t="s">
        <v>1788</v>
      </c>
      <c r="H981" t="s">
        <v>495</v>
      </c>
      <c r="I981">
        <f t="shared" si="15"/>
        <v>3</v>
      </c>
      <c r="J981" t="s">
        <v>121</v>
      </c>
      <c r="K981" t="str" cm="1">
        <f t="array" ref="K981">_xlfn.SWITCH(TRIM(UPPER(J981)),
"BUSINESS", "Short Stay",
"CONFERENCE", "Medium Stay",
"VACATION", "Iong Stay",
"HOLIDAY", "Long Stay",
"V", "Leisure",
"UNKNOWN", "Unknown",
"Other")</f>
        <v>Iong Stay</v>
      </c>
    </row>
    <row r="982" spans="1:11" x14ac:dyDescent="0.3">
      <c r="A982" t="s">
        <v>3348</v>
      </c>
      <c r="B982" t="s">
        <v>1650</v>
      </c>
      <c r="C982" t="s">
        <v>30</v>
      </c>
      <c r="D982" t="s">
        <v>847</v>
      </c>
      <c r="E982" t="s">
        <v>23</v>
      </c>
      <c r="F982" t="s">
        <v>3349</v>
      </c>
      <c r="G982" t="s">
        <v>1160</v>
      </c>
      <c r="H982" t="s">
        <v>1176</v>
      </c>
      <c r="I982">
        <f t="shared" si="15"/>
        <v>2</v>
      </c>
      <c r="J982" t="s">
        <v>18</v>
      </c>
      <c r="K982" t="str" cm="1">
        <f t="array" ref="K982">_xlfn.SWITCH(TRIM(UPPER(J982)),
"BUSINESS", "Short Stay",
"CONFERENCE", "Medium Stay",
"VACATION", "Iong Stay",
"HOLIDAY", "Long Stay",
"V", "Leisure",
"UNKNOWN", "Unknown",
"Other")</f>
        <v>Short Stay</v>
      </c>
    </row>
    <row r="983" spans="1:11" x14ac:dyDescent="0.3">
      <c r="A983" t="s">
        <v>3350</v>
      </c>
      <c r="B983" t="s">
        <v>2635</v>
      </c>
      <c r="C983" t="s">
        <v>97</v>
      </c>
      <c r="D983" t="s">
        <v>1107</v>
      </c>
      <c r="E983" t="s">
        <v>40</v>
      </c>
      <c r="F983" t="s">
        <v>3351</v>
      </c>
      <c r="G983" t="s">
        <v>2628</v>
      </c>
      <c r="H983" t="s">
        <v>803</v>
      </c>
      <c r="I983">
        <f t="shared" si="15"/>
        <v>2</v>
      </c>
      <c r="J983" t="s">
        <v>121</v>
      </c>
      <c r="K983" t="str" cm="1">
        <f t="array" ref="K983">_xlfn.SWITCH(TRIM(UPPER(J983)),
"BUSINESS", "Short Stay",
"CONFERENCE", "Medium Stay",
"VACATION", "Iong Stay",
"HOLIDAY", "Long Stay",
"V", "Leisure",
"UNKNOWN", "Unknown",
"Other")</f>
        <v>Iong Stay</v>
      </c>
    </row>
    <row r="984" spans="1:11" x14ac:dyDescent="0.3">
      <c r="A984" t="s">
        <v>3352</v>
      </c>
      <c r="B984" t="s">
        <v>2635</v>
      </c>
      <c r="C984" t="s">
        <v>54</v>
      </c>
      <c r="D984" t="s">
        <v>847</v>
      </c>
      <c r="E984" t="s">
        <v>32</v>
      </c>
      <c r="F984" t="s">
        <v>3353</v>
      </c>
      <c r="G984" t="s">
        <v>2628</v>
      </c>
      <c r="H984" t="s">
        <v>577</v>
      </c>
      <c r="I984">
        <f t="shared" si="15"/>
        <v>4</v>
      </c>
      <c r="J984" t="s">
        <v>27</v>
      </c>
      <c r="K984" t="str" cm="1">
        <f t="array" ref="K984">_xlfn.SWITCH(TRIM(UPPER(J984)),
"BUSINESS", "Short Stay",
"CONFERENCE", "Medium Stay",
"VACATION", "Iong Stay",
"HOLIDAY", "Long Stay",
"V", "Leisure",
"UNKNOWN", "Unknown",
"Other")</f>
        <v>Medium Stay</v>
      </c>
    </row>
    <row r="985" spans="1:11" x14ac:dyDescent="0.3">
      <c r="A985" t="s">
        <v>3354</v>
      </c>
      <c r="B985" t="s">
        <v>3355</v>
      </c>
      <c r="C985" t="s">
        <v>30</v>
      </c>
      <c r="D985" t="s">
        <v>3356</v>
      </c>
      <c r="E985" t="s">
        <v>85</v>
      </c>
      <c r="F985" t="s">
        <v>3357</v>
      </c>
      <c r="G985" t="s">
        <v>26</v>
      </c>
      <c r="H985" t="s">
        <v>786</v>
      </c>
      <c r="I985">
        <f t="shared" si="15"/>
        <v>4</v>
      </c>
      <c r="J985" t="s">
        <v>18</v>
      </c>
      <c r="K985" t="str" cm="1">
        <f t="array" ref="K985">_xlfn.SWITCH(TRIM(UPPER(J985)),
"BUSINESS", "Short Stay",
"CONFERENCE", "Medium Stay",
"VACATION", "Iong Stay",
"HOLIDAY", "Long Stay",
"V", "Leisure",
"UNKNOWN", "Unknown",
"Other")</f>
        <v>Short Stay</v>
      </c>
    </row>
    <row r="986" spans="1:11" x14ac:dyDescent="0.3">
      <c r="A986" t="s">
        <v>3358</v>
      </c>
      <c r="B986" t="s">
        <v>561</v>
      </c>
      <c r="C986" t="s">
        <v>61</v>
      </c>
      <c r="D986" t="s">
        <v>2175</v>
      </c>
      <c r="E986" t="s">
        <v>156</v>
      </c>
      <c r="F986" t="s">
        <v>3359</v>
      </c>
      <c r="G986" t="s">
        <v>563</v>
      </c>
      <c r="H986" t="s">
        <v>80</v>
      </c>
      <c r="I986">
        <f t="shared" si="15"/>
        <v>1</v>
      </c>
      <c r="J986" t="s">
        <v>44</v>
      </c>
      <c r="K986" t="str" cm="1">
        <f t="array" ref="K986">_xlfn.SWITCH(TRIM(UPPER(J986)),
"BUSINESS", "Short Stay",
"CONFERENCE", "Medium Stay",
"VACATION", "Iong Stay",
"HOLIDAY", "Long Stay",
"V", "Leisure",
"UNKNOWN", "Unknown",
"Other")</f>
        <v>Other</v>
      </c>
    </row>
    <row r="987" spans="1:11" x14ac:dyDescent="0.3">
      <c r="A987" t="s">
        <v>3360</v>
      </c>
      <c r="B987" t="s">
        <v>2392</v>
      </c>
      <c r="C987" t="s">
        <v>75</v>
      </c>
      <c r="D987" t="s">
        <v>2726</v>
      </c>
      <c r="E987" t="s">
        <v>314</v>
      </c>
      <c r="F987" t="s">
        <v>3361</v>
      </c>
      <c r="G987" t="s">
        <v>1833</v>
      </c>
      <c r="H987" t="s">
        <v>1090</v>
      </c>
      <c r="I987">
        <f t="shared" si="15"/>
        <v>3</v>
      </c>
      <c r="J987" t="s">
        <v>44</v>
      </c>
      <c r="K987" t="str" cm="1">
        <f t="array" ref="K987">_xlfn.SWITCH(TRIM(UPPER(J987)),
"BUSINESS", "Short Stay",
"CONFERENCE", "Medium Stay",
"VACATION", "Iong Stay",
"HOLIDAY", "Long Stay",
"V", "Leisure",
"UNKNOWN", "Unknown",
"Other")</f>
        <v>Other</v>
      </c>
    </row>
    <row r="988" spans="1:11" x14ac:dyDescent="0.3">
      <c r="A988" t="s">
        <v>3362</v>
      </c>
      <c r="B988" t="s">
        <v>359</v>
      </c>
      <c r="C988" t="s">
        <v>21</v>
      </c>
      <c r="D988" t="s">
        <v>2307</v>
      </c>
      <c r="E988" t="s">
        <v>214</v>
      </c>
      <c r="F988" t="s">
        <v>3363</v>
      </c>
      <c r="G988" t="s">
        <v>362</v>
      </c>
      <c r="H988" t="s">
        <v>1404</v>
      </c>
      <c r="I988">
        <f t="shared" si="15"/>
        <v>3</v>
      </c>
      <c r="J988" t="s">
        <v>18</v>
      </c>
      <c r="K988" t="str" cm="1">
        <f t="array" ref="K988">_xlfn.SWITCH(TRIM(UPPER(J988)),
"BUSINESS", "Short Stay",
"CONFERENCE", "Medium Stay",
"VACATION", "Iong Stay",
"HOLIDAY", "Long Stay",
"V", "Leisure",
"UNKNOWN", "Unknown",
"Other")</f>
        <v>Short Stay</v>
      </c>
    </row>
    <row r="989" spans="1:11" x14ac:dyDescent="0.3">
      <c r="A989" t="s">
        <v>3364</v>
      </c>
      <c r="B989" t="s">
        <v>3218</v>
      </c>
      <c r="C989" t="s">
        <v>21</v>
      </c>
      <c r="D989" t="s">
        <v>325</v>
      </c>
      <c r="E989" t="s">
        <v>85</v>
      </c>
      <c r="F989" t="s">
        <v>3365</v>
      </c>
      <c r="G989" t="s">
        <v>3220</v>
      </c>
      <c r="H989" t="s">
        <v>502</v>
      </c>
      <c r="I989">
        <f t="shared" si="15"/>
        <v>2</v>
      </c>
      <c r="J989" t="s">
        <v>18</v>
      </c>
      <c r="K989" t="str" cm="1">
        <f t="array" ref="K989">_xlfn.SWITCH(TRIM(UPPER(J989)),
"BUSINESS", "Short Stay",
"CONFERENCE", "Medium Stay",
"VACATION", "Iong Stay",
"HOLIDAY", "Long Stay",
"V", "Leisure",
"UNKNOWN", "Unknown",
"Other")</f>
        <v>Short Stay</v>
      </c>
    </row>
    <row r="990" spans="1:11" x14ac:dyDescent="0.3">
      <c r="A990" t="s">
        <v>3366</v>
      </c>
      <c r="B990" t="s">
        <v>115</v>
      </c>
      <c r="C990" t="s">
        <v>75</v>
      </c>
      <c r="D990" t="s">
        <v>3367</v>
      </c>
      <c r="E990" t="s">
        <v>69</v>
      </c>
      <c r="F990" t="s">
        <v>3368</v>
      </c>
      <c r="G990" t="s">
        <v>119</v>
      </c>
      <c r="H990" t="s">
        <v>578</v>
      </c>
      <c r="I990">
        <f t="shared" si="15"/>
        <v>4</v>
      </c>
      <c r="J990" t="s">
        <v>121</v>
      </c>
      <c r="K990" t="str" cm="1">
        <f t="array" ref="K990">_xlfn.SWITCH(TRIM(UPPER(J990)),
"BUSINESS", "Short Stay",
"CONFERENCE", "Medium Stay",
"VACATION", "Iong Stay",
"HOLIDAY", "Long Stay",
"V", "Leisure",
"UNKNOWN", "Unknown",
"Other")</f>
        <v>Iong Stay</v>
      </c>
    </row>
    <row r="991" spans="1:11" x14ac:dyDescent="0.3">
      <c r="A991" t="s">
        <v>3369</v>
      </c>
      <c r="B991" t="s">
        <v>1849</v>
      </c>
      <c r="C991" t="s">
        <v>30</v>
      </c>
      <c r="D991" t="s">
        <v>3112</v>
      </c>
      <c r="E991" t="s">
        <v>214</v>
      </c>
      <c r="F991" t="s">
        <v>3370</v>
      </c>
      <c r="G991" t="s">
        <v>1611</v>
      </c>
      <c r="H991" t="s">
        <v>79</v>
      </c>
      <c r="I991">
        <f t="shared" si="15"/>
        <v>5</v>
      </c>
      <c r="J991" t="s">
        <v>44</v>
      </c>
      <c r="K991" t="str" cm="1">
        <f t="array" ref="K991">_xlfn.SWITCH(TRIM(UPPER(J991)),
"BUSINESS", "Short Stay",
"CONFERENCE", "Medium Stay",
"VACATION", "Iong Stay",
"HOLIDAY", "Long Stay",
"V", "Leisure",
"UNKNOWN", "Unknown",
"Other")</f>
        <v>Other</v>
      </c>
    </row>
    <row r="992" spans="1:11" x14ac:dyDescent="0.3">
      <c r="A992" t="s">
        <v>3371</v>
      </c>
      <c r="B992" t="s">
        <v>1678</v>
      </c>
      <c r="C992" t="s">
        <v>30</v>
      </c>
      <c r="D992" t="s">
        <v>3372</v>
      </c>
      <c r="E992" t="s">
        <v>63</v>
      </c>
      <c r="F992" t="s">
        <v>3373</v>
      </c>
      <c r="G992" t="s">
        <v>1681</v>
      </c>
      <c r="H992" t="s">
        <v>165</v>
      </c>
      <c r="I992">
        <f t="shared" si="15"/>
        <v>3</v>
      </c>
      <c r="J992" t="s">
        <v>18</v>
      </c>
      <c r="K992" t="str" cm="1">
        <f t="array" ref="K992">_xlfn.SWITCH(TRIM(UPPER(J992)),
"BUSINESS", "Short Stay",
"CONFERENCE", "Medium Stay",
"VACATION", "Iong Stay",
"HOLIDAY", "Long Stay",
"V", "Leisure",
"UNKNOWN", "Unknown",
"Other")</f>
        <v>Short Stay</v>
      </c>
    </row>
    <row r="993" spans="1:11" x14ac:dyDescent="0.3">
      <c r="A993" t="s">
        <v>3374</v>
      </c>
      <c r="B993" t="s">
        <v>1338</v>
      </c>
      <c r="C993" t="s">
        <v>38</v>
      </c>
      <c r="D993" t="s">
        <v>2872</v>
      </c>
      <c r="E993" t="s">
        <v>476</v>
      </c>
      <c r="F993" t="s">
        <v>3375</v>
      </c>
      <c r="G993" t="s">
        <v>171</v>
      </c>
      <c r="H993" t="s">
        <v>548</v>
      </c>
      <c r="I993">
        <f t="shared" si="15"/>
        <v>4</v>
      </c>
      <c r="J993" t="s">
        <v>44</v>
      </c>
      <c r="K993" t="str" cm="1">
        <f t="array" ref="K993">_xlfn.SWITCH(TRIM(UPPER(J993)),
"BUSINESS", "Short Stay",
"CONFERENCE", "Medium Stay",
"VACATION", "Iong Stay",
"HOLIDAY", "Long Stay",
"V", "Leisure",
"UNKNOWN", "Unknown",
"Other")</f>
        <v>Other</v>
      </c>
    </row>
    <row r="994" spans="1:11" x14ac:dyDescent="0.3">
      <c r="A994" t="s">
        <v>3376</v>
      </c>
      <c r="B994" t="s">
        <v>1149</v>
      </c>
      <c r="C994" t="s">
        <v>30</v>
      </c>
      <c r="D994" t="s">
        <v>1811</v>
      </c>
      <c r="E994" t="s">
        <v>48</v>
      </c>
      <c r="F994" t="s">
        <v>3377</v>
      </c>
      <c r="G994" t="s">
        <v>393</v>
      </c>
      <c r="H994" t="s">
        <v>309</v>
      </c>
      <c r="I994">
        <f t="shared" si="15"/>
        <v>1</v>
      </c>
      <c r="J994" t="s">
        <v>27</v>
      </c>
      <c r="K994" t="str" cm="1">
        <f t="array" ref="K994">_xlfn.SWITCH(TRIM(UPPER(J994)),
"BUSINESS", "Short Stay",
"CONFERENCE", "Medium Stay",
"VACATION", "Iong Stay",
"HOLIDAY", "Long Stay",
"V", "Leisure",
"UNKNOWN", "Unknown",
"Other")</f>
        <v>Medium Stay</v>
      </c>
    </row>
    <row r="995" spans="1:11" x14ac:dyDescent="0.3">
      <c r="A995" t="s">
        <v>3378</v>
      </c>
      <c r="B995" t="s">
        <v>465</v>
      </c>
      <c r="C995" t="s">
        <v>38</v>
      </c>
      <c r="D995" t="s">
        <v>3379</v>
      </c>
      <c r="E995" t="s">
        <v>156</v>
      </c>
      <c r="F995" t="s">
        <v>3380</v>
      </c>
      <c r="G995" t="s">
        <v>468</v>
      </c>
      <c r="H995" t="s">
        <v>1956</v>
      </c>
      <c r="I995">
        <f t="shared" si="15"/>
        <v>1</v>
      </c>
      <c r="J995" t="s">
        <v>44</v>
      </c>
      <c r="K995" t="str" cm="1">
        <f t="array" ref="K995">_xlfn.SWITCH(TRIM(UPPER(J995)),
"BUSINESS", "Short Stay",
"CONFERENCE", "Medium Stay",
"VACATION", "Iong Stay",
"HOLIDAY", "Long Stay",
"V", "Leisure",
"UNKNOWN", "Unknown",
"Other")</f>
        <v>Other</v>
      </c>
    </row>
    <row r="996" spans="1:11" x14ac:dyDescent="0.3">
      <c r="A996" t="s">
        <v>3381</v>
      </c>
      <c r="B996" t="s">
        <v>37</v>
      </c>
      <c r="C996" t="s">
        <v>61</v>
      </c>
      <c r="D996" t="s">
        <v>2632</v>
      </c>
      <c r="E996" t="s">
        <v>201</v>
      </c>
      <c r="F996" t="s">
        <v>2424</v>
      </c>
      <c r="G996" t="s">
        <v>42</v>
      </c>
      <c r="H996" t="s">
        <v>936</v>
      </c>
      <c r="I996">
        <f t="shared" si="15"/>
        <v>5</v>
      </c>
      <c r="J996" t="s">
        <v>44</v>
      </c>
      <c r="K996" t="str" cm="1">
        <f t="array" ref="K996">_xlfn.SWITCH(TRIM(UPPER(J996)),
"BUSINESS", "Short Stay",
"CONFERENCE", "Medium Stay",
"VACATION", "Iong Stay",
"HOLIDAY", "Long Stay",
"V", "Leisure",
"UNKNOWN", "Unknown",
"Other")</f>
        <v>Other</v>
      </c>
    </row>
    <row r="997" spans="1:11" x14ac:dyDescent="0.3">
      <c r="A997" t="s">
        <v>3382</v>
      </c>
      <c r="B997" t="s">
        <v>2904</v>
      </c>
      <c r="C997" t="s">
        <v>21</v>
      </c>
      <c r="D997" t="s">
        <v>2733</v>
      </c>
      <c r="E997" t="s">
        <v>546</v>
      </c>
      <c r="F997" t="s">
        <v>3383</v>
      </c>
      <c r="G997" t="s">
        <v>813</v>
      </c>
      <c r="H997" t="s">
        <v>1316</v>
      </c>
      <c r="I997">
        <f t="shared" si="15"/>
        <v>3</v>
      </c>
      <c r="J997" t="s">
        <v>27</v>
      </c>
      <c r="K997" t="str" cm="1">
        <f t="array" ref="K997">_xlfn.SWITCH(TRIM(UPPER(J997)),
"BUSINESS", "Short Stay",
"CONFERENCE", "Medium Stay",
"VACATION", "Iong Stay",
"HOLIDAY", "Long Stay",
"V", "Leisure",
"UNKNOWN", "Unknown",
"Other")</f>
        <v>Medium Stay</v>
      </c>
    </row>
    <row r="998" spans="1:11" x14ac:dyDescent="0.3">
      <c r="A998" t="s">
        <v>3384</v>
      </c>
      <c r="B998" t="s">
        <v>2935</v>
      </c>
      <c r="C998" t="s">
        <v>21</v>
      </c>
      <c r="D998" t="s">
        <v>3385</v>
      </c>
      <c r="E998" t="s">
        <v>77</v>
      </c>
      <c r="F998" t="s">
        <v>3386</v>
      </c>
      <c r="G998" t="s">
        <v>2840</v>
      </c>
      <c r="H998" t="s">
        <v>984</v>
      </c>
      <c r="I998">
        <f t="shared" si="15"/>
        <v>4</v>
      </c>
      <c r="J998" t="s">
        <v>44</v>
      </c>
      <c r="K998" t="str" cm="1">
        <f t="array" ref="K998">_xlfn.SWITCH(TRIM(UPPER(J998)),
"BUSINESS", "Short Stay",
"CONFERENCE", "Medium Stay",
"VACATION", "Iong Stay",
"HOLIDAY", "Long Stay",
"V", "Leisure",
"UNKNOWN", "Unknown",
"Other")</f>
        <v>Other</v>
      </c>
    </row>
    <row r="999" spans="1:11" x14ac:dyDescent="0.3">
      <c r="A999" t="s">
        <v>3387</v>
      </c>
      <c r="B999" t="s">
        <v>818</v>
      </c>
      <c r="C999" t="s">
        <v>30</v>
      </c>
      <c r="D999" t="s">
        <v>1476</v>
      </c>
      <c r="E999" t="s">
        <v>201</v>
      </c>
      <c r="F999" t="s">
        <v>3388</v>
      </c>
      <c r="G999" t="s">
        <v>821</v>
      </c>
      <c r="H999" t="s">
        <v>80</v>
      </c>
      <c r="I999">
        <f t="shared" si="15"/>
        <v>4</v>
      </c>
      <c r="J999" t="s">
        <v>18</v>
      </c>
      <c r="K999" t="str" cm="1">
        <f t="array" ref="K999">_xlfn.SWITCH(TRIM(UPPER(J999)),
"BUSINESS", "Short Stay",
"CONFERENCE", "Medium Stay",
"VACATION", "Iong Stay",
"HOLIDAY", "Long Stay",
"V", "Leisure",
"UNKNOWN", "Unknown",
"Other")</f>
        <v>Short Stay</v>
      </c>
    </row>
    <row r="1000" spans="1:11" x14ac:dyDescent="0.3">
      <c r="A1000" t="s">
        <v>3389</v>
      </c>
      <c r="B1000" t="s">
        <v>1338</v>
      </c>
      <c r="C1000" t="s">
        <v>97</v>
      </c>
      <c r="D1000" t="s">
        <v>3390</v>
      </c>
      <c r="E1000" t="s">
        <v>63</v>
      </c>
      <c r="F1000" t="s">
        <v>3391</v>
      </c>
      <c r="G1000" t="s">
        <v>171</v>
      </c>
      <c r="H1000" t="s">
        <v>1125</v>
      </c>
      <c r="I1000">
        <f t="shared" si="15"/>
        <v>2</v>
      </c>
      <c r="J1000" t="s">
        <v>121</v>
      </c>
      <c r="K1000" t="str" cm="1">
        <f t="array" ref="K1000">_xlfn.SWITCH(TRIM(UPPER(J1000)),
"BUSINESS", "Short Stay",
"CONFERENCE", "Medium Stay",
"VACATION", "Iong Stay",
"HOLIDAY", "Long Stay",
"V", "Leisure",
"UNKNOWN", "Unknown",
"Other")</f>
        <v>Iong Stay</v>
      </c>
    </row>
    <row r="1001" spans="1:11" x14ac:dyDescent="0.3">
      <c r="A1001" t="s">
        <v>3392</v>
      </c>
      <c r="B1001" t="s">
        <v>535</v>
      </c>
      <c r="C1001" t="s">
        <v>75</v>
      </c>
      <c r="D1001" t="s">
        <v>3393</v>
      </c>
      <c r="E1001" t="s">
        <v>117</v>
      </c>
      <c r="F1001" t="s">
        <v>3394</v>
      </c>
      <c r="G1001" t="s">
        <v>538</v>
      </c>
      <c r="H1001" t="s">
        <v>1689</v>
      </c>
      <c r="I1001">
        <f t="shared" si="15"/>
        <v>3</v>
      </c>
      <c r="J1001" t="s">
        <v>27</v>
      </c>
      <c r="K1001" t="str" cm="1">
        <f t="array" ref="K1001">_xlfn.SWITCH(TRIM(UPPER(J1001)),
"BUSINESS", "Short Stay",
"CONFERENCE", "Medium Stay",
"VACATION", "Iong Stay",
"HOLIDAY", "Long Stay",
"V", "Leisure",
"UNKNOWN", "Unknown",
"Other")</f>
        <v>Medium Stay</v>
      </c>
    </row>
    <row r="1002" spans="1:11" x14ac:dyDescent="0.3">
      <c r="A1002" t="s">
        <v>3395</v>
      </c>
      <c r="B1002" t="s">
        <v>3396</v>
      </c>
      <c r="C1002" t="s">
        <v>97</v>
      </c>
      <c r="D1002" t="s">
        <v>31</v>
      </c>
      <c r="E1002" t="s">
        <v>32</v>
      </c>
      <c r="F1002" t="s">
        <v>3397</v>
      </c>
      <c r="G1002" t="s">
        <v>695</v>
      </c>
      <c r="H1002" t="s">
        <v>88</v>
      </c>
      <c r="I1002">
        <f t="shared" si="15"/>
        <v>1</v>
      </c>
      <c r="J1002" t="s">
        <v>44</v>
      </c>
      <c r="K1002" t="str" cm="1">
        <f t="array" ref="K1002">_xlfn.SWITCH(TRIM(UPPER(J1002)),
"BUSINESS", "Short Stay",
"CONFERENCE", "Medium Stay",
"VACATION", "Iong Stay",
"HOLIDAY", "Long Stay",
"V", "Leisure",
"UNKNOWN", "Unknown",
"Other")</f>
        <v>Other</v>
      </c>
    </row>
    <row r="1003" spans="1:11" x14ac:dyDescent="0.3">
      <c r="A1003" t="s">
        <v>3398</v>
      </c>
      <c r="B1003" t="s">
        <v>858</v>
      </c>
      <c r="C1003" t="s">
        <v>61</v>
      </c>
      <c r="D1003" t="s">
        <v>2784</v>
      </c>
      <c r="E1003" t="s">
        <v>430</v>
      </c>
      <c r="F1003" t="s">
        <v>3399</v>
      </c>
      <c r="G1003" t="s">
        <v>861</v>
      </c>
      <c r="H1003" t="s">
        <v>764</v>
      </c>
      <c r="I1003">
        <f t="shared" si="15"/>
        <v>2</v>
      </c>
      <c r="J1003" t="s">
        <v>121</v>
      </c>
      <c r="K1003" t="str" cm="1">
        <f t="array" ref="K1003">_xlfn.SWITCH(TRIM(UPPER(J1003)),
"BUSINESS", "Short Stay",
"CONFERENCE", "Medium Stay",
"VACATION", "Iong Stay",
"HOLIDAY", "Long Stay",
"V", "Leisure",
"UNKNOWN", "Unknown",
"Other")</f>
        <v>Iong Stay</v>
      </c>
    </row>
    <row r="1004" spans="1:11" x14ac:dyDescent="0.3">
      <c r="A1004" t="s">
        <v>3400</v>
      </c>
      <c r="B1004" t="s">
        <v>330</v>
      </c>
      <c r="C1004" t="s">
        <v>38</v>
      </c>
      <c r="D1004" t="s">
        <v>531</v>
      </c>
      <c r="E1004" t="s">
        <v>201</v>
      </c>
      <c r="F1004" t="s">
        <v>3401</v>
      </c>
      <c r="G1004" t="s">
        <v>333</v>
      </c>
      <c r="H1004" t="s">
        <v>1199</v>
      </c>
      <c r="I1004">
        <f t="shared" si="15"/>
        <v>2</v>
      </c>
      <c r="J1004" t="s">
        <v>44</v>
      </c>
      <c r="K1004" t="str" cm="1">
        <f t="array" ref="K1004">_xlfn.SWITCH(TRIM(UPPER(J1004)),
"BUSINESS", "Short Stay",
"CONFERENCE", "Medium Stay",
"VACATION", "Iong Stay",
"HOLIDAY", "Long Stay",
"V", "Leisure",
"UNKNOWN", "Unknown",
"Other")</f>
        <v>Other</v>
      </c>
    </row>
    <row r="1005" spans="1:11" x14ac:dyDescent="0.3">
      <c r="A1005" t="s">
        <v>3402</v>
      </c>
      <c r="B1005" t="s">
        <v>1264</v>
      </c>
      <c r="C1005" t="s">
        <v>12</v>
      </c>
      <c r="D1005" t="s">
        <v>3403</v>
      </c>
      <c r="E1005" t="s">
        <v>458</v>
      </c>
      <c r="F1005" t="s">
        <v>3404</v>
      </c>
      <c r="G1005" t="s">
        <v>1267</v>
      </c>
      <c r="H1005" t="s">
        <v>1090</v>
      </c>
      <c r="I1005">
        <f t="shared" si="15"/>
        <v>4</v>
      </c>
      <c r="J1005" t="s">
        <v>27</v>
      </c>
      <c r="K1005" t="str" cm="1">
        <f t="array" ref="K1005">_xlfn.SWITCH(TRIM(UPPER(J1005)),
"BUSINESS", "Short Stay",
"CONFERENCE", "Medium Stay",
"VACATION", "Iong Stay",
"HOLIDAY", "Long Stay",
"V", "Leisure",
"UNKNOWN", "Unknown",
"Other")</f>
        <v>Medium Stay</v>
      </c>
    </row>
    <row r="1006" spans="1:11" x14ac:dyDescent="0.3">
      <c r="A1006" t="s">
        <v>3405</v>
      </c>
      <c r="B1006" t="s">
        <v>1302</v>
      </c>
      <c r="C1006" t="s">
        <v>30</v>
      </c>
      <c r="D1006" t="s">
        <v>3406</v>
      </c>
      <c r="E1006" t="s">
        <v>546</v>
      </c>
      <c r="F1006" t="s">
        <v>3407</v>
      </c>
      <c r="G1006" t="s">
        <v>1304</v>
      </c>
      <c r="H1006" t="s">
        <v>1025</v>
      </c>
      <c r="I1006">
        <f t="shared" si="15"/>
        <v>4</v>
      </c>
      <c r="J1006" t="s">
        <v>121</v>
      </c>
      <c r="K1006" t="str" cm="1">
        <f t="array" ref="K1006">_xlfn.SWITCH(TRIM(UPPER(J1006)),
"BUSINESS", "Short Stay",
"CONFERENCE", "Medium Stay",
"VACATION", "Iong Stay",
"HOLIDAY", "Long Stay",
"V", "Leisure",
"UNKNOWN", "Unknown",
"Other")</f>
        <v>Iong Stay</v>
      </c>
    </row>
    <row r="1007" spans="1:11" x14ac:dyDescent="0.3">
      <c r="A1007" t="s">
        <v>3408</v>
      </c>
      <c r="B1007" t="s">
        <v>1966</v>
      </c>
      <c r="C1007" t="s">
        <v>30</v>
      </c>
      <c r="D1007" t="s">
        <v>3409</v>
      </c>
      <c r="E1007" t="s">
        <v>149</v>
      </c>
      <c r="F1007" t="s">
        <v>3410</v>
      </c>
      <c r="G1007" t="s">
        <v>1176</v>
      </c>
      <c r="H1007" t="s">
        <v>485</v>
      </c>
      <c r="I1007">
        <f t="shared" si="15"/>
        <v>2</v>
      </c>
      <c r="J1007" t="s">
        <v>27</v>
      </c>
      <c r="K1007" t="str" cm="1">
        <f t="array" ref="K1007">_xlfn.SWITCH(TRIM(UPPER(J1007)),
"BUSINESS", "Short Stay",
"CONFERENCE", "Medium Stay",
"VACATION", "Iong Stay",
"HOLIDAY", "Long Stay",
"V", "Leisure",
"UNKNOWN", "Unknown",
"Other")</f>
        <v>Medium Stay</v>
      </c>
    </row>
    <row r="1008" spans="1:11" x14ac:dyDescent="0.3">
      <c r="A1008" t="s">
        <v>3411</v>
      </c>
      <c r="B1008" t="s">
        <v>1358</v>
      </c>
      <c r="C1008" t="s">
        <v>61</v>
      </c>
      <c r="D1008" t="s">
        <v>1879</v>
      </c>
      <c r="E1008" t="s">
        <v>32</v>
      </c>
      <c r="F1008" t="s">
        <v>3412</v>
      </c>
      <c r="G1008" t="s">
        <v>924</v>
      </c>
      <c r="H1008" t="s">
        <v>2094</v>
      </c>
      <c r="I1008">
        <f t="shared" si="15"/>
        <v>4</v>
      </c>
      <c r="J1008" t="s">
        <v>121</v>
      </c>
      <c r="K1008" t="str" cm="1">
        <f t="array" ref="K1008">_xlfn.SWITCH(TRIM(UPPER(J1008)),
"BUSINESS", "Short Stay",
"CONFERENCE", "Medium Stay",
"VACATION", "Iong Stay",
"HOLIDAY", "Long Stay",
"V", "Leisure",
"UNKNOWN", "Unknown",
"Other")</f>
        <v>Iong Stay</v>
      </c>
    </row>
    <row r="1009" spans="1:11" x14ac:dyDescent="0.3">
      <c r="A1009" t="s">
        <v>3413</v>
      </c>
      <c r="B1009" t="s">
        <v>2513</v>
      </c>
      <c r="C1009" t="s">
        <v>12</v>
      </c>
      <c r="D1009" t="s">
        <v>3414</v>
      </c>
      <c r="E1009" t="s">
        <v>85</v>
      </c>
      <c r="F1009" t="s">
        <v>3415</v>
      </c>
      <c r="G1009" t="s">
        <v>2516</v>
      </c>
      <c r="H1009" t="s">
        <v>594</v>
      </c>
      <c r="I1009">
        <f t="shared" si="15"/>
        <v>5</v>
      </c>
      <c r="J1009" t="s">
        <v>27</v>
      </c>
      <c r="K1009" t="str" cm="1">
        <f t="array" ref="K1009">_xlfn.SWITCH(TRIM(UPPER(J1009)),
"BUSINESS", "Short Stay",
"CONFERENCE", "Medium Stay",
"VACATION", "Iong Stay",
"HOLIDAY", "Long Stay",
"V", "Leisure",
"UNKNOWN", "Unknown",
"Other")</f>
        <v>Medium Stay</v>
      </c>
    </row>
    <row r="1010" spans="1:11" x14ac:dyDescent="0.3">
      <c r="A1010" t="s">
        <v>3416</v>
      </c>
      <c r="B1010" t="s">
        <v>279</v>
      </c>
      <c r="C1010" t="s">
        <v>30</v>
      </c>
      <c r="D1010" t="s">
        <v>1342</v>
      </c>
      <c r="E1010" t="s">
        <v>201</v>
      </c>
      <c r="F1010" t="s">
        <v>3417</v>
      </c>
      <c r="G1010" t="s">
        <v>282</v>
      </c>
      <c r="H1010" t="s">
        <v>1432</v>
      </c>
      <c r="I1010">
        <f t="shared" si="15"/>
        <v>5</v>
      </c>
      <c r="J1010" t="s">
        <v>27</v>
      </c>
      <c r="K1010" t="str" cm="1">
        <f t="array" ref="K1010">_xlfn.SWITCH(TRIM(UPPER(J1010)),
"BUSINESS", "Short Stay",
"CONFERENCE", "Medium Stay",
"VACATION", "Iong Stay",
"HOLIDAY", "Long Stay",
"V", "Leisure",
"UNKNOWN", "Unknown",
"Other")</f>
        <v>Medium Stay</v>
      </c>
    </row>
    <row r="1011" spans="1:11" x14ac:dyDescent="0.3">
      <c r="A1011" t="s">
        <v>3418</v>
      </c>
      <c r="B1011" t="s">
        <v>851</v>
      </c>
      <c r="C1011" t="s">
        <v>61</v>
      </c>
      <c r="D1011" t="s">
        <v>3419</v>
      </c>
      <c r="E1011" t="s">
        <v>14</v>
      </c>
      <c r="F1011" t="s">
        <v>3420</v>
      </c>
      <c r="G1011" t="s">
        <v>204</v>
      </c>
      <c r="H1011" t="s">
        <v>539</v>
      </c>
      <c r="I1011">
        <f t="shared" si="15"/>
        <v>4</v>
      </c>
      <c r="J1011" t="s">
        <v>27</v>
      </c>
      <c r="K1011" t="str" cm="1">
        <f t="array" ref="K1011">_xlfn.SWITCH(TRIM(UPPER(J1011)),
"BUSINESS", "Short Stay",
"CONFERENCE", "Medium Stay",
"VACATION", "Iong Stay",
"HOLIDAY", "Long Stay",
"V", "Leisure",
"UNKNOWN", "Unknown",
"Other")</f>
        <v>Medium Stay</v>
      </c>
    </row>
    <row r="1012" spans="1:11" x14ac:dyDescent="0.3">
      <c r="A1012" t="s">
        <v>3421</v>
      </c>
      <c r="B1012" t="s">
        <v>224</v>
      </c>
      <c r="C1012" t="s">
        <v>12</v>
      </c>
      <c r="D1012" t="s">
        <v>3422</v>
      </c>
      <c r="E1012" t="s">
        <v>458</v>
      </c>
      <c r="F1012" t="s">
        <v>1570</v>
      </c>
      <c r="G1012" t="s">
        <v>227</v>
      </c>
      <c r="H1012" t="s">
        <v>691</v>
      </c>
      <c r="I1012">
        <f t="shared" si="15"/>
        <v>2</v>
      </c>
      <c r="J1012" t="s">
        <v>18</v>
      </c>
      <c r="K1012" t="str" cm="1">
        <f t="array" ref="K1012">_xlfn.SWITCH(TRIM(UPPER(J1012)),
"BUSINESS", "Short Stay",
"CONFERENCE", "Medium Stay",
"VACATION", "Iong Stay",
"HOLIDAY", "Long Stay",
"V", "Leisure",
"UNKNOWN", "Unknown",
"Other")</f>
        <v>Short Stay</v>
      </c>
    </row>
    <row r="1013" spans="1:11" x14ac:dyDescent="0.3">
      <c r="A1013" t="s">
        <v>3423</v>
      </c>
      <c r="B1013" t="s">
        <v>1656</v>
      </c>
      <c r="C1013" t="s">
        <v>61</v>
      </c>
      <c r="D1013" t="s">
        <v>2747</v>
      </c>
      <c r="E1013" t="s">
        <v>63</v>
      </c>
      <c r="F1013" t="s">
        <v>3424</v>
      </c>
      <c r="G1013" t="s">
        <v>1659</v>
      </c>
      <c r="H1013" t="s">
        <v>764</v>
      </c>
      <c r="I1013">
        <f t="shared" si="15"/>
        <v>1</v>
      </c>
      <c r="J1013" t="s">
        <v>44</v>
      </c>
      <c r="K1013" t="str" cm="1">
        <f t="array" ref="K1013">_xlfn.SWITCH(TRIM(UPPER(J1013)),
"BUSINESS", "Short Stay",
"CONFERENCE", "Medium Stay",
"VACATION", "Iong Stay",
"HOLIDAY", "Long Stay",
"V", "Leisure",
"UNKNOWN", "Unknown",
"Other")</f>
        <v>Other</v>
      </c>
    </row>
    <row r="1014" spans="1:11" x14ac:dyDescent="0.3">
      <c r="A1014" t="s">
        <v>3425</v>
      </c>
      <c r="B1014" t="s">
        <v>831</v>
      </c>
      <c r="C1014" t="s">
        <v>97</v>
      </c>
      <c r="D1014" t="s">
        <v>301</v>
      </c>
      <c r="E1014" t="s">
        <v>149</v>
      </c>
      <c r="F1014" t="s">
        <v>3426</v>
      </c>
      <c r="G1014" t="s">
        <v>369</v>
      </c>
      <c r="H1014" t="s">
        <v>94</v>
      </c>
      <c r="I1014">
        <f t="shared" si="15"/>
        <v>3</v>
      </c>
      <c r="J1014" t="s">
        <v>121</v>
      </c>
      <c r="K1014" t="str" cm="1">
        <f t="array" ref="K1014">_xlfn.SWITCH(TRIM(UPPER(J1014)),
"BUSINESS", "Short Stay",
"CONFERENCE", "Medium Stay",
"VACATION", "Iong Stay",
"HOLIDAY", "Long Stay",
"V", "Leisure",
"UNKNOWN", "Unknown",
"Other")</f>
        <v>Iong Stay</v>
      </c>
    </row>
    <row r="1015" spans="1:11" x14ac:dyDescent="0.3">
      <c r="A1015" t="s">
        <v>3427</v>
      </c>
      <c r="B1015" t="s">
        <v>1835</v>
      </c>
      <c r="C1015" t="s">
        <v>174</v>
      </c>
      <c r="D1015" t="s">
        <v>3428</v>
      </c>
      <c r="E1015" t="s">
        <v>117</v>
      </c>
      <c r="F1015" t="s">
        <v>3429</v>
      </c>
      <c r="G1015" t="s">
        <v>803</v>
      </c>
      <c r="H1015" t="s">
        <v>577</v>
      </c>
      <c r="I1015">
        <f t="shared" si="15"/>
        <v>2</v>
      </c>
      <c r="J1015" t="s">
        <v>18</v>
      </c>
      <c r="K1015" t="str" cm="1">
        <f t="array" ref="K1015">_xlfn.SWITCH(TRIM(UPPER(J1015)),
"BUSINESS", "Short Stay",
"CONFERENCE", "Medium Stay",
"VACATION", "Iong Stay",
"HOLIDAY", "Long Stay",
"V", "Leisure",
"UNKNOWN", "Unknown",
"Other")</f>
        <v>Short Stay</v>
      </c>
    </row>
    <row r="1016" spans="1:11" x14ac:dyDescent="0.3">
      <c r="A1016" t="s">
        <v>3430</v>
      </c>
      <c r="B1016" t="s">
        <v>777</v>
      </c>
      <c r="C1016" t="s">
        <v>61</v>
      </c>
      <c r="D1016" t="s">
        <v>3431</v>
      </c>
      <c r="E1016" t="s">
        <v>40</v>
      </c>
      <c r="F1016" t="s">
        <v>3432</v>
      </c>
      <c r="G1016" t="s">
        <v>780</v>
      </c>
      <c r="H1016" t="s">
        <v>963</v>
      </c>
      <c r="I1016">
        <f t="shared" si="15"/>
        <v>5</v>
      </c>
      <c r="J1016" t="s">
        <v>44</v>
      </c>
      <c r="K1016" t="str" cm="1">
        <f t="array" ref="K1016">_xlfn.SWITCH(TRIM(UPPER(J1016)),
"BUSINESS", "Short Stay",
"CONFERENCE", "Medium Stay",
"VACATION", "Iong Stay",
"HOLIDAY", "Long Stay",
"V", "Leisure",
"UNKNOWN", "Unknown",
"Other")</f>
        <v>Other</v>
      </c>
    </row>
    <row r="1017" spans="1:11" x14ac:dyDescent="0.3">
      <c r="A1017" t="s">
        <v>3433</v>
      </c>
      <c r="B1017" t="s">
        <v>818</v>
      </c>
      <c r="C1017" t="s">
        <v>38</v>
      </c>
      <c r="D1017" t="s">
        <v>3051</v>
      </c>
      <c r="E1017" t="s">
        <v>149</v>
      </c>
      <c r="F1017" t="s">
        <v>3434</v>
      </c>
      <c r="G1017" t="s">
        <v>821</v>
      </c>
      <c r="H1017" t="s">
        <v>79</v>
      </c>
      <c r="I1017">
        <f t="shared" si="15"/>
        <v>2</v>
      </c>
      <c r="J1017" t="s">
        <v>27</v>
      </c>
      <c r="K1017" t="str" cm="1">
        <f t="array" ref="K1017">_xlfn.SWITCH(TRIM(UPPER(J1017)),
"BUSINESS", "Short Stay",
"CONFERENCE", "Medium Stay",
"VACATION", "Iong Stay",
"HOLIDAY", "Long Stay",
"V", "Leisure",
"UNKNOWN", "Unknown",
"Other")</f>
        <v>Medium Stay</v>
      </c>
    </row>
    <row r="1018" spans="1:11" x14ac:dyDescent="0.3">
      <c r="A1018" t="s">
        <v>3435</v>
      </c>
      <c r="B1018" t="s">
        <v>2264</v>
      </c>
      <c r="C1018" t="s">
        <v>12</v>
      </c>
      <c r="D1018" t="s">
        <v>883</v>
      </c>
      <c r="E1018" t="s">
        <v>14</v>
      </c>
      <c r="F1018" t="s">
        <v>3436</v>
      </c>
      <c r="G1018" t="s">
        <v>1857</v>
      </c>
      <c r="H1018" t="s">
        <v>1007</v>
      </c>
      <c r="I1018">
        <f t="shared" si="15"/>
        <v>2</v>
      </c>
      <c r="J1018" t="s">
        <v>121</v>
      </c>
      <c r="K1018" t="str" cm="1">
        <f t="array" ref="K1018">_xlfn.SWITCH(TRIM(UPPER(J1018)),
"BUSINESS", "Short Stay",
"CONFERENCE", "Medium Stay",
"VACATION", "Iong Stay",
"HOLIDAY", "Long Stay",
"V", "Leisure",
"UNKNOWN", "Unknown",
"Other")</f>
        <v>Iong Stay</v>
      </c>
    </row>
    <row r="1019" spans="1:11" x14ac:dyDescent="0.3">
      <c r="A1019" t="s">
        <v>3437</v>
      </c>
      <c r="B1019" t="s">
        <v>2437</v>
      </c>
      <c r="C1019" t="s">
        <v>75</v>
      </c>
      <c r="D1019" t="s">
        <v>3438</v>
      </c>
      <c r="E1019" t="s">
        <v>117</v>
      </c>
      <c r="F1019" t="s">
        <v>3439</v>
      </c>
      <c r="G1019" t="s">
        <v>2094</v>
      </c>
      <c r="H1019" t="s">
        <v>93</v>
      </c>
      <c r="I1019">
        <f t="shared" si="15"/>
        <v>4</v>
      </c>
      <c r="J1019" t="s">
        <v>27</v>
      </c>
      <c r="K1019" t="str" cm="1">
        <f t="array" ref="K1019">_xlfn.SWITCH(TRIM(UPPER(J1019)),
"BUSINESS", "Short Stay",
"CONFERENCE", "Medium Stay",
"VACATION", "Iong Stay",
"HOLIDAY", "Long Stay",
"V", "Leisure",
"UNKNOWN", "Unknown",
"Other")</f>
        <v>Medium Stay</v>
      </c>
    </row>
    <row r="1020" spans="1:11" x14ac:dyDescent="0.3">
      <c r="A1020" t="s">
        <v>3440</v>
      </c>
      <c r="B1020" t="s">
        <v>11</v>
      </c>
      <c r="C1020" t="s">
        <v>61</v>
      </c>
      <c r="D1020" t="s">
        <v>2556</v>
      </c>
      <c r="E1020" t="s">
        <v>149</v>
      </c>
      <c r="F1020" t="s">
        <v>3441</v>
      </c>
      <c r="G1020" t="s">
        <v>16</v>
      </c>
      <c r="H1020" t="s">
        <v>1160</v>
      </c>
      <c r="I1020">
        <f t="shared" si="15"/>
        <v>3</v>
      </c>
      <c r="J1020" t="s">
        <v>44</v>
      </c>
      <c r="K1020" t="str" cm="1">
        <f t="array" ref="K1020">_xlfn.SWITCH(TRIM(UPPER(J1020)),
"BUSINESS", "Short Stay",
"CONFERENCE", "Medium Stay",
"VACATION", "Iong Stay",
"HOLIDAY", "Long Stay",
"V", "Leisure",
"UNKNOWN", "Unknown",
"Other")</f>
        <v>Other</v>
      </c>
    </row>
    <row r="1021" spans="1:11" x14ac:dyDescent="0.3">
      <c r="A1021" t="s">
        <v>3442</v>
      </c>
      <c r="B1021" t="s">
        <v>450</v>
      </c>
      <c r="C1021" t="s">
        <v>12</v>
      </c>
      <c r="D1021" t="s">
        <v>253</v>
      </c>
      <c r="E1021" t="s">
        <v>149</v>
      </c>
      <c r="F1021" t="s">
        <v>3443</v>
      </c>
      <c r="G1021" t="s">
        <v>453</v>
      </c>
      <c r="H1021" t="s">
        <v>1793</v>
      </c>
      <c r="I1021">
        <f t="shared" si="15"/>
        <v>2</v>
      </c>
      <c r="J1021" t="s">
        <v>44</v>
      </c>
      <c r="K1021" t="str" cm="1">
        <f t="array" ref="K1021">_xlfn.SWITCH(TRIM(UPPER(J1021)),
"BUSINESS", "Short Stay",
"CONFERENCE", "Medium Stay",
"VACATION", "Iong Stay",
"HOLIDAY", "Long Stay",
"V", "Leisure",
"UNKNOWN", "Unknown",
"Other")</f>
        <v>Other</v>
      </c>
    </row>
    <row r="1022" spans="1:11" x14ac:dyDescent="0.3">
      <c r="A1022" t="s">
        <v>3444</v>
      </c>
      <c r="B1022" t="s">
        <v>1245</v>
      </c>
      <c r="C1022" t="s">
        <v>54</v>
      </c>
      <c r="D1022" t="s">
        <v>2446</v>
      </c>
      <c r="E1022" t="s">
        <v>85</v>
      </c>
      <c r="F1022" t="s">
        <v>3445</v>
      </c>
      <c r="G1022" t="s">
        <v>1248</v>
      </c>
      <c r="H1022" t="s">
        <v>568</v>
      </c>
      <c r="I1022">
        <f t="shared" si="15"/>
        <v>2</v>
      </c>
      <c r="J1022" t="s">
        <v>121</v>
      </c>
      <c r="K1022" t="str" cm="1">
        <f t="array" ref="K1022">_xlfn.SWITCH(TRIM(UPPER(J1022)),
"BUSINESS", "Short Stay",
"CONFERENCE", "Medium Stay",
"VACATION", "Iong Stay",
"HOLIDAY", "Long Stay",
"V", "Leisure",
"UNKNOWN", "Unknown",
"Other")</f>
        <v>Iong Stay</v>
      </c>
    </row>
    <row r="1023" spans="1:11" x14ac:dyDescent="0.3">
      <c r="A1023" t="s">
        <v>3446</v>
      </c>
      <c r="B1023" t="s">
        <v>1473</v>
      </c>
      <c r="C1023" t="s">
        <v>54</v>
      </c>
      <c r="D1023" t="s">
        <v>2090</v>
      </c>
      <c r="E1023" t="s">
        <v>214</v>
      </c>
      <c r="F1023" t="s">
        <v>3447</v>
      </c>
      <c r="G1023" t="s">
        <v>191</v>
      </c>
      <c r="H1023" t="s">
        <v>621</v>
      </c>
      <c r="I1023">
        <f t="shared" si="15"/>
        <v>5</v>
      </c>
      <c r="J1023" t="s">
        <v>44</v>
      </c>
      <c r="K1023" t="str" cm="1">
        <f t="array" ref="K1023">_xlfn.SWITCH(TRIM(UPPER(J1023)),
"BUSINESS", "Short Stay",
"CONFERENCE", "Medium Stay",
"VACATION", "Iong Stay",
"HOLIDAY", "Long Stay",
"V", "Leisure",
"UNKNOWN", "Unknown",
"Other")</f>
        <v>Other</v>
      </c>
    </row>
    <row r="1024" spans="1:11" x14ac:dyDescent="0.3">
      <c r="A1024" t="s">
        <v>3448</v>
      </c>
      <c r="B1024" t="s">
        <v>2503</v>
      </c>
      <c r="C1024" t="s">
        <v>174</v>
      </c>
      <c r="D1024" t="s">
        <v>55</v>
      </c>
      <c r="E1024" t="s">
        <v>176</v>
      </c>
      <c r="F1024" t="s">
        <v>3449</v>
      </c>
      <c r="G1024" t="s">
        <v>2505</v>
      </c>
      <c r="H1024" t="s">
        <v>297</v>
      </c>
      <c r="I1024">
        <f t="shared" si="15"/>
        <v>1</v>
      </c>
      <c r="J1024" t="s">
        <v>121</v>
      </c>
      <c r="K1024" t="str" cm="1">
        <f t="array" ref="K1024">_xlfn.SWITCH(TRIM(UPPER(J1024)),
"BUSINESS", "Short Stay",
"CONFERENCE", "Medium Stay",
"VACATION", "Iong Stay",
"HOLIDAY", "Long Stay",
"V", "Leisure",
"UNKNOWN", "Unknown",
"Other")</f>
        <v>Iong Stay</v>
      </c>
    </row>
    <row r="1025" spans="1:11" x14ac:dyDescent="0.3">
      <c r="A1025" t="s">
        <v>3450</v>
      </c>
      <c r="B1025" t="s">
        <v>2717</v>
      </c>
      <c r="C1025" t="s">
        <v>12</v>
      </c>
      <c r="D1025" t="s">
        <v>1710</v>
      </c>
      <c r="E1025" t="s">
        <v>77</v>
      </c>
      <c r="F1025" t="s">
        <v>3451</v>
      </c>
      <c r="G1025" t="s">
        <v>239</v>
      </c>
      <c r="H1025" t="s">
        <v>1020</v>
      </c>
      <c r="I1025">
        <f t="shared" si="15"/>
        <v>1</v>
      </c>
      <c r="J1025" t="s">
        <v>44</v>
      </c>
      <c r="K1025" t="str" cm="1">
        <f t="array" ref="K1025">_xlfn.SWITCH(TRIM(UPPER(J1025)),
"BUSINESS", "Short Stay",
"CONFERENCE", "Medium Stay",
"VACATION", "Iong Stay",
"HOLIDAY", "Long Stay",
"V", "Leisure",
"UNKNOWN", "Unknown",
"Other")</f>
        <v>Other</v>
      </c>
    </row>
    <row r="1026" spans="1:11" x14ac:dyDescent="0.3">
      <c r="A1026" t="s">
        <v>3452</v>
      </c>
      <c r="B1026" t="s">
        <v>3098</v>
      </c>
      <c r="C1026" t="s">
        <v>75</v>
      </c>
      <c r="D1026" t="s">
        <v>542</v>
      </c>
      <c r="E1026" t="s">
        <v>201</v>
      </c>
      <c r="F1026" t="s">
        <v>3453</v>
      </c>
      <c r="G1026" t="s">
        <v>2767</v>
      </c>
      <c r="H1026" t="s">
        <v>668</v>
      </c>
      <c r="I1026">
        <f t="shared" si="15"/>
        <v>3</v>
      </c>
      <c r="J1026" t="s">
        <v>121</v>
      </c>
      <c r="K1026" t="str" cm="1">
        <f t="array" ref="K1026">_xlfn.SWITCH(TRIM(UPPER(J1026)),
"BUSINESS", "Short Stay",
"CONFERENCE", "Medium Stay",
"VACATION", "Iong Stay",
"HOLIDAY", "Long Stay",
"V", "Leisure",
"UNKNOWN", "Unknown",
"Other")</f>
        <v>Iong Stay</v>
      </c>
    </row>
    <row r="1027" spans="1:11" x14ac:dyDescent="0.3">
      <c r="A1027" t="s">
        <v>3454</v>
      </c>
      <c r="B1027" t="s">
        <v>1001</v>
      </c>
      <c r="C1027" t="s">
        <v>30</v>
      </c>
      <c r="D1027" t="s">
        <v>3455</v>
      </c>
      <c r="E1027" t="s">
        <v>201</v>
      </c>
      <c r="F1027" t="s">
        <v>3456</v>
      </c>
      <c r="G1027" t="s">
        <v>233</v>
      </c>
      <c r="H1027" t="s">
        <v>437</v>
      </c>
      <c r="I1027">
        <f t="shared" ref="I1027:I1090" si="16">H1027-G1027</f>
        <v>5</v>
      </c>
      <c r="J1027" t="s">
        <v>44</v>
      </c>
      <c r="K1027" t="str" cm="1">
        <f t="array" ref="K1027">_xlfn.SWITCH(TRIM(UPPER(J1027)),
"BUSINESS", "Short Stay",
"CONFERENCE", "Medium Stay",
"VACATION", "Iong Stay",
"HOLIDAY", "Long Stay",
"V", "Leisure",
"UNKNOWN", "Unknown",
"Other")</f>
        <v>Other</v>
      </c>
    </row>
    <row r="1028" spans="1:11" x14ac:dyDescent="0.3">
      <c r="A1028" t="s">
        <v>3457</v>
      </c>
      <c r="B1028" t="s">
        <v>385</v>
      </c>
      <c r="C1028" t="s">
        <v>61</v>
      </c>
      <c r="D1028" t="s">
        <v>3367</v>
      </c>
      <c r="E1028" t="s">
        <v>117</v>
      </c>
      <c r="F1028" t="s">
        <v>3458</v>
      </c>
      <c r="G1028" t="s">
        <v>80</v>
      </c>
      <c r="H1028" t="s">
        <v>658</v>
      </c>
      <c r="I1028">
        <f t="shared" si="16"/>
        <v>4</v>
      </c>
      <c r="J1028" t="s">
        <v>27</v>
      </c>
      <c r="K1028" t="str" cm="1">
        <f t="array" ref="K1028">_xlfn.SWITCH(TRIM(UPPER(J1028)),
"BUSINESS", "Short Stay",
"CONFERENCE", "Medium Stay",
"VACATION", "Iong Stay",
"HOLIDAY", "Long Stay",
"V", "Leisure",
"UNKNOWN", "Unknown",
"Other")</f>
        <v>Medium Stay</v>
      </c>
    </row>
    <row r="1029" spans="1:11" x14ac:dyDescent="0.3">
      <c r="A1029" t="s">
        <v>3459</v>
      </c>
      <c r="B1029" t="s">
        <v>306</v>
      </c>
      <c r="C1029" t="s">
        <v>54</v>
      </c>
      <c r="D1029" t="s">
        <v>3460</v>
      </c>
      <c r="E1029" t="s">
        <v>314</v>
      </c>
      <c r="F1029" t="s">
        <v>3461</v>
      </c>
      <c r="G1029" t="s">
        <v>309</v>
      </c>
      <c r="H1029" t="s">
        <v>735</v>
      </c>
      <c r="I1029">
        <f t="shared" si="16"/>
        <v>1</v>
      </c>
      <c r="J1029" t="s">
        <v>44</v>
      </c>
      <c r="K1029" t="str" cm="1">
        <f t="array" ref="K1029">_xlfn.SWITCH(TRIM(UPPER(J1029)),
"BUSINESS", "Short Stay",
"CONFERENCE", "Medium Stay",
"VACATION", "Iong Stay",
"HOLIDAY", "Long Stay",
"V", "Leisure",
"UNKNOWN", "Unknown",
"Other")</f>
        <v>Other</v>
      </c>
    </row>
    <row r="1030" spans="1:11" x14ac:dyDescent="0.3">
      <c r="A1030" t="s">
        <v>3462</v>
      </c>
      <c r="B1030" t="s">
        <v>2761</v>
      </c>
      <c r="C1030" t="s">
        <v>83</v>
      </c>
      <c r="D1030" t="s">
        <v>2575</v>
      </c>
      <c r="E1030" t="s">
        <v>23</v>
      </c>
      <c r="F1030" t="s">
        <v>3463</v>
      </c>
      <c r="G1030" t="s">
        <v>2550</v>
      </c>
      <c r="H1030" t="s">
        <v>739</v>
      </c>
      <c r="I1030">
        <f t="shared" si="16"/>
        <v>4</v>
      </c>
      <c r="J1030" t="s">
        <v>27</v>
      </c>
      <c r="K1030" t="str" cm="1">
        <f t="array" ref="K1030">_xlfn.SWITCH(TRIM(UPPER(J1030)),
"BUSINESS", "Short Stay",
"CONFERENCE", "Medium Stay",
"VACATION", "Iong Stay",
"HOLIDAY", "Long Stay",
"V", "Leisure",
"UNKNOWN", "Unknown",
"Other")</f>
        <v>Medium Stay</v>
      </c>
    </row>
    <row r="1031" spans="1:11" x14ac:dyDescent="0.3">
      <c r="A1031" t="s">
        <v>3464</v>
      </c>
      <c r="B1031" t="s">
        <v>996</v>
      </c>
      <c r="C1031" t="s">
        <v>30</v>
      </c>
      <c r="D1031" t="s">
        <v>1896</v>
      </c>
      <c r="E1031" t="s">
        <v>214</v>
      </c>
      <c r="F1031" t="s">
        <v>3465</v>
      </c>
      <c r="G1031" t="s">
        <v>998</v>
      </c>
      <c r="H1031" t="s">
        <v>1763</v>
      </c>
      <c r="I1031">
        <f t="shared" si="16"/>
        <v>5</v>
      </c>
      <c r="J1031" t="s">
        <v>44</v>
      </c>
      <c r="K1031" t="str" cm="1">
        <f t="array" ref="K1031">_xlfn.SWITCH(TRIM(UPPER(J1031)),
"BUSINESS", "Short Stay",
"CONFERENCE", "Medium Stay",
"VACATION", "Iong Stay",
"HOLIDAY", "Long Stay",
"V", "Leisure",
"UNKNOWN", "Unknown",
"Other")</f>
        <v>Other</v>
      </c>
    </row>
    <row r="1032" spans="1:11" x14ac:dyDescent="0.3">
      <c r="A1032" t="s">
        <v>3466</v>
      </c>
      <c r="B1032" t="s">
        <v>2257</v>
      </c>
      <c r="C1032" t="s">
        <v>174</v>
      </c>
      <c r="D1032" t="s">
        <v>2400</v>
      </c>
      <c r="E1032" t="s">
        <v>77</v>
      </c>
      <c r="F1032" t="s">
        <v>3467</v>
      </c>
      <c r="G1032" t="s">
        <v>753</v>
      </c>
      <c r="H1032" t="s">
        <v>485</v>
      </c>
      <c r="I1032">
        <f t="shared" si="16"/>
        <v>1</v>
      </c>
      <c r="J1032" t="s">
        <v>44</v>
      </c>
      <c r="K1032" t="str" cm="1">
        <f t="array" ref="K1032">_xlfn.SWITCH(TRIM(UPPER(J1032)),
"BUSINESS", "Short Stay",
"CONFERENCE", "Medium Stay",
"VACATION", "Iong Stay",
"HOLIDAY", "Long Stay",
"V", "Leisure",
"UNKNOWN", "Unknown",
"Other")</f>
        <v>Other</v>
      </c>
    </row>
    <row r="1033" spans="1:11" x14ac:dyDescent="0.3">
      <c r="A1033" t="s">
        <v>3468</v>
      </c>
      <c r="B1033" t="s">
        <v>3009</v>
      </c>
      <c r="C1033" t="s">
        <v>61</v>
      </c>
      <c r="D1033" t="s">
        <v>3303</v>
      </c>
      <c r="E1033" t="s">
        <v>48</v>
      </c>
      <c r="F1033" t="s">
        <v>3469</v>
      </c>
      <c r="G1033" t="s">
        <v>839</v>
      </c>
      <c r="H1033" t="s">
        <v>877</v>
      </c>
      <c r="I1033">
        <f t="shared" si="16"/>
        <v>3</v>
      </c>
      <c r="J1033" t="s">
        <v>27</v>
      </c>
      <c r="K1033" t="str" cm="1">
        <f t="array" ref="K1033">_xlfn.SWITCH(TRIM(UPPER(J1033)),
"BUSINESS", "Short Stay",
"CONFERENCE", "Medium Stay",
"VACATION", "Iong Stay",
"HOLIDAY", "Long Stay",
"V", "Leisure",
"UNKNOWN", "Unknown",
"Other")</f>
        <v>Medium Stay</v>
      </c>
    </row>
    <row r="1034" spans="1:11" x14ac:dyDescent="0.3">
      <c r="A1034" t="s">
        <v>3470</v>
      </c>
      <c r="B1034" t="s">
        <v>1473</v>
      </c>
      <c r="C1034" t="s">
        <v>75</v>
      </c>
      <c r="D1034" t="s">
        <v>3471</v>
      </c>
      <c r="E1034" t="s">
        <v>48</v>
      </c>
      <c r="F1034" t="s">
        <v>3472</v>
      </c>
      <c r="G1034" t="s">
        <v>191</v>
      </c>
      <c r="H1034" t="s">
        <v>101</v>
      </c>
      <c r="I1034">
        <f t="shared" si="16"/>
        <v>1</v>
      </c>
      <c r="J1034" t="s">
        <v>18</v>
      </c>
      <c r="K1034" t="str" cm="1">
        <f t="array" ref="K1034">_xlfn.SWITCH(TRIM(UPPER(J1034)),
"BUSINESS", "Short Stay",
"CONFERENCE", "Medium Stay",
"VACATION", "Iong Stay",
"HOLIDAY", "Long Stay",
"V", "Leisure",
"UNKNOWN", "Unknown",
"Other")</f>
        <v>Short Stay</v>
      </c>
    </row>
    <row r="1035" spans="1:11" x14ac:dyDescent="0.3">
      <c r="A1035" t="s">
        <v>3473</v>
      </c>
      <c r="B1035" t="s">
        <v>652</v>
      </c>
      <c r="C1035" t="s">
        <v>54</v>
      </c>
      <c r="D1035" t="s">
        <v>2811</v>
      </c>
      <c r="E1035" t="s">
        <v>314</v>
      </c>
      <c r="F1035" t="s">
        <v>3474</v>
      </c>
      <c r="G1035" t="s">
        <v>127</v>
      </c>
      <c r="H1035" t="s">
        <v>1109</v>
      </c>
      <c r="I1035">
        <f t="shared" si="16"/>
        <v>1</v>
      </c>
      <c r="J1035" t="s">
        <v>27</v>
      </c>
      <c r="K1035" t="str" cm="1">
        <f t="array" ref="K1035">_xlfn.SWITCH(TRIM(UPPER(J1035)),
"BUSINESS", "Short Stay",
"CONFERENCE", "Medium Stay",
"VACATION", "Iong Stay",
"HOLIDAY", "Long Stay",
"V", "Leisure",
"UNKNOWN", "Unknown",
"Other")</f>
        <v>Medium Stay</v>
      </c>
    </row>
    <row r="1036" spans="1:11" x14ac:dyDescent="0.3">
      <c r="A1036" t="s">
        <v>3475</v>
      </c>
      <c r="B1036" t="s">
        <v>665</v>
      </c>
      <c r="C1036" t="s">
        <v>83</v>
      </c>
      <c r="D1036" t="s">
        <v>3372</v>
      </c>
      <c r="E1036" t="s">
        <v>430</v>
      </c>
      <c r="F1036" t="s">
        <v>3476</v>
      </c>
      <c r="G1036" t="s">
        <v>668</v>
      </c>
      <c r="H1036" t="s">
        <v>57</v>
      </c>
      <c r="I1036">
        <f t="shared" si="16"/>
        <v>2</v>
      </c>
      <c r="J1036" t="s">
        <v>27</v>
      </c>
      <c r="K1036" t="str" cm="1">
        <f t="array" ref="K1036">_xlfn.SWITCH(TRIM(UPPER(J1036)),
"BUSINESS", "Short Stay",
"CONFERENCE", "Medium Stay",
"VACATION", "Iong Stay",
"HOLIDAY", "Long Stay",
"V", "Leisure",
"UNKNOWN", "Unknown",
"Other")</f>
        <v>Medium Stay</v>
      </c>
    </row>
    <row r="1037" spans="1:11" x14ac:dyDescent="0.3">
      <c r="A1037" t="s">
        <v>3477</v>
      </c>
      <c r="B1037" t="s">
        <v>892</v>
      </c>
      <c r="C1037" t="s">
        <v>75</v>
      </c>
      <c r="D1037" t="s">
        <v>3478</v>
      </c>
      <c r="E1037" t="s">
        <v>23</v>
      </c>
      <c r="F1037" t="s">
        <v>3479</v>
      </c>
      <c r="G1037" t="s">
        <v>895</v>
      </c>
      <c r="H1037" t="s">
        <v>1248</v>
      </c>
      <c r="I1037">
        <f t="shared" si="16"/>
        <v>2</v>
      </c>
      <c r="J1037" t="s">
        <v>44</v>
      </c>
      <c r="K1037" t="str" cm="1">
        <f t="array" ref="K1037">_xlfn.SWITCH(TRIM(UPPER(J1037)),
"BUSINESS", "Short Stay",
"CONFERENCE", "Medium Stay",
"VACATION", "Iong Stay",
"HOLIDAY", "Long Stay",
"V", "Leisure",
"UNKNOWN", "Unknown",
"Other")</f>
        <v>Other</v>
      </c>
    </row>
    <row r="1038" spans="1:11" x14ac:dyDescent="0.3">
      <c r="A1038" t="s">
        <v>3480</v>
      </c>
      <c r="B1038" t="s">
        <v>976</v>
      </c>
      <c r="C1038" t="s">
        <v>174</v>
      </c>
      <c r="D1038" t="s">
        <v>3481</v>
      </c>
      <c r="E1038" t="s">
        <v>430</v>
      </c>
      <c r="F1038" t="s">
        <v>3482</v>
      </c>
      <c r="G1038" t="s">
        <v>496</v>
      </c>
      <c r="H1038" t="s">
        <v>363</v>
      </c>
      <c r="I1038">
        <f t="shared" si="16"/>
        <v>5</v>
      </c>
      <c r="J1038" t="s">
        <v>18</v>
      </c>
      <c r="K1038" t="str" cm="1">
        <f t="array" ref="K1038">_xlfn.SWITCH(TRIM(UPPER(J1038)),
"BUSINESS", "Short Stay",
"CONFERENCE", "Medium Stay",
"VACATION", "Iong Stay",
"HOLIDAY", "Long Stay",
"V", "Leisure",
"UNKNOWN", "Unknown",
"Other")</f>
        <v>Short Stay</v>
      </c>
    </row>
    <row r="1039" spans="1:11" x14ac:dyDescent="0.3">
      <c r="A1039" t="s">
        <v>3483</v>
      </c>
      <c r="B1039" t="s">
        <v>943</v>
      </c>
      <c r="C1039" t="s">
        <v>12</v>
      </c>
      <c r="D1039" t="s">
        <v>1531</v>
      </c>
      <c r="E1039" t="s">
        <v>14</v>
      </c>
      <c r="F1039" t="s">
        <v>3484</v>
      </c>
      <c r="G1039" t="s">
        <v>339</v>
      </c>
      <c r="H1039" t="s">
        <v>238</v>
      </c>
      <c r="I1039">
        <f t="shared" si="16"/>
        <v>1</v>
      </c>
      <c r="J1039" t="s">
        <v>44</v>
      </c>
      <c r="K1039" t="str" cm="1">
        <f t="array" ref="K1039">_xlfn.SWITCH(TRIM(UPPER(J1039)),
"BUSINESS", "Short Stay",
"CONFERENCE", "Medium Stay",
"VACATION", "Iong Stay",
"HOLIDAY", "Long Stay",
"V", "Leisure",
"UNKNOWN", "Unknown",
"Other")</f>
        <v>Other</v>
      </c>
    </row>
    <row r="1040" spans="1:11" x14ac:dyDescent="0.3">
      <c r="A1040" t="s">
        <v>3485</v>
      </c>
      <c r="B1040" t="s">
        <v>900</v>
      </c>
      <c r="C1040" t="s">
        <v>61</v>
      </c>
      <c r="D1040" t="s">
        <v>3293</v>
      </c>
      <c r="E1040" t="s">
        <v>214</v>
      </c>
      <c r="F1040" t="s">
        <v>3486</v>
      </c>
      <c r="G1040" t="s">
        <v>903</v>
      </c>
      <c r="H1040" t="s">
        <v>645</v>
      </c>
      <c r="I1040">
        <f t="shared" si="16"/>
        <v>3</v>
      </c>
      <c r="J1040" t="s">
        <v>18</v>
      </c>
      <c r="K1040" t="str" cm="1">
        <f t="array" ref="K1040">_xlfn.SWITCH(TRIM(UPPER(J1040)),
"BUSINESS", "Short Stay",
"CONFERENCE", "Medium Stay",
"VACATION", "Iong Stay",
"HOLIDAY", "Long Stay",
"V", "Leisure",
"UNKNOWN", "Unknown",
"Other")</f>
        <v>Short Stay</v>
      </c>
    </row>
    <row r="1041" spans="1:11" x14ac:dyDescent="0.3">
      <c r="A1041" t="s">
        <v>3487</v>
      </c>
      <c r="B1041" t="s">
        <v>728</v>
      </c>
      <c r="C1041" t="s">
        <v>61</v>
      </c>
      <c r="D1041" t="s">
        <v>3428</v>
      </c>
      <c r="E1041" t="s">
        <v>156</v>
      </c>
      <c r="F1041" t="s">
        <v>3488</v>
      </c>
      <c r="G1041" t="s">
        <v>730</v>
      </c>
      <c r="H1041" t="s">
        <v>731</v>
      </c>
      <c r="I1041">
        <f t="shared" si="16"/>
        <v>3</v>
      </c>
      <c r="J1041" t="s">
        <v>121</v>
      </c>
      <c r="K1041" t="str" cm="1">
        <f t="array" ref="K1041">_xlfn.SWITCH(TRIM(UPPER(J1041)),
"BUSINESS", "Short Stay",
"CONFERENCE", "Medium Stay",
"VACATION", "Iong Stay",
"HOLIDAY", "Long Stay",
"V", "Leisure",
"UNKNOWN", "Unknown",
"Other")</f>
        <v>Iong Stay</v>
      </c>
    </row>
    <row r="1042" spans="1:11" x14ac:dyDescent="0.3">
      <c r="A1042" t="s">
        <v>3489</v>
      </c>
      <c r="B1042" t="s">
        <v>514</v>
      </c>
      <c r="C1042" t="s">
        <v>30</v>
      </c>
      <c r="D1042" t="s">
        <v>2034</v>
      </c>
      <c r="E1042" t="s">
        <v>48</v>
      </c>
      <c r="F1042" t="s">
        <v>3490</v>
      </c>
      <c r="G1042" t="s">
        <v>517</v>
      </c>
      <c r="H1042" t="s">
        <v>317</v>
      </c>
      <c r="I1042">
        <f t="shared" si="16"/>
        <v>2</v>
      </c>
      <c r="J1042" t="s">
        <v>121</v>
      </c>
      <c r="K1042" t="str" cm="1">
        <f t="array" ref="K1042">_xlfn.SWITCH(TRIM(UPPER(J1042)),
"BUSINESS", "Short Stay",
"CONFERENCE", "Medium Stay",
"VACATION", "Iong Stay",
"HOLIDAY", "Long Stay",
"V", "Leisure",
"UNKNOWN", "Unknown",
"Other")</f>
        <v>Iong Stay</v>
      </c>
    </row>
    <row r="1043" spans="1:11" x14ac:dyDescent="0.3">
      <c r="A1043" t="s">
        <v>3491</v>
      </c>
      <c r="B1043" t="s">
        <v>498</v>
      </c>
      <c r="C1043" t="s">
        <v>61</v>
      </c>
      <c r="D1043" t="s">
        <v>3492</v>
      </c>
      <c r="E1043" t="s">
        <v>69</v>
      </c>
      <c r="F1043" t="s">
        <v>3493</v>
      </c>
      <c r="G1043" t="s">
        <v>501</v>
      </c>
      <c r="H1043" t="s">
        <v>190</v>
      </c>
      <c r="I1043">
        <f t="shared" si="16"/>
        <v>4</v>
      </c>
      <c r="J1043" t="s">
        <v>121</v>
      </c>
      <c r="K1043" t="str" cm="1">
        <f t="array" ref="K1043">_xlfn.SWITCH(TRIM(UPPER(J1043)),
"BUSINESS", "Short Stay",
"CONFERENCE", "Medium Stay",
"VACATION", "Iong Stay",
"HOLIDAY", "Long Stay",
"V", "Leisure",
"UNKNOWN", "Unknown",
"Other")</f>
        <v>Iong Stay</v>
      </c>
    </row>
    <row r="1044" spans="1:11" x14ac:dyDescent="0.3">
      <c r="A1044" t="s">
        <v>3494</v>
      </c>
      <c r="B1044" t="s">
        <v>2043</v>
      </c>
      <c r="C1044" t="s">
        <v>97</v>
      </c>
      <c r="D1044" t="s">
        <v>2204</v>
      </c>
      <c r="E1044" t="s">
        <v>48</v>
      </c>
      <c r="F1044" t="s">
        <v>3495</v>
      </c>
      <c r="G1044" t="s">
        <v>1226</v>
      </c>
      <c r="H1044" t="s">
        <v>686</v>
      </c>
      <c r="I1044">
        <f t="shared" si="16"/>
        <v>3</v>
      </c>
      <c r="J1044" t="s">
        <v>121</v>
      </c>
      <c r="K1044" t="str" cm="1">
        <f t="array" ref="K1044">_xlfn.SWITCH(TRIM(UPPER(J1044)),
"BUSINESS", "Short Stay",
"CONFERENCE", "Medium Stay",
"VACATION", "Iong Stay",
"HOLIDAY", "Long Stay",
"V", "Leisure",
"UNKNOWN", "Unknown",
"Other")</f>
        <v>Iong Stay</v>
      </c>
    </row>
    <row r="1045" spans="1:11" x14ac:dyDescent="0.3">
      <c r="A1045" t="s">
        <v>3496</v>
      </c>
      <c r="B1045" t="s">
        <v>831</v>
      </c>
      <c r="C1045" t="s">
        <v>174</v>
      </c>
      <c r="D1045" t="s">
        <v>3497</v>
      </c>
      <c r="E1045" t="s">
        <v>476</v>
      </c>
      <c r="F1045" t="s">
        <v>3498</v>
      </c>
      <c r="G1045" t="s">
        <v>369</v>
      </c>
      <c r="H1045" t="s">
        <v>93</v>
      </c>
      <c r="I1045">
        <f t="shared" si="16"/>
        <v>2</v>
      </c>
      <c r="J1045" t="s">
        <v>44</v>
      </c>
      <c r="K1045" t="str" cm="1">
        <f t="array" ref="K1045">_xlfn.SWITCH(TRIM(UPPER(J1045)),
"BUSINESS", "Short Stay",
"CONFERENCE", "Medium Stay",
"VACATION", "Iong Stay",
"HOLIDAY", "Long Stay",
"V", "Leisure",
"UNKNOWN", "Unknown",
"Other")</f>
        <v>Other</v>
      </c>
    </row>
    <row r="1046" spans="1:11" x14ac:dyDescent="0.3">
      <c r="A1046" t="s">
        <v>3499</v>
      </c>
      <c r="B1046" t="s">
        <v>247</v>
      </c>
      <c r="C1046" t="s">
        <v>174</v>
      </c>
      <c r="D1046" t="s">
        <v>3500</v>
      </c>
      <c r="E1046" t="s">
        <v>201</v>
      </c>
      <c r="F1046" t="s">
        <v>2967</v>
      </c>
      <c r="G1046" t="s">
        <v>250</v>
      </c>
      <c r="H1046" t="s">
        <v>583</v>
      </c>
      <c r="I1046">
        <f t="shared" si="16"/>
        <v>2</v>
      </c>
      <c r="J1046" t="s">
        <v>44</v>
      </c>
      <c r="K1046" t="str" cm="1">
        <f t="array" ref="K1046">_xlfn.SWITCH(TRIM(UPPER(J1046)),
"BUSINESS", "Short Stay",
"CONFERENCE", "Medium Stay",
"VACATION", "Iong Stay",
"HOLIDAY", "Long Stay",
"V", "Leisure",
"UNKNOWN", "Unknown",
"Other")</f>
        <v>Other</v>
      </c>
    </row>
    <row r="1047" spans="1:11" x14ac:dyDescent="0.3">
      <c r="A1047" t="s">
        <v>3501</v>
      </c>
      <c r="B1047" t="s">
        <v>2146</v>
      </c>
      <c r="C1047" t="s">
        <v>21</v>
      </c>
      <c r="D1047" t="s">
        <v>3346</v>
      </c>
      <c r="E1047" t="s">
        <v>23</v>
      </c>
      <c r="F1047" t="s">
        <v>3502</v>
      </c>
      <c r="G1047" t="s">
        <v>328</v>
      </c>
      <c r="H1047" t="s">
        <v>1575</v>
      </c>
      <c r="I1047">
        <f t="shared" si="16"/>
        <v>5</v>
      </c>
      <c r="J1047" t="s">
        <v>121</v>
      </c>
      <c r="K1047" t="str" cm="1">
        <f t="array" ref="K1047">_xlfn.SWITCH(TRIM(UPPER(J1047)),
"BUSINESS", "Short Stay",
"CONFERENCE", "Medium Stay",
"VACATION", "Iong Stay",
"HOLIDAY", "Long Stay",
"V", "Leisure",
"UNKNOWN", "Unknown",
"Other")</f>
        <v>Iong Stay</v>
      </c>
    </row>
    <row r="1048" spans="1:11" x14ac:dyDescent="0.3">
      <c r="A1048" t="s">
        <v>3503</v>
      </c>
      <c r="B1048" t="s">
        <v>2338</v>
      </c>
      <c r="C1048" t="s">
        <v>30</v>
      </c>
      <c r="D1048" t="s">
        <v>1749</v>
      </c>
      <c r="E1048" t="s">
        <v>32</v>
      </c>
      <c r="F1048" t="s">
        <v>3504</v>
      </c>
      <c r="G1048" t="s">
        <v>2340</v>
      </c>
      <c r="H1048" t="s">
        <v>1793</v>
      </c>
      <c r="I1048">
        <f t="shared" si="16"/>
        <v>4</v>
      </c>
      <c r="J1048" t="s">
        <v>27</v>
      </c>
      <c r="K1048" t="str" cm="1">
        <f t="array" ref="K1048">_xlfn.SWITCH(TRIM(UPPER(J1048)),
"BUSINESS", "Short Stay",
"CONFERENCE", "Medium Stay",
"VACATION", "Iong Stay",
"HOLIDAY", "Long Stay",
"V", "Leisure",
"UNKNOWN", "Unknown",
"Other")</f>
        <v>Medium Stay</v>
      </c>
    </row>
    <row r="1049" spans="1:11" x14ac:dyDescent="0.3">
      <c r="A1049" t="s">
        <v>3505</v>
      </c>
      <c r="B1049" t="s">
        <v>892</v>
      </c>
      <c r="C1049" t="s">
        <v>21</v>
      </c>
      <c r="D1049" t="s">
        <v>3506</v>
      </c>
      <c r="E1049" t="s">
        <v>14</v>
      </c>
      <c r="F1049" t="s">
        <v>3507</v>
      </c>
      <c r="G1049" t="s">
        <v>895</v>
      </c>
      <c r="H1049" t="s">
        <v>2777</v>
      </c>
      <c r="I1049">
        <f t="shared" si="16"/>
        <v>5</v>
      </c>
      <c r="J1049" t="s">
        <v>27</v>
      </c>
      <c r="K1049" t="str" cm="1">
        <f t="array" ref="K1049">_xlfn.SWITCH(TRIM(UPPER(J1049)),
"BUSINESS", "Short Stay",
"CONFERENCE", "Medium Stay",
"VACATION", "Iong Stay",
"HOLIDAY", "Long Stay",
"V", "Leisure",
"UNKNOWN", "Unknown",
"Other")</f>
        <v>Medium Stay</v>
      </c>
    </row>
    <row r="1050" spans="1:11" x14ac:dyDescent="0.3">
      <c r="A1050" t="s">
        <v>3508</v>
      </c>
      <c r="B1050" t="s">
        <v>980</v>
      </c>
      <c r="C1050" t="s">
        <v>75</v>
      </c>
      <c r="D1050" t="s">
        <v>2651</v>
      </c>
      <c r="E1050" t="s">
        <v>201</v>
      </c>
      <c r="F1050" t="s">
        <v>3509</v>
      </c>
      <c r="G1050" t="s">
        <v>983</v>
      </c>
      <c r="H1050" t="s">
        <v>2398</v>
      </c>
      <c r="I1050">
        <f t="shared" si="16"/>
        <v>3</v>
      </c>
      <c r="J1050" t="s">
        <v>44</v>
      </c>
      <c r="K1050" t="str" cm="1">
        <f t="array" ref="K1050">_xlfn.SWITCH(TRIM(UPPER(J1050)),
"BUSINESS", "Short Stay",
"CONFERENCE", "Medium Stay",
"VACATION", "Iong Stay",
"HOLIDAY", "Long Stay",
"V", "Leisure",
"UNKNOWN", "Unknown",
"Other")</f>
        <v>Other</v>
      </c>
    </row>
    <row r="1051" spans="1:11" x14ac:dyDescent="0.3">
      <c r="A1051" t="s">
        <v>3510</v>
      </c>
      <c r="B1051" t="s">
        <v>2287</v>
      </c>
      <c r="C1051" t="s">
        <v>83</v>
      </c>
      <c r="D1051" t="s">
        <v>3511</v>
      </c>
      <c r="E1051" t="s">
        <v>77</v>
      </c>
      <c r="F1051" t="s">
        <v>3512</v>
      </c>
      <c r="G1051" t="s">
        <v>2290</v>
      </c>
      <c r="H1051" t="s">
        <v>443</v>
      </c>
      <c r="I1051">
        <f t="shared" si="16"/>
        <v>1</v>
      </c>
      <c r="J1051" t="s">
        <v>27</v>
      </c>
      <c r="K1051" t="str" cm="1">
        <f t="array" ref="K1051">_xlfn.SWITCH(TRIM(UPPER(J1051)),
"BUSINESS", "Short Stay",
"CONFERENCE", "Medium Stay",
"VACATION", "Iong Stay",
"HOLIDAY", "Long Stay",
"V", "Leisure",
"UNKNOWN", "Unknown",
"Other")</f>
        <v>Medium Stay</v>
      </c>
    </row>
    <row r="1052" spans="1:11" x14ac:dyDescent="0.3">
      <c r="A1052" t="s">
        <v>3513</v>
      </c>
      <c r="B1052" t="s">
        <v>1984</v>
      </c>
      <c r="C1052" t="s">
        <v>54</v>
      </c>
      <c r="D1052" t="s">
        <v>3514</v>
      </c>
      <c r="E1052" t="s">
        <v>176</v>
      </c>
      <c r="F1052" t="s">
        <v>837</v>
      </c>
      <c r="G1052" t="s">
        <v>443</v>
      </c>
      <c r="H1052" t="s">
        <v>971</v>
      </c>
      <c r="I1052">
        <f t="shared" si="16"/>
        <v>5</v>
      </c>
      <c r="J1052" t="s">
        <v>121</v>
      </c>
      <c r="K1052" t="str" cm="1">
        <f t="array" ref="K1052">_xlfn.SWITCH(TRIM(UPPER(J1052)),
"BUSINESS", "Short Stay",
"CONFERENCE", "Medium Stay",
"VACATION", "Iong Stay",
"HOLIDAY", "Long Stay",
"V", "Leisure",
"UNKNOWN", "Unknown",
"Other")</f>
        <v>Iong Stay</v>
      </c>
    </row>
    <row r="1053" spans="1:11" x14ac:dyDescent="0.3">
      <c r="A1053" t="s">
        <v>3515</v>
      </c>
      <c r="B1053" t="s">
        <v>2260</v>
      </c>
      <c r="C1053" t="s">
        <v>38</v>
      </c>
      <c r="D1053" t="s">
        <v>3516</v>
      </c>
      <c r="E1053" t="s">
        <v>69</v>
      </c>
      <c r="F1053" t="s">
        <v>3517</v>
      </c>
      <c r="G1053" t="s">
        <v>255</v>
      </c>
      <c r="H1053" t="s">
        <v>517</v>
      </c>
      <c r="I1053">
        <f t="shared" si="16"/>
        <v>1</v>
      </c>
      <c r="J1053" t="s">
        <v>44</v>
      </c>
      <c r="K1053" t="str" cm="1">
        <f t="array" ref="K1053">_xlfn.SWITCH(TRIM(UPPER(J1053)),
"BUSINESS", "Short Stay",
"CONFERENCE", "Medium Stay",
"VACATION", "Iong Stay",
"HOLIDAY", "Long Stay",
"V", "Leisure",
"UNKNOWN", "Unknown",
"Other")</f>
        <v>Other</v>
      </c>
    </row>
    <row r="1054" spans="1:11" x14ac:dyDescent="0.3">
      <c r="A1054" t="s">
        <v>3518</v>
      </c>
      <c r="B1054" t="s">
        <v>526</v>
      </c>
      <c r="C1054" t="s">
        <v>38</v>
      </c>
      <c r="D1054" t="s">
        <v>320</v>
      </c>
      <c r="E1054" t="s">
        <v>69</v>
      </c>
      <c r="F1054" t="s">
        <v>2679</v>
      </c>
      <c r="G1054" t="s">
        <v>345</v>
      </c>
      <c r="H1054" t="s">
        <v>480</v>
      </c>
      <c r="I1054">
        <f t="shared" si="16"/>
        <v>1</v>
      </c>
      <c r="J1054" t="s">
        <v>121</v>
      </c>
      <c r="K1054" t="str" cm="1">
        <f t="array" ref="K1054">_xlfn.SWITCH(TRIM(UPPER(J1054)),
"BUSINESS", "Short Stay",
"CONFERENCE", "Medium Stay",
"VACATION", "Iong Stay",
"HOLIDAY", "Long Stay",
"V", "Leisure",
"UNKNOWN", "Unknown",
"Other")</f>
        <v>Iong Stay</v>
      </c>
    </row>
    <row r="1055" spans="1:11" x14ac:dyDescent="0.3">
      <c r="A1055" t="s">
        <v>3519</v>
      </c>
      <c r="B1055" t="s">
        <v>3046</v>
      </c>
      <c r="C1055" t="s">
        <v>30</v>
      </c>
      <c r="D1055" t="s">
        <v>3520</v>
      </c>
      <c r="E1055" t="s">
        <v>458</v>
      </c>
      <c r="F1055" t="s">
        <v>3521</v>
      </c>
      <c r="G1055" t="s">
        <v>1589</v>
      </c>
      <c r="H1055" t="s">
        <v>797</v>
      </c>
      <c r="I1055">
        <f t="shared" si="16"/>
        <v>2</v>
      </c>
      <c r="J1055" t="s">
        <v>44</v>
      </c>
      <c r="K1055" t="str" cm="1">
        <f t="array" ref="K1055">_xlfn.SWITCH(TRIM(UPPER(J1055)),
"BUSINESS", "Short Stay",
"CONFERENCE", "Medium Stay",
"VACATION", "Iong Stay",
"HOLIDAY", "Long Stay",
"V", "Leisure",
"UNKNOWN", "Unknown",
"Other")</f>
        <v>Other</v>
      </c>
    </row>
    <row r="1056" spans="1:11" x14ac:dyDescent="0.3">
      <c r="A1056" t="s">
        <v>3522</v>
      </c>
      <c r="B1056" t="s">
        <v>580</v>
      </c>
      <c r="C1056" t="s">
        <v>12</v>
      </c>
      <c r="D1056" t="s">
        <v>3523</v>
      </c>
      <c r="E1056" t="s">
        <v>314</v>
      </c>
      <c r="F1056" t="s">
        <v>3524</v>
      </c>
      <c r="G1056" t="s">
        <v>583</v>
      </c>
      <c r="H1056" t="s">
        <v>951</v>
      </c>
      <c r="I1056">
        <f t="shared" si="16"/>
        <v>4</v>
      </c>
      <c r="J1056" t="s">
        <v>27</v>
      </c>
      <c r="K1056" t="str" cm="1">
        <f t="array" ref="K1056">_xlfn.SWITCH(TRIM(UPPER(J1056)),
"BUSINESS", "Short Stay",
"CONFERENCE", "Medium Stay",
"VACATION", "Iong Stay",
"HOLIDAY", "Long Stay",
"V", "Leisure",
"UNKNOWN", "Unknown",
"Other")</f>
        <v>Medium Stay</v>
      </c>
    </row>
    <row r="1057" spans="1:11" x14ac:dyDescent="0.3">
      <c r="A1057" t="s">
        <v>3525</v>
      </c>
      <c r="B1057" t="s">
        <v>2457</v>
      </c>
      <c r="C1057" t="s">
        <v>54</v>
      </c>
      <c r="D1057" t="s">
        <v>3526</v>
      </c>
      <c r="E1057" t="s">
        <v>476</v>
      </c>
      <c r="F1057" t="s">
        <v>3527</v>
      </c>
      <c r="G1057" t="s">
        <v>460</v>
      </c>
      <c r="H1057" t="s">
        <v>34</v>
      </c>
      <c r="I1057">
        <f t="shared" si="16"/>
        <v>3</v>
      </c>
      <c r="J1057" t="s">
        <v>121</v>
      </c>
      <c r="K1057" t="str" cm="1">
        <f t="array" ref="K1057">_xlfn.SWITCH(TRIM(UPPER(J1057)),
"BUSINESS", "Short Stay",
"CONFERENCE", "Medium Stay",
"VACATION", "Iong Stay",
"HOLIDAY", "Long Stay",
"V", "Leisure",
"UNKNOWN", "Unknown",
"Other")</f>
        <v>Iong Stay</v>
      </c>
    </row>
    <row r="1058" spans="1:11" x14ac:dyDescent="0.3">
      <c r="A1058" t="s">
        <v>3528</v>
      </c>
      <c r="B1058" t="s">
        <v>660</v>
      </c>
      <c r="C1058" t="s">
        <v>97</v>
      </c>
      <c r="D1058" t="s">
        <v>3529</v>
      </c>
      <c r="E1058" t="s">
        <v>23</v>
      </c>
      <c r="F1058" t="s">
        <v>3530</v>
      </c>
      <c r="G1058" t="s">
        <v>663</v>
      </c>
      <c r="H1058" t="s">
        <v>1326</v>
      </c>
      <c r="I1058">
        <f t="shared" si="16"/>
        <v>2</v>
      </c>
      <c r="J1058" t="s">
        <v>121</v>
      </c>
      <c r="K1058" t="str" cm="1">
        <f t="array" ref="K1058">_xlfn.SWITCH(TRIM(UPPER(J1058)),
"BUSINESS", "Short Stay",
"CONFERENCE", "Medium Stay",
"VACATION", "Iong Stay",
"HOLIDAY", "Long Stay",
"V", "Leisure",
"UNKNOWN", "Unknown",
"Other")</f>
        <v>Iong Stay</v>
      </c>
    </row>
    <row r="1059" spans="1:11" x14ac:dyDescent="0.3">
      <c r="A1059" t="s">
        <v>3531</v>
      </c>
      <c r="B1059" t="s">
        <v>1553</v>
      </c>
      <c r="C1059" t="s">
        <v>12</v>
      </c>
      <c r="D1059" t="s">
        <v>3532</v>
      </c>
      <c r="E1059" t="s">
        <v>85</v>
      </c>
      <c r="F1059" t="s">
        <v>3533</v>
      </c>
      <c r="G1059" t="s">
        <v>1555</v>
      </c>
      <c r="H1059" t="s">
        <v>1164</v>
      </c>
      <c r="I1059">
        <f t="shared" si="16"/>
        <v>4</v>
      </c>
      <c r="J1059" t="s">
        <v>44</v>
      </c>
      <c r="K1059" t="str" cm="1">
        <f t="array" ref="K1059">_xlfn.SWITCH(TRIM(UPPER(J1059)),
"BUSINESS", "Short Stay",
"CONFERENCE", "Medium Stay",
"VACATION", "Iong Stay",
"HOLIDAY", "Long Stay",
"V", "Leisure",
"UNKNOWN", "Unknown",
"Other")</f>
        <v>Other</v>
      </c>
    </row>
    <row r="1060" spans="1:11" x14ac:dyDescent="0.3">
      <c r="A1060" t="s">
        <v>3534</v>
      </c>
      <c r="B1060" t="s">
        <v>3535</v>
      </c>
      <c r="C1060" t="s">
        <v>21</v>
      </c>
      <c r="D1060" t="s">
        <v>3536</v>
      </c>
      <c r="E1060" t="s">
        <v>40</v>
      </c>
      <c r="F1060" t="s">
        <v>3537</v>
      </c>
      <c r="G1060" t="s">
        <v>51</v>
      </c>
      <c r="H1060" t="s">
        <v>260</v>
      </c>
      <c r="I1060">
        <f t="shared" si="16"/>
        <v>4</v>
      </c>
      <c r="J1060" t="s">
        <v>27</v>
      </c>
      <c r="K1060" t="str" cm="1">
        <f t="array" ref="K1060">_xlfn.SWITCH(TRIM(UPPER(J1060)),
"BUSINESS", "Short Stay",
"CONFERENCE", "Medium Stay",
"VACATION", "Iong Stay",
"HOLIDAY", "Long Stay",
"V", "Leisure",
"UNKNOWN", "Unknown",
"Other")</f>
        <v>Medium Stay</v>
      </c>
    </row>
    <row r="1061" spans="1:11" x14ac:dyDescent="0.3">
      <c r="A1061" t="s">
        <v>3538</v>
      </c>
      <c r="B1061" t="s">
        <v>1701</v>
      </c>
      <c r="C1061" t="s">
        <v>61</v>
      </c>
      <c r="D1061" t="s">
        <v>969</v>
      </c>
      <c r="E1061" t="s">
        <v>63</v>
      </c>
      <c r="F1061" t="s">
        <v>3539</v>
      </c>
      <c r="G1061" t="s">
        <v>1395</v>
      </c>
      <c r="H1061" t="s">
        <v>1285</v>
      </c>
      <c r="I1061">
        <f t="shared" si="16"/>
        <v>5</v>
      </c>
      <c r="J1061" t="s">
        <v>44</v>
      </c>
      <c r="K1061" t="str" cm="1">
        <f t="array" ref="K1061">_xlfn.SWITCH(TRIM(UPPER(J1061)),
"BUSINESS", "Short Stay",
"CONFERENCE", "Medium Stay",
"VACATION", "Iong Stay",
"HOLIDAY", "Long Stay",
"V", "Leisure",
"UNKNOWN", "Unknown",
"Other")</f>
        <v>Other</v>
      </c>
    </row>
    <row r="1062" spans="1:11" x14ac:dyDescent="0.3">
      <c r="A1062" t="s">
        <v>3540</v>
      </c>
      <c r="B1062" t="s">
        <v>1349</v>
      </c>
      <c r="C1062" t="s">
        <v>83</v>
      </c>
      <c r="D1062" t="s">
        <v>466</v>
      </c>
      <c r="E1062" t="s">
        <v>314</v>
      </c>
      <c r="F1062" t="s">
        <v>3541</v>
      </c>
      <c r="G1062" t="s">
        <v>210</v>
      </c>
      <c r="H1062" t="s">
        <v>2628</v>
      </c>
      <c r="I1062">
        <f t="shared" si="16"/>
        <v>4</v>
      </c>
      <c r="J1062" t="s">
        <v>121</v>
      </c>
      <c r="K1062" t="str" cm="1">
        <f t="array" ref="K1062">_xlfn.SWITCH(TRIM(UPPER(J1062)),
"BUSINESS", "Short Stay",
"CONFERENCE", "Medium Stay",
"VACATION", "Iong Stay",
"HOLIDAY", "Long Stay",
"V", "Leisure",
"UNKNOWN", "Unknown",
"Other")</f>
        <v>Iong Stay</v>
      </c>
    </row>
    <row r="1063" spans="1:11" x14ac:dyDescent="0.3">
      <c r="A1063" t="s">
        <v>3542</v>
      </c>
      <c r="B1063" t="s">
        <v>2257</v>
      </c>
      <c r="C1063" t="s">
        <v>75</v>
      </c>
      <c r="D1063" t="s">
        <v>483</v>
      </c>
      <c r="E1063" t="s">
        <v>23</v>
      </c>
      <c r="F1063" t="s">
        <v>3543</v>
      </c>
      <c r="G1063" t="s">
        <v>753</v>
      </c>
      <c r="H1063" t="s">
        <v>1225</v>
      </c>
      <c r="I1063">
        <f t="shared" si="16"/>
        <v>4</v>
      </c>
      <c r="J1063" t="s">
        <v>18</v>
      </c>
      <c r="K1063" t="str" cm="1">
        <f t="array" ref="K1063">_xlfn.SWITCH(TRIM(UPPER(J1063)),
"BUSINESS", "Short Stay",
"CONFERENCE", "Medium Stay",
"VACATION", "Iong Stay",
"HOLIDAY", "Long Stay",
"V", "Leisure",
"UNKNOWN", "Unknown",
"Other")</f>
        <v>Short Stay</v>
      </c>
    </row>
    <row r="1064" spans="1:11" x14ac:dyDescent="0.3">
      <c r="A1064" t="s">
        <v>3544</v>
      </c>
      <c r="B1064" t="s">
        <v>2200</v>
      </c>
      <c r="C1064" t="s">
        <v>30</v>
      </c>
      <c r="D1064" t="s">
        <v>3545</v>
      </c>
      <c r="E1064" t="s">
        <v>149</v>
      </c>
      <c r="F1064" t="s">
        <v>3546</v>
      </c>
      <c r="G1064" t="s">
        <v>120</v>
      </c>
      <c r="H1064" t="s">
        <v>3547</v>
      </c>
      <c r="I1064">
        <f t="shared" si="16"/>
        <v>4</v>
      </c>
      <c r="J1064" t="s">
        <v>44</v>
      </c>
      <c r="K1064" t="str" cm="1">
        <f t="array" ref="K1064">_xlfn.SWITCH(TRIM(UPPER(J1064)),
"BUSINESS", "Short Stay",
"CONFERENCE", "Medium Stay",
"VACATION", "Iong Stay",
"HOLIDAY", "Long Stay",
"V", "Leisure",
"UNKNOWN", "Unknown",
"Other")</f>
        <v>Other</v>
      </c>
    </row>
    <row r="1065" spans="1:11" x14ac:dyDescent="0.3">
      <c r="A1065" t="s">
        <v>3548</v>
      </c>
      <c r="B1065" t="s">
        <v>986</v>
      </c>
      <c r="C1065" t="s">
        <v>54</v>
      </c>
      <c r="D1065" t="s">
        <v>1672</v>
      </c>
      <c r="E1065" t="s">
        <v>201</v>
      </c>
      <c r="F1065" t="s">
        <v>3549</v>
      </c>
      <c r="G1065" t="s">
        <v>770</v>
      </c>
      <c r="H1065" t="s">
        <v>989</v>
      </c>
      <c r="I1065">
        <f t="shared" si="16"/>
        <v>3</v>
      </c>
      <c r="J1065" t="s">
        <v>18</v>
      </c>
      <c r="K1065" t="str" cm="1">
        <f t="array" ref="K1065">_xlfn.SWITCH(TRIM(UPPER(J1065)),
"BUSINESS", "Short Stay",
"CONFERENCE", "Medium Stay",
"VACATION", "Iong Stay",
"HOLIDAY", "Long Stay",
"V", "Leisure",
"UNKNOWN", "Unknown",
"Other")</f>
        <v>Short Stay</v>
      </c>
    </row>
    <row r="1066" spans="1:11" x14ac:dyDescent="0.3">
      <c r="A1066" t="s">
        <v>3550</v>
      </c>
      <c r="B1066" t="s">
        <v>1102</v>
      </c>
      <c r="C1066" t="s">
        <v>83</v>
      </c>
      <c r="D1066" t="s">
        <v>756</v>
      </c>
      <c r="E1066" t="s">
        <v>40</v>
      </c>
      <c r="F1066" t="s">
        <v>2937</v>
      </c>
      <c r="G1066" t="s">
        <v>1105</v>
      </c>
      <c r="H1066" t="s">
        <v>1025</v>
      </c>
      <c r="I1066">
        <f t="shared" si="16"/>
        <v>1</v>
      </c>
      <c r="J1066" t="s">
        <v>121</v>
      </c>
      <c r="K1066" t="str" cm="1">
        <f t="array" ref="K1066">_xlfn.SWITCH(TRIM(UPPER(J1066)),
"BUSINESS", "Short Stay",
"CONFERENCE", "Medium Stay",
"VACATION", "Iong Stay",
"HOLIDAY", "Long Stay",
"V", "Leisure",
"UNKNOWN", "Unknown",
"Other")</f>
        <v>Iong Stay</v>
      </c>
    </row>
    <row r="1067" spans="1:11" x14ac:dyDescent="0.3">
      <c r="A1067" t="s">
        <v>3551</v>
      </c>
      <c r="B1067" t="s">
        <v>1597</v>
      </c>
      <c r="C1067" t="s">
        <v>54</v>
      </c>
      <c r="D1067" t="s">
        <v>3552</v>
      </c>
      <c r="E1067" t="s">
        <v>40</v>
      </c>
      <c r="F1067" t="s">
        <v>3553</v>
      </c>
      <c r="G1067" t="s">
        <v>304</v>
      </c>
      <c r="H1067" t="s">
        <v>1471</v>
      </c>
      <c r="I1067">
        <f t="shared" si="16"/>
        <v>3</v>
      </c>
      <c r="J1067" t="s">
        <v>121</v>
      </c>
      <c r="K1067" t="str" cm="1">
        <f t="array" ref="K1067">_xlfn.SWITCH(TRIM(UPPER(J1067)),
"BUSINESS", "Short Stay",
"CONFERENCE", "Medium Stay",
"VACATION", "Iong Stay",
"HOLIDAY", "Long Stay",
"V", "Leisure",
"UNKNOWN", "Unknown",
"Other")</f>
        <v>Iong Stay</v>
      </c>
    </row>
    <row r="1068" spans="1:11" x14ac:dyDescent="0.3">
      <c r="A1068" t="s">
        <v>3554</v>
      </c>
      <c r="B1068" t="s">
        <v>1667</v>
      </c>
      <c r="C1068" t="s">
        <v>30</v>
      </c>
      <c r="D1068" t="s">
        <v>3555</v>
      </c>
      <c r="E1068" t="s">
        <v>77</v>
      </c>
      <c r="F1068" t="s">
        <v>3556</v>
      </c>
      <c r="G1068" t="s">
        <v>1670</v>
      </c>
      <c r="H1068" t="s">
        <v>936</v>
      </c>
      <c r="I1068">
        <f t="shared" si="16"/>
        <v>3</v>
      </c>
      <c r="J1068" t="s">
        <v>121</v>
      </c>
      <c r="K1068" t="str" cm="1">
        <f t="array" ref="K1068">_xlfn.SWITCH(TRIM(UPPER(J1068)),
"BUSINESS", "Short Stay",
"CONFERENCE", "Medium Stay",
"VACATION", "Iong Stay",
"HOLIDAY", "Long Stay",
"V", "Leisure",
"UNKNOWN", "Unknown",
"Other")</f>
        <v>Iong Stay</v>
      </c>
    </row>
    <row r="1069" spans="1:11" x14ac:dyDescent="0.3">
      <c r="A1069" t="s">
        <v>3557</v>
      </c>
      <c r="B1069" t="s">
        <v>115</v>
      </c>
      <c r="C1069" t="s">
        <v>61</v>
      </c>
      <c r="D1069" t="s">
        <v>435</v>
      </c>
      <c r="E1069" t="s">
        <v>77</v>
      </c>
      <c r="F1069" t="s">
        <v>3558</v>
      </c>
      <c r="G1069" t="s">
        <v>119</v>
      </c>
      <c r="H1069" t="s">
        <v>120</v>
      </c>
      <c r="I1069">
        <f t="shared" si="16"/>
        <v>2</v>
      </c>
      <c r="J1069" t="s">
        <v>44</v>
      </c>
      <c r="K1069" t="str" cm="1">
        <f t="array" ref="K1069">_xlfn.SWITCH(TRIM(UPPER(J1069)),
"BUSINESS", "Short Stay",
"CONFERENCE", "Medium Stay",
"VACATION", "Iong Stay",
"HOLIDAY", "Long Stay",
"V", "Leisure",
"UNKNOWN", "Unknown",
"Other")</f>
        <v>Other</v>
      </c>
    </row>
    <row r="1070" spans="1:11" x14ac:dyDescent="0.3">
      <c r="A1070" t="s">
        <v>3559</v>
      </c>
      <c r="B1070" t="s">
        <v>2707</v>
      </c>
      <c r="C1070" t="s">
        <v>97</v>
      </c>
      <c r="D1070" t="s">
        <v>3560</v>
      </c>
      <c r="E1070" t="s">
        <v>63</v>
      </c>
      <c r="F1070" t="s">
        <v>3561</v>
      </c>
      <c r="G1070" t="s">
        <v>216</v>
      </c>
      <c r="H1070" t="s">
        <v>501</v>
      </c>
      <c r="I1070">
        <f t="shared" si="16"/>
        <v>4</v>
      </c>
      <c r="J1070" t="s">
        <v>121</v>
      </c>
      <c r="K1070" t="str" cm="1">
        <f t="array" ref="K1070">_xlfn.SWITCH(TRIM(UPPER(J1070)),
"BUSINESS", "Short Stay",
"CONFERENCE", "Medium Stay",
"VACATION", "Iong Stay",
"HOLIDAY", "Long Stay",
"V", "Leisure",
"UNKNOWN", "Unknown",
"Other")</f>
        <v>Iong Stay</v>
      </c>
    </row>
    <row r="1071" spans="1:11" x14ac:dyDescent="0.3">
      <c r="A1071" t="s">
        <v>3562</v>
      </c>
      <c r="B1071" t="s">
        <v>2929</v>
      </c>
      <c r="C1071" t="s">
        <v>54</v>
      </c>
      <c r="D1071" t="s">
        <v>956</v>
      </c>
      <c r="E1071" t="s">
        <v>176</v>
      </c>
      <c r="F1071" t="s">
        <v>3563</v>
      </c>
      <c r="G1071" t="s">
        <v>245</v>
      </c>
      <c r="H1071" t="s">
        <v>350</v>
      </c>
      <c r="I1071">
        <f t="shared" si="16"/>
        <v>1</v>
      </c>
      <c r="J1071" t="s">
        <v>44</v>
      </c>
      <c r="K1071" t="str" cm="1">
        <f t="array" ref="K1071">_xlfn.SWITCH(TRIM(UPPER(J1071)),
"BUSINESS", "Short Stay",
"CONFERENCE", "Medium Stay",
"VACATION", "Iong Stay",
"HOLIDAY", "Long Stay",
"V", "Leisure",
"UNKNOWN", "Unknown",
"Other")</f>
        <v>Other</v>
      </c>
    </row>
    <row r="1072" spans="1:11" x14ac:dyDescent="0.3">
      <c r="A1072" t="s">
        <v>3564</v>
      </c>
      <c r="B1072" t="s">
        <v>2083</v>
      </c>
      <c r="C1072" t="s">
        <v>83</v>
      </c>
      <c r="D1072" t="s">
        <v>1134</v>
      </c>
      <c r="E1072" t="s">
        <v>32</v>
      </c>
      <c r="F1072" t="s">
        <v>3565</v>
      </c>
      <c r="G1072" t="s">
        <v>706</v>
      </c>
      <c r="H1072" t="s">
        <v>133</v>
      </c>
      <c r="I1072">
        <f t="shared" si="16"/>
        <v>3</v>
      </c>
      <c r="J1072" t="s">
        <v>121</v>
      </c>
      <c r="K1072" t="str" cm="1">
        <f t="array" ref="K1072">_xlfn.SWITCH(TRIM(UPPER(J1072)),
"BUSINESS", "Short Stay",
"CONFERENCE", "Medium Stay",
"VACATION", "Iong Stay",
"HOLIDAY", "Long Stay",
"V", "Leisure",
"UNKNOWN", "Unknown",
"Other")</f>
        <v>Iong Stay</v>
      </c>
    </row>
    <row r="1073" spans="1:11" x14ac:dyDescent="0.3">
      <c r="A1073" t="s">
        <v>3566</v>
      </c>
      <c r="B1073" t="s">
        <v>960</v>
      </c>
      <c r="C1073" t="s">
        <v>12</v>
      </c>
      <c r="D1073" t="s">
        <v>3567</v>
      </c>
      <c r="E1073" t="s">
        <v>48</v>
      </c>
      <c r="F1073" t="s">
        <v>3568</v>
      </c>
      <c r="G1073" t="s">
        <v>963</v>
      </c>
      <c r="H1073" t="s">
        <v>453</v>
      </c>
      <c r="I1073">
        <f t="shared" si="16"/>
        <v>5</v>
      </c>
      <c r="J1073" t="s">
        <v>44</v>
      </c>
      <c r="K1073" t="str" cm="1">
        <f t="array" ref="K1073">_xlfn.SWITCH(TRIM(UPPER(J1073)),
"BUSINESS", "Short Stay",
"CONFERENCE", "Medium Stay",
"VACATION", "Iong Stay",
"HOLIDAY", "Long Stay",
"V", "Leisure",
"UNKNOWN", "Unknown",
"Other")</f>
        <v>Other</v>
      </c>
    </row>
    <row r="1074" spans="1:11" x14ac:dyDescent="0.3">
      <c r="A1074" t="s">
        <v>3569</v>
      </c>
      <c r="B1074" t="s">
        <v>1050</v>
      </c>
      <c r="C1074" t="s">
        <v>61</v>
      </c>
      <c r="D1074" t="s">
        <v>3570</v>
      </c>
      <c r="E1074" t="s">
        <v>77</v>
      </c>
      <c r="F1074" t="s">
        <v>3571</v>
      </c>
      <c r="G1074" t="s">
        <v>1053</v>
      </c>
      <c r="H1074" t="s">
        <v>813</v>
      </c>
      <c r="I1074">
        <f t="shared" si="16"/>
        <v>2</v>
      </c>
      <c r="J1074" t="s">
        <v>27</v>
      </c>
      <c r="K1074" t="str" cm="1">
        <f t="array" ref="K1074">_xlfn.SWITCH(TRIM(UPPER(J1074)),
"BUSINESS", "Short Stay",
"CONFERENCE", "Medium Stay",
"VACATION", "Iong Stay",
"HOLIDAY", "Long Stay",
"V", "Leisure",
"UNKNOWN", "Unknown",
"Other")</f>
        <v>Medium Stay</v>
      </c>
    </row>
    <row r="1075" spans="1:11" x14ac:dyDescent="0.3">
      <c r="A1075" t="s">
        <v>3572</v>
      </c>
      <c r="B1075" t="s">
        <v>2115</v>
      </c>
      <c r="C1075" t="s">
        <v>12</v>
      </c>
      <c r="D1075" t="s">
        <v>3573</v>
      </c>
      <c r="E1075" t="s">
        <v>458</v>
      </c>
      <c r="F1075" t="s">
        <v>3574</v>
      </c>
      <c r="G1075" t="s">
        <v>159</v>
      </c>
      <c r="H1075" t="s">
        <v>1121</v>
      </c>
      <c r="I1075">
        <f t="shared" si="16"/>
        <v>4</v>
      </c>
      <c r="J1075" t="s">
        <v>121</v>
      </c>
      <c r="K1075" t="str" cm="1">
        <f t="array" ref="K1075">_xlfn.SWITCH(TRIM(UPPER(J1075)),
"BUSINESS", "Short Stay",
"CONFERENCE", "Medium Stay",
"VACATION", "Iong Stay",
"HOLIDAY", "Long Stay",
"V", "Leisure",
"UNKNOWN", "Unknown",
"Other")</f>
        <v>Iong Stay</v>
      </c>
    </row>
    <row r="1076" spans="1:11" x14ac:dyDescent="0.3">
      <c r="A1076" t="s">
        <v>3575</v>
      </c>
      <c r="B1076" t="s">
        <v>2692</v>
      </c>
      <c r="C1076" t="s">
        <v>54</v>
      </c>
      <c r="D1076" t="s">
        <v>3576</v>
      </c>
      <c r="E1076" t="s">
        <v>85</v>
      </c>
      <c r="F1076" t="s">
        <v>3577</v>
      </c>
      <c r="G1076" t="s">
        <v>1167</v>
      </c>
      <c r="H1076" t="s">
        <v>685</v>
      </c>
      <c r="I1076">
        <f t="shared" si="16"/>
        <v>4</v>
      </c>
      <c r="J1076" t="s">
        <v>27</v>
      </c>
      <c r="K1076" t="str" cm="1">
        <f t="array" ref="K1076">_xlfn.SWITCH(TRIM(UPPER(J1076)),
"BUSINESS", "Short Stay",
"CONFERENCE", "Medium Stay",
"VACATION", "Iong Stay",
"HOLIDAY", "Long Stay",
"V", "Leisure",
"UNKNOWN", "Unknown",
"Other")</f>
        <v>Medium Stay</v>
      </c>
    </row>
    <row r="1077" spans="1:11" x14ac:dyDescent="0.3">
      <c r="A1077" t="s">
        <v>3578</v>
      </c>
      <c r="B1077" t="s">
        <v>514</v>
      </c>
      <c r="C1077" t="s">
        <v>97</v>
      </c>
      <c r="D1077" t="s">
        <v>3287</v>
      </c>
      <c r="E1077" t="s">
        <v>458</v>
      </c>
      <c r="F1077" t="s">
        <v>3579</v>
      </c>
      <c r="G1077" t="s">
        <v>517</v>
      </c>
      <c r="H1077" t="s">
        <v>518</v>
      </c>
      <c r="I1077">
        <f t="shared" si="16"/>
        <v>1</v>
      </c>
      <c r="J1077" t="s">
        <v>27</v>
      </c>
      <c r="K1077" t="str" cm="1">
        <f t="array" ref="K1077">_xlfn.SWITCH(TRIM(UPPER(J1077)),
"BUSINESS", "Short Stay",
"CONFERENCE", "Medium Stay",
"VACATION", "Iong Stay",
"HOLIDAY", "Long Stay",
"V", "Leisure",
"UNKNOWN", "Unknown",
"Other")</f>
        <v>Medium Stay</v>
      </c>
    </row>
    <row r="1078" spans="1:11" x14ac:dyDescent="0.3">
      <c r="A1078" t="s">
        <v>3580</v>
      </c>
      <c r="B1078" t="s">
        <v>2096</v>
      </c>
      <c r="C1078" t="s">
        <v>97</v>
      </c>
      <c r="D1078" t="s">
        <v>3497</v>
      </c>
      <c r="E1078" t="s">
        <v>201</v>
      </c>
      <c r="F1078" t="s">
        <v>3581</v>
      </c>
      <c r="G1078" t="s">
        <v>2078</v>
      </c>
      <c r="H1078" t="s">
        <v>1768</v>
      </c>
      <c r="I1078">
        <f t="shared" si="16"/>
        <v>4</v>
      </c>
      <c r="J1078" t="s">
        <v>27</v>
      </c>
      <c r="K1078" t="str" cm="1">
        <f t="array" ref="K1078">_xlfn.SWITCH(TRIM(UPPER(J1078)),
"BUSINESS", "Short Stay",
"CONFERENCE", "Medium Stay",
"VACATION", "Iong Stay",
"HOLIDAY", "Long Stay",
"V", "Leisure",
"UNKNOWN", "Unknown",
"Other")</f>
        <v>Medium Stay</v>
      </c>
    </row>
    <row r="1079" spans="1:11" x14ac:dyDescent="0.3">
      <c r="A1079" t="s">
        <v>3582</v>
      </c>
      <c r="B1079" t="s">
        <v>115</v>
      </c>
      <c r="C1079" t="s">
        <v>174</v>
      </c>
      <c r="D1079" t="s">
        <v>2953</v>
      </c>
      <c r="E1079" t="s">
        <v>48</v>
      </c>
      <c r="F1079" t="s">
        <v>3583</v>
      </c>
      <c r="G1079" t="s">
        <v>119</v>
      </c>
      <c r="H1079" t="s">
        <v>3584</v>
      </c>
      <c r="I1079">
        <f t="shared" si="16"/>
        <v>5</v>
      </c>
      <c r="J1079" t="s">
        <v>18</v>
      </c>
      <c r="K1079" t="str" cm="1">
        <f t="array" ref="K1079">_xlfn.SWITCH(TRIM(UPPER(J1079)),
"BUSINESS", "Short Stay",
"CONFERENCE", "Medium Stay",
"VACATION", "Iong Stay",
"HOLIDAY", "Long Stay",
"V", "Leisure",
"UNKNOWN", "Unknown",
"Other")</f>
        <v>Short Stay</v>
      </c>
    </row>
    <row r="1080" spans="1:11" x14ac:dyDescent="0.3">
      <c r="A1080" t="s">
        <v>3585</v>
      </c>
      <c r="B1080" t="s">
        <v>2935</v>
      </c>
      <c r="C1080" t="s">
        <v>54</v>
      </c>
      <c r="D1080" t="s">
        <v>2595</v>
      </c>
      <c r="E1080" t="s">
        <v>32</v>
      </c>
      <c r="F1080" t="s">
        <v>3586</v>
      </c>
      <c r="G1080" t="s">
        <v>2840</v>
      </c>
      <c r="H1080" t="s">
        <v>984</v>
      </c>
      <c r="I1080">
        <f t="shared" si="16"/>
        <v>4</v>
      </c>
      <c r="J1080" t="s">
        <v>44</v>
      </c>
      <c r="K1080" t="str" cm="1">
        <f t="array" ref="K1080">_xlfn.SWITCH(TRIM(UPPER(J1080)),
"BUSINESS", "Short Stay",
"CONFERENCE", "Medium Stay",
"VACATION", "Iong Stay",
"HOLIDAY", "Long Stay",
"V", "Leisure",
"UNKNOWN", "Unknown",
"Other")</f>
        <v>Other</v>
      </c>
    </row>
    <row r="1081" spans="1:11" x14ac:dyDescent="0.3">
      <c r="A1081" t="s">
        <v>3587</v>
      </c>
      <c r="B1081" t="s">
        <v>82</v>
      </c>
      <c r="C1081" t="s">
        <v>174</v>
      </c>
      <c r="D1081" t="s">
        <v>527</v>
      </c>
      <c r="E1081" t="s">
        <v>149</v>
      </c>
      <c r="F1081" t="s">
        <v>3588</v>
      </c>
      <c r="G1081" t="s">
        <v>87</v>
      </c>
      <c r="H1081" t="s">
        <v>316</v>
      </c>
      <c r="I1081">
        <f t="shared" si="16"/>
        <v>5</v>
      </c>
      <c r="J1081" t="s">
        <v>44</v>
      </c>
      <c r="K1081" t="str" cm="1">
        <f t="array" ref="K1081">_xlfn.SWITCH(TRIM(UPPER(J1081)),
"BUSINESS", "Short Stay",
"CONFERENCE", "Medium Stay",
"VACATION", "Iong Stay",
"HOLIDAY", "Long Stay",
"V", "Leisure",
"UNKNOWN", "Unknown",
"Other")</f>
        <v>Other</v>
      </c>
    </row>
    <row r="1082" spans="1:11" x14ac:dyDescent="0.3">
      <c r="A1082" t="s">
        <v>3589</v>
      </c>
      <c r="B1082" t="s">
        <v>508</v>
      </c>
      <c r="C1082" t="s">
        <v>75</v>
      </c>
      <c r="D1082" t="s">
        <v>1818</v>
      </c>
      <c r="E1082" t="s">
        <v>314</v>
      </c>
      <c r="F1082" t="s">
        <v>3590</v>
      </c>
      <c r="G1082" t="s">
        <v>511</v>
      </c>
      <c r="H1082" t="s">
        <v>726</v>
      </c>
      <c r="I1082">
        <f t="shared" si="16"/>
        <v>1</v>
      </c>
      <c r="J1082" t="s">
        <v>44</v>
      </c>
      <c r="K1082" t="str" cm="1">
        <f t="array" ref="K1082">_xlfn.SWITCH(TRIM(UPPER(J1082)),
"BUSINESS", "Short Stay",
"CONFERENCE", "Medium Stay",
"VACATION", "Iong Stay",
"HOLIDAY", "Long Stay",
"V", "Leisure",
"UNKNOWN", "Unknown",
"Other")</f>
        <v>Other</v>
      </c>
    </row>
    <row r="1083" spans="1:11" x14ac:dyDescent="0.3">
      <c r="A1083" t="s">
        <v>3591</v>
      </c>
      <c r="B1083" t="s">
        <v>3046</v>
      </c>
      <c r="C1083" t="s">
        <v>30</v>
      </c>
      <c r="D1083" t="s">
        <v>3592</v>
      </c>
      <c r="E1083" t="s">
        <v>546</v>
      </c>
      <c r="F1083" t="s">
        <v>3593</v>
      </c>
      <c r="G1083" t="s">
        <v>1589</v>
      </c>
      <c r="H1083" t="s">
        <v>1759</v>
      </c>
      <c r="I1083">
        <f t="shared" si="16"/>
        <v>3</v>
      </c>
      <c r="J1083" t="s">
        <v>44</v>
      </c>
      <c r="K1083" t="str" cm="1">
        <f t="array" ref="K1083">_xlfn.SWITCH(TRIM(UPPER(J1083)),
"BUSINESS", "Short Stay",
"CONFERENCE", "Medium Stay",
"VACATION", "Iong Stay",
"HOLIDAY", "Long Stay",
"V", "Leisure",
"UNKNOWN", "Unknown",
"Other")</f>
        <v>Other</v>
      </c>
    </row>
    <row r="1084" spans="1:11" x14ac:dyDescent="0.3">
      <c r="A1084" t="s">
        <v>3594</v>
      </c>
      <c r="B1084" t="s">
        <v>3535</v>
      </c>
      <c r="C1084" t="s">
        <v>21</v>
      </c>
      <c r="D1084" t="s">
        <v>2026</v>
      </c>
      <c r="E1084" t="s">
        <v>69</v>
      </c>
      <c r="F1084" t="s">
        <v>3595</v>
      </c>
      <c r="G1084" t="s">
        <v>51</v>
      </c>
      <c r="H1084" t="s">
        <v>158</v>
      </c>
      <c r="I1084">
        <f t="shared" si="16"/>
        <v>2</v>
      </c>
      <c r="J1084" t="s">
        <v>44</v>
      </c>
      <c r="K1084" t="str" cm="1">
        <f t="array" ref="K1084">_xlfn.SWITCH(TRIM(UPPER(J1084)),
"BUSINESS", "Short Stay",
"CONFERENCE", "Medium Stay",
"VACATION", "Iong Stay",
"HOLIDAY", "Long Stay",
"V", "Leisure",
"UNKNOWN", "Unknown",
"Other")</f>
        <v>Other</v>
      </c>
    </row>
    <row r="1085" spans="1:11" x14ac:dyDescent="0.3">
      <c r="A1085" t="s">
        <v>3596</v>
      </c>
      <c r="B1085" t="s">
        <v>2109</v>
      </c>
      <c r="C1085" t="s">
        <v>61</v>
      </c>
      <c r="D1085" t="s">
        <v>1836</v>
      </c>
      <c r="E1085" t="s">
        <v>430</v>
      </c>
      <c r="F1085" t="s">
        <v>3597</v>
      </c>
      <c r="G1085" t="s">
        <v>139</v>
      </c>
      <c r="H1085" t="s">
        <v>233</v>
      </c>
      <c r="I1085">
        <f t="shared" si="16"/>
        <v>3</v>
      </c>
      <c r="J1085" t="s">
        <v>121</v>
      </c>
      <c r="K1085" t="str" cm="1">
        <f t="array" ref="K1085">_xlfn.SWITCH(TRIM(UPPER(J1085)),
"BUSINESS", "Short Stay",
"CONFERENCE", "Medium Stay",
"VACATION", "Iong Stay",
"HOLIDAY", "Long Stay",
"V", "Leisure",
"UNKNOWN", "Unknown",
"Other")</f>
        <v>Iong Stay</v>
      </c>
    </row>
    <row r="1086" spans="1:11" x14ac:dyDescent="0.3">
      <c r="A1086" t="s">
        <v>3598</v>
      </c>
      <c r="B1086" t="s">
        <v>1245</v>
      </c>
      <c r="C1086" t="s">
        <v>61</v>
      </c>
      <c r="D1086" t="s">
        <v>2708</v>
      </c>
      <c r="E1086" t="s">
        <v>314</v>
      </c>
      <c r="F1086" t="s">
        <v>3157</v>
      </c>
      <c r="G1086" t="s">
        <v>1248</v>
      </c>
      <c r="H1086" t="s">
        <v>2777</v>
      </c>
      <c r="I1086">
        <f t="shared" si="16"/>
        <v>3</v>
      </c>
      <c r="J1086" t="s">
        <v>121</v>
      </c>
      <c r="K1086" t="str" cm="1">
        <f t="array" ref="K1086">_xlfn.SWITCH(TRIM(UPPER(J1086)),
"BUSINESS", "Short Stay",
"CONFERENCE", "Medium Stay",
"VACATION", "Iong Stay",
"HOLIDAY", "Long Stay",
"V", "Leisure",
"UNKNOWN", "Unknown",
"Other")</f>
        <v>Iong Stay</v>
      </c>
    </row>
    <row r="1087" spans="1:11" x14ac:dyDescent="0.3">
      <c r="A1087" t="s">
        <v>3599</v>
      </c>
      <c r="B1087" t="s">
        <v>3182</v>
      </c>
      <c r="C1087" t="s">
        <v>83</v>
      </c>
      <c r="D1087" t="s">
        <v>1439</v>
      </c>
      <c r="E1087" t="s">
        <v>63</v>
      </c>
      <c r="F1087" t="s">
        <v>3307</v>
      </c>
      <c r="G1087" t="s">
        <v>351</v>
      </c>
      <c r="H1087" t="s">
        <v>1030</v>
      </c>
      <c r="I1087">
        <f t="shared" si="16"/>
        <v>5</v>
      </c>
      <c r="J1087" t="s">
        <v>27</v>
      </c>
      <c r="K1087" t="str" cm="1">
        <f t="array" ref="K1087">_xlfn.SWITCH(TRIM(UPPER(J1087)),
"BUSINESS", "Short Stay",
"CONFERENCE", "Medium Stay",
"VACATION", "Iong Stay",
"HOLIDAY", "Long Stay",
"V", "Leisure",
"UNKNOWN", "Unknown",
"Other")</f>
        <v>Medium Stay</v>
      </c>
    </row>
    <row r="1088" spans="1:11" x14ac:dyDescent="0.3">
      <c r="A1088" t="s">
        <v>3600</v>
      </c>
      <c r="B1088" t="s">
        <v>1186</v>
      </c>
      <c r="C1088" t="s">
        <v>83</v>
      </c>
      <c r="D1088" t="s">
        <v>2808</v>
      </c>
      <c r="E1088" t="s">
        <v>32</v>
      </c>
      <c r="F1088" t="s">
        <v>3601</v>
      </c>
      <c r="G1088" t="s">
        <v>931</v>
      </c>
      <c r="H1088" t="s">
        <v>1280</v>
      </c>
      <c r="I1088">
        <f t="shared" si="16"/>
        <v>2</v>
      </c>
      <c r="J1088" t="s">
        <v>27</v>
      </c>
      <c r="K1088" t="str" cm="1">
        <f t="array" ref="K1088">_xlfn.SWITCH(TRIM(UPPER(J1088)),
"BUSINESS", "Short Stay",
"CONFERENCE", "Medium Stay",
"VACATION", "Iong Stay",
"HOLIDAY", "Long Stay",
"V", "Leisure",
"UNKNOWN", "Unknown",
"Other")</f>
        <v>Medium Stay</v>
      </c>
    </row>
    <row r="1089" spans="1:11" x14ac:dyDescent="0.3">
      <c r="A1089" t="s">
        <v>3602</v>
      </c>
      <c r="B1089" t="s">
        <v>1397</v>
      </c>
      <c r="C1089" t="s">
        <v>61</v>
      </c>
      <c r="D1089" t="s">
        <v>3603</v>
      </c>
      <c r="E1089" t="s">
        <v>476</v>
      </c>
      <c r="F1089" t="s">
        <v>3604</v>
      </c>
      <c r="G1089" t="s">
        <v>1268</v>
      </c>
      <c r="H1089" t="s">
        <v>1091</v>
      </c>
      <c r="I1089">
        <f t="shared" si="16"/>
        <v>3</v>
      </c>
      <c r="J1089" t="s">
        <v>27</v>
      </c>
      <c r="K1089" t="str" cm="1">
        <f t="array" ref="K1089">_xlfn.SWITCH(TRIM(UPPER(J1089)),
"BUSINESS", "Short Stay",
"CONFERENCE", "Medium Stay",
"VACATION", "Iong Stay",
"HOLIDAY", "Long Stay",
"V", "Leisure",
"UNKNOWN", "Unknown",
"Other")</f>
        <v>Medium Stay</v>
      </c>
    </row>
    <row r="1090" spans="1:11" x14ac:dyDescent="0.3">
      <c r="A1090" t="s">
        <v>3605</v>
      </c>
      <c r="B1090" t="s">
        <v>3206</v>
      </c>
      <c r="C1090" t="s">
        <v>75</v>
      </c>
      <c r="D1090" t="s">
        <v>3606</v>
      </c>
      <c r="E1090" t="s">
        <v>14</v>
      </c>
      <c r="F1090" t="s">
        <v>3607</v>
      </c>
      <c r="G1090" t="s">
        <v>416</v>
      </c>
      <c r="H1090" t="s">
        <v>1894</v>
      </c>
      <c r="I1090">
        <f t="shared" si="16"/>
        <v>4</v>
      </c>
      <c r="J1090" t="s">
        <v>121</v>
      </c>
      <c r="K1090" t="str" cm="1">
        <f t="array" ref="K1090">_xlfn.SWITCH(TRIM(UPPER(J1090)),
"BUSINESS", "Short Stay",
"CONFERENCE", "Medium Stay",
"VACATION", "Iong Stay",
"HOLIDAY", "Long Stay",
"V", "Leisure",
"UNKNOWN", "Unknown",
"Other")</f>
        <v>Iong Stay</v>
      </c>
    </row>
    <row r="1091" spans="1:11" x14ac:dyDescent="0.3">
      <c r="A1091" t="s">
        <v>3608</v>
      </c>
      <c r="B1091" t="s">
        <v>1799</v>
      </c>
      <c r="C1091" t="s">
        <v>12</v>
      </c>
      <c r="D1091" t="s">
        <v>3609</v>
      </c>
      <c r="E1091" t="s">
        <v>430</v>
      </c>
      <c r="F1091" t="s">
        <v>3610</v>
      </c>
      <c r="G1091" t="s">
        <v>1125</v>
      </c>
      <c r="H1091" t="s">
        <v>344</v>
      </c>
      <c r="I1091">
        <f t="shared" ref="I1091:I1154" si="17">H1091-G1091</f>
        <v>5</v>
      </c>
      <c r="J1091" t="s">
        <v>18</v>
      </c>
      <c r="K1091" t="str" cm="1">
        <f t="array" ref="K1091">_xlfn.SWITCH(TRIM(UPPER(J1091)),
"BUSINESS", "Short Stay",
"CONFERENCE", "Medium Stay",
"VACATION", "Iong Stay",
"HOLIDAY", "Long Stay",
"V", "Leisure",
"UNKNOWN", "Unknown",
"Other")</f>
        <v>Short Stay</v>
      </c>
    </row>
    <row r="1092" spans="1:11" x14ac:dyDescent="0.3">
      <c r="A1092" t="s">
        <v>3611</v>
      </c>
      <c r="B1092" t="s">
        <v>1040</v>
      </c>
      <c r="C1092" t="s">
        <v>75</v>
      </c>
      <c r="D1092" t="s">
        <v>1913</v>
      </c>
      <c r="E1092" t="s">
        <v>77</v>
      </c>
      <c r="F1092" t="s">
        <v>3010</v>
      </c>
      <c r="G1092" t="s">
        <v>1043</v>
      </c>
      <c r="H1092" t="s">
        <v>2677</v>
      </c>
      <c r="I1092">
        <f t="shared" si="17"/>
        <v>2</v>
      </c>
      <c r="J1092" t="s">
        <v>27</v>
      </c>
      <c r="K1092" t="str" cm="1">
        <f t="array" ref="K1092">_xlfn.SWITCH(TRIM(UPPER(J1092)),
"BUSINESS", "Short Stay",
"CONFERENCE", "Medium Stay",
"VACATION", "Iong Stay",
"HOLIDAY", "Long Stay",
"V", "Leisure",
"UNKNOWN", "Unknown",
"Other")</f>
        <v>Medium Stay</v>
      </c>
    </row>
    <row r="1093" spans="1:11" x14ac:dyDescent="0.3">
      <c r="A1093" t="s">
        <v>3612</v>
      </c>
      <c r="B1093" t="s">
        <v>1933</v>
      </c>
      <c r="C1093" t="s">
        <v>174</v>
      </c>
      <c r="D1093" t="s">
        <v>828</v>
      </c>
      <c r="E1093" t="s">
        <v>149</v>
      </c>
      <c r="F1093" t="s">
        <v>3613</v>
      </c>
      <c r="G1093" t="s">
        <v>726</v>
      </c>
      <c r="H1093" t="s">
        <v>739</v>
      </c>
      <c r="I1093">
        <f t="shared" si="17"/>
        <v>5</v>
      </c>
      <c r="J1093" t="s">
        <v>44</v>
      </c>
      <c r="K1093" t="str" cm="1">
        <f t="array" ref="K1093">_xlfn.SWITCH(TRIM(UPPER(J1093)),
"BUSINESS", "Short Stay",
"CONFERENCE", "Medium Stay",
"VACATION", "Iong Stay",
"HOLIDAY", "Long Stay",
"V", "Leisure",
"UNKNOWN", "Unknown",
"Other")</f>
        <v>Other</v>
      </c>
    </row>
    <row r="1094" spans="1:11" x14ac:dyDescent="0.3">
      <c r="A1094" t="s">
        <v>3614</v>
      </c>
      <c r="B1094" t="s">
        <v>492</v>
      </c>
      <c r="C1094" t="s">
        <v>75</v>
      </c>
      <c r="D1094" t="s">
        <v>3615</v>
      </c>
      <c r="E1094" t="s">
        <v>546</v>
      </c>
      <c r="F1094" t="s">
        <v>3616</v>
      </c>
      <c r="G1094" t="s">
        <v>495</v>
      </c>
      <c r="H1094" t="s">
        <v>715</v>
      </c>
      <c r="I1094">
        <f t="shared" si="17"/>
        <v>3</v>
      </c>
      <c r="J1094" t="s">
        <v>44</v>
      </c>
      <c r="K1094" t="str" cm="1">
        <f t="array" ref="K1094">_xlfn.SWITCH(TRIM(UPPER(J1094)),
"BUSINESS", "Short Stay",
"CONFERENCE", "Medium Stay",
"VACATION", "Iong Stay",
"HOLIDAY", "Long Stay",
"V", "Leisure",
"UNKNOWN", "Unknown",
"Other")</f>
        <v>Other</v>
      </c>
    </row>
    <row r="1095" spans="1:11" x14ac:dyDescent="0.3">
      <c r="A1095" t="s">
        <v>3617</v>
      </c>
      <c r="B1095" t="s">
        <v>1997</v>
      </c>
      <c r="C1095" t="s">
        <v>83</v>
      </c>
      <c r="D1095" t="s">
        <v>2008</v>
      </c>
      <c r="E1095" t="s">
        <v>23</v>
      </c>
      <c r="F1095" t="s">
        <v>3618</v>
      </c>
      <c r="G1095" t="s">
        <v>1199</v>
      </c>
      <c r="H1095" t="s">
        <v>919</v>
      </c>
      <c r="I1095">
        <f t="shared" si="17"/>
        <v>3</v>
      </c>
      <c r="J1095" t="s">
        <v>121</v>
      </c>
      <c r="K1095" t="str" cm="1">
        <f t="array" ref="K1095">_xlfn.SWITCH(TRIM(UPPER(J1095)),
"BUSINESS", "Short Stay",
"CONFERENCE", "Medium Stay",
"VACATION", "Iong Stay",
"HOLIDAY", "Long Stay",
"V", "Leisure",
"UNKNOWN", "Unknown",
"Other")</f>
        <v>Iong Stay</v>
      </c>
    </row>
    <row r="1096" spans="1:11" x14ac:dyDescent="0.3">
      <c r="A1096" t="s">
        <v>3619</v>
      </c>
      <c r="B1096" t="s">
        <v>682</v>
      </c>
      <c r="C1096" t="s">
        <v>97</v>
      </c>
      <c r="D1096" t="s">
        <v>1345</v>
      </c>
      <c r="E1096" t="s">
        <v>430</v>
      </c>
      <c r="F1096" t="s">
        <v>3620</v>
      </c>
      <c r="G1096" t="s">
        <v>685</v>
      </c>
      <c r="H1096" t="s">
        <v>719</v>
      </c>
      <c r="I1096">
        <f t="shared" si="17"/>
        <v>4</v>
      </c>
      <c r="J1096" t="s">
        <v>27</v>
      </c>
      <c r="K1096" t="str" cm="1">
        <f t="array" ref="K1096">_xlfn.SWITCH(TRIM(UPPER(J1096)),
"BUSINESS", "Short Stay",
"CONFERENCE", "Medium Stay",
"VACATION", "Iong Stay",
"HOLIDAY", "Long Stay",
"V", "Leisure",
"UNKNOWN", "Unknown",
"Other")</f>
        <v>Medium Stay</v>
      </c>
    </row>
    <row r="1097" spans="1:11" x14ac:dyDescent="0.3">
      <c r="A1097" t="s">
        <v>3621</v>
      </c>
      <c r="B1097" t="s">
        <v>1156</v>
      </c>
      <c r="C1097" t="s">
        <v>174</v>
      </c>
      <c r="D1097" t="s">
        <v>2765</v>
      </c>
      <c r="E1097" t="s">
        <v>14</v>
      </c>
      <c r="F1097" t="s">
        <v>3622</v>
      </c>
      <c r="G1097" t="s">
        <v>1159</v>
      </c>
      <c r="H1097" t="s">
        <v>17</v>
      </c>
      <c r="I1097">
        <f t="shared" si="17"/>
        <v>5</v>
      </c>
      <c r="J1097" t="s">
        <v>44</v>
      </c>
      <c r="K1097" t="str" cm="1">
        <f t="array" ref="K1097">_xlfn.SWITCH(TRIM(UPPER(J1097)),
"BUSINESS", "Short Stay",
"CONFERENCE", "Medium Stay",
"VACATION", "Iong Stay",
"HOLIDAY", "Long Stay",
"V", "Leisure",
"UNKNOWN", "Unknown",
"Other")</f>
        <v>Other</v>
      </c>
    </row>
    <row r="1098" spans="1:11" x14ac:dyDescent="0.3">
      <c r="A1098" t="s">
        <v>3623</v>
      </c>
      <c r="B1098" t="s">
        <v>154</v>
      </c>
      <c r="C1098" t="s">
        <v>21</v>
      </c>
      <c r="D1098" t="s">
        <v>1098</v>
      </c>
      <c r="E1098" t="s">
        <v>476</v>
      </c>
      <c r="F1098" t="s">
        <v>3624</v>
      </c>
      <c r="G1098" t="s">
        <v>158</v>
      </c>
      <c r="H1098" t="s">
        <v>159</v>
      </c>
      <c r="I1098">
        <f t="shared" si="17"/>
        <v>4</v>
      </c>
      <c r="J1098" t="s">
        <v>18</v>
      </c>
      <c r="K1098" t="str" cm="1">
        <f t="array" ref="K1098">_xlfn.SWITCH(TRIM(UPPER(J1098)),
"BUSINESS", "Short Stay",
"CONFERENCE", "Medium Stay",
"VACATION", "Iong Stay",
"HOLIDAY", "Long Stay",
"V", "Leisure",
"UNKNOWN", "Unknown",
"Other")</f>
        <v>Short Stay</v>
      </c>
    </row>
    <row r="1099" spans="1:11" x14ac:dyDescent="0.3">
      <c r="A1099" t="s">
        <v>3625</v>
      </c>
      <c r="B1099" t="s">
        <v>1597</v>
      </c>
      <c r="C1099" t="s">
        <v>54</v>
      </c>
      <c r="D1099" t="s">
        <v>3162</v>
      </c>
      <c r="E1099" t="s">
        <v>214</v>
      </c>
      <c r="F1099" t="s">
        <v>3626</v>
      </c>
      <c r="G1099" t="s">
        <v>304</v>
      </c>
      <c r="H1099" t="s">
        <v>144</v>
      </c>
      <c r="I1099">
        <f t="shared" si="17"/>
        <v>4</v>
      </c>
      <c r="J1099" t="s">
        <v>44</v>
      </c>
      <c r="K1099" t="str" cm="1">
        <f t="array" ref="K1099">_xlfn.SWITCH(TRIM(UPPER(J1099)),
"BUSINESS", "Short Stay",
"CONFERENCE", "Medium Stay",
"VACATION", "Iong Stay",
"HOLIDAY", "Long Stay",
"V", "Leisure",
"UNKNOWN", "Unknown",
"Other")</f>
        <v>Other</v>
      </c>
    </row>
    <row r="1100" spans="1:11" x14ac:dyDescent="0.3">
      <c r="A1100" t="s">
        <v>3627</v>
      </c>
      <c r="B1100" t="s">
        <v>154</v>
      </c>
      <c r="C1100" t="s">
        <v>21</v>
      </c>
      <c r="D1100" t="s">
        <v>248</v>
      </c>
      <c r="E1100" t="s">
        <v>149</v>
      </c>
      <c r="F1100" t="s">
        <v>3628</v>
      </c>
      <c r="G1100" t="s">
        <v>158</v>
      </c>
      <c r="H1100" t="s">
        <v>1555</v>
      </c>
      <c r="I1100">
        <f t="shared" si="17"/>
        <v>5</v>
      </c>
      <c r="J1100" t="s">
        <v>27</v>
      </c>
      <c r="K1100" t="str" cm="1">
        <f t="array" ref="K1100">_xlfn.SWITCH(TRIM(UPPER(J1100)),
"BUSINESS", "Short Stay",
"CONFERENCE", "Medium Stay",
"VACATION", "Iong Stay",
"HOLIDAY", "Long Stay",
"V", "Leisure",
"UNKNOWN", "Unknown",
"Other")</f>
        <v>Medium Stay</v>
      </c>
    </row>
    <row r="1101" spans="1:11" x14ac:dyDescent="0.3">
      <c r="A1101" t="s">
        <v>3629</v>
      </c>
      <c r="B1101" t="s">
        <v>1040</v>
      </c>
      <c r="C1101" t="s">
        <v>83</v>
      </c>
      <c r="D1101" t="s">
        <v>3630</v>
      </c>
      <c r="E1101" t="s">
        <v>69</v>
      </c>
      <c r="F1101" t="s">
        <v>3631</v>
      </c>
      <c r="G1101" t="s">
        <v>1043</v>
      </c>
      <c r="H1101" t="s">
        <v>42</v>
      </c>
      <c r="I1101">
        <f t="shared" si="17"/>
        <v>5</v>
      </c>
      <c r="J1101" t="s">
        <v>27</v>
      </c>
      <c r="K1101" t="str" cm="1">
        <f t="array" ref="K1101">_xlfn.SWITCH(TRIM(UPPER(J1101)),
"BUSINESS", "Short Stay",
"CONFERENCE", "Medium Stay",
"VACATION", "Iong Stay",
"HOLIDAY", "Long Stay",
"V", "Leisure",
"UNKNOWN", "Unknown",
"Other")</f>
        <v>Medium Stay</v>
      </c>
    </row>
    <row r="1102" spans="1:11" x14ac:dyDescent="0.3">
      <c r="A1102" t="s">
        <v>3632</v>
      </c>
      <c r="B1102" t="s">
        <v>2025</v>
      </c>
      <c r="C1102" t="s">
        <v>38</v>
      </c>
      <c r="D1102" t="s">
        <v>3633</v>
      </c>
      <c r="E1102" t="s">
        <v>430</v>
      </c>
      <c r="F1102" t="s">
        <v>848</v>
      </c>
      <c r="G1102" t="s">
        <v>1522</v>
      </c>
      <c r="H1102" t="s">
        <v>869</v>
      </c>
      <c r="I1102">
        <f t="shared" si="17"/>
        <v>5</v>
      </c>
      <c r="J1102" t="s">
        <v>121</v>
      </c>
      <c r="K1102" t="str" cm="1">
        <f t="array" ref="K1102">_xlfn.SWITCH(TRIM(UPPER(J1102)),
"BUSINESS", "Short Stay",
"CONFERENCE", "Medium Stay",
"VACATION", "Iong Stay",
"HOLIDAY", "Long Stay",
"V", "Leisure",
"UNKNOWN", "Unknown",
"Other")</f>
        <v>Iong Stay</v>
      </c>
    </row>
    <row r="1103" spans="1:11" x14ac:dyDescent="0.3">
      <c r="A1103" t="s">
        <v>3634</v>
      </c>
      <c r="B1103" t="s">
        <v>273</v>
      </c>
      <c r="C1103" t="s">
        <v>12</v>
      </c>
      <c r="D1103" t="s">
        <v>1409</v>
      </c>
      <c r="E1103" t="s">
        <v>201</v>
      </c>
      <c r="F1103" t="s">
        <v>3635</v>
      </c>
      <c r="G1103" t="s">
        <v>276</v>
      </c>
      <c r="H1103" t="s">
        <v>17</v>
      </c>
      <c r="I1103">
        <f t="shared" si="17"/>
        <v>3</v>
      </c>
      <c r="J1103" t="s">
        <v>18</v>
      </c>
      <c r="K1103" t="str" cm="1">
        <f t="array" ref="K1103">_xlfn.SWITCH(TRIM(UPPER(J1103)),
"BUSINESS", "Short Stay",
"CONFERENCE", "Medium Stay",
"VACATION", "Iong Stay",
"HOLIDAY", "Long Stay",
"V", "Leisure",
"UNKNOWN", "Unknown",
"Other")</f>
        <v>Short Stay</v>
      </c>
    </row>
    <row r="1104" spans="1:11" x14ac:dyDescent="0.3">
      <c r="A1104" t="s">
        <v>3636</v>
      </c>
      <c r="B1104" t="s">
        <v>809</v>
      </c>
      <c r="C1104" t="s">
        <v>61</v>
      </c>
      <c r="D1104" t="s">
        <v>2988</v>
      </c>
      <c r="E1104" t="s">
        <v>156</v>
      </c>
      <c r="F1104" t="s">
        <v>3637</v>
      </c>
      <c r="G1104" t="s">
        <v>812</v>
      </c>
      <c r="H1104" t="s">
        <v>3198</v>
      </c>
      <c r="I1104">
        <f t="shared" si="17"/>
        <v>3</v>
      </c>
      <c r="J1104" t="s">
        <v>44</v>
      </c>
      <c r="K1104" t="str" cm="1">
        <f t="array" ref="K1104">_xlfn.SWITCH(TRIM(UPPER(J1104)),
"BUSINESS", "Short Stay",
"CONFERENCE", "Medium Stay",
"VACATION", "Iong Stay",
"HOLIDAY", "Long Stay",
"V", "Leisure",
"UNKNOWN", "Unknown",
"Other")</f>
        <v>Other</v>
      </c>
    </row>
    <row r="1105" spans="1:11" x14ac:dyDescent="0.3">
      <c r="A1105" t="s">
        <v>3638</v>
      </c>
      <c r="B1105" t="s">
        <v>218</v>
      </c>
      <c r="C1105" t="s">
        <v>38</v>
      </c>
      <c r="D1105" t="s">
        <v>3639</v>
      </c>
      <c r="E1105" t="s">
        <v>32</v>
      </c>
      <c r="F1105" t="s">
        <v>3640</v>
      </c>
      <c r="G1105" t="s">
        <v>221</v>
      </c>
      <c r="H1105" t="s">
        <v>1304</v>
      </c>
      <c r="I1105">
        <f t="shared" si="17"/>
        <v>3</v>
      </c>
      <c r="J1105" t="s">
        <v>27</v>
      </c>
      <c r="K1105" t="str" cm="1">
        <f t="array" ref="K1105">_xlfn.SWITCH(TRIM(UPPER(J1105)),
"BUSINESS", "Short Stay",
"CONFERENCE", "Medium Stay",
"VACATION", "Iong Stay",
"HOLIDAY", "Long Stay",
"V", "Leisure",
"UNKNOWN", "Unknown",
"Other")</f>
        <v>Medium Stay</v>
      </c>
    </row>
    <row r="1106" spans="1:11" x14ac:dyDescent="0.3">
      <c r="A1106" t="s">
        <v>3641</v>
      </c>
      <c r="B1106" t="s">
        <v>1849</v>
      </c>
      <c r="C1106" t="s">
        <v>30</v>
      </c>
      <c r="D1106" t="s">
        <v>3165</v>
      </c>
      <c r="E1106" t="s">
        <v>314</v>
      </c>
      <c r="F1106" t="s">
        <v>3642</v>
      </c>
      <c r="G1106" t="s">
        <v>1611</v>
      </c>
      <c r="H1106" t="s">
        <v>1894</v>
      </c>
      <c r="I1106">
        <f t="shared" si="17"/>
        <v>2</v>
      </c>
      <c r="J1106" t="s">
        <v>44</v>
      </c>
      <c r="K1106" t="str" cm="1">
        <f t="array" ref="K1106">_xlfn.SWITCH(TRIM(UPPER(J1106)),
"BUSINESS", "Short Stay",
"CONFERENCE", "Medium Stay",
"VACATION", "Iong Stay",
"HOLIDAY", "Long Stay",
"V", "Leisure",
"UNKNOWN", "Unknown",
"Other")</f>
        <v>Other</v>
      </c>
    </row>
    <row r="1107" spans="1:11" x14ac:dyDescent="0.3">
      <c r="A1107" t="s">
        <v>3643</v>
      </c>
      <c r="B1107" t="s">
        <v>755</v>
      </c>
      <c r="C1107" t="s">
        <v>21</v>
      </c>
      <c r="D1107" t="s">
        <v>3644</v>
      </c>
      <c r="E1107" t="s">
        <v>458</v>
      </c>
      <c r="F1107" t="s">
        <v>3645</v>
      </c>
      <c r="G1107" t="s">
        <v>758</v>
      </c>
      <c r="H1107" t="s">
        <v>2628</v>
      </c>
      <c r="I1107">
        <f t="shared" si="17"/>
        <v>3</v>
      </c>
      <c r="J1107" t="s">
        <v>44</v>
      </c>
      <c r="K1107" t="str" cm="1">
        <f t="array" ref="K1107">_xlfn.SWITCH(TRIM(UPPER(J1107)),
"BUSINESS", "Short Stay",
"CONFERENCE", "Medium Stay",
"VACATION", "Iong Stay",
"HOLIDAY", "Long Stay",
"V", "Leisure",
"UNKNOWN", "Unknown",
"Other")</f>
        <v>Other</v>
      </c>
    </row>
    <row r="1108" spans="1:11" x14ac:dyDescent="0.3">
      <c r="A1108" t="s">
        <v>3646</v>
      </c>
      <c r="B1108" t="s">
        <v>279</v>
      </c>
      <c r="C1108" t="s">
        <v>30</v>
      </c>
      <c r="D1108" t="s">
        <v>906</v>
      </c>
      <c r="E1108" t="s">
        <v>176</v>
      </c>
      <c r="F1108" t="s">
        <v>3647</v>
      </c>
      <c r="G1108" t="s">
        <v>282</v>
      </c>
      <c r="H1108" t="s">
        <v>1243</v>
      </c>
      <c r="I1108">
        <f t="shared" si="17"/>
        <v>1</v>
      </c>
      <c r="J1108" t="s">
        <v>27</v>
      </c>
      <c r="K1108" t="str" cm="1">
        <f t="array" ref="K1108">_xlfn.SWITCH(TRIM(UPPER(J1108)),
"BUSINESS", "Short Stay",
"CONFERENCE", "Medium Stay",
"VACATION", "Iong Stay",
"HOLIDAY", "Long Stay",
"V", "Leisure",
"UNKNOWN", "Unknown",
"Other")</f>
        <v>Medium Stay</v>
      </c>
    </row>
    <row r="1109" spans="1:11" x14ac:dyDescent="0.3">
      <c r="A1109" t="s">
        <v>3648</v>
      </c>
      <c r="B1109" t="s">
        <v>2646</v>
      </c>
      <c r="C1109" t="s">
        <v>61</v>
      </c>
      <c r="D1109" t="s">
        <v>3649</v>
      </c>
      <c r="E1109" t="s">
        <v>69</v>
      </c>
      <c r="F1109" t="s">
        <v>3650</v>
      </c>
      <c r="G1109" t="s">
        <v>1432</v>
      </c>
      <c r="H1109" t="s">
        <v>668</v>
      </c>
      <c r="I1109">
        <f t="shared" si="17"/>
        <v>1</v>
      </c>
      <c r="J1109" t="s">
        <v>18</v>
      </c>
      <c r="K1109" t="str" cm="1">
        <f t="array" ref="K1109">_xlfn.SWITCH(TRIM(UPPER(J1109)),
"BUSINESS", "Short Stay",
"CONFERENCE", "Medium Stay",
"VACATION", "Iong Stay",
"HOLIDAY", "Long Stay",
"V", "Leisure",
"UNKNOWN", "Unknown",
"Other")</f>
        <v>Short Stay</v>
      </c>
    </row>
    <row r="1110" spans="1:11" x14ac:dyDescent="0.3">
      <c r="A1110" t="s">
        <v>3651</v>
      </c>
      <c r="B1110" t="s">
        <v>1534</v>
      </c>
      <c r="C1110" t="s">
        <v>61</v>
      </c>
      <c r="D1110" t="s">
        <v>3630</v>
      </c>
      <c r="E1110" t="s">
        <v>214</v>
      </c>
      <c r="F1110" t="s">
        <v>3652</v>
      </c>
      <c r="G1110" t="s">
        <v>152</v>
      </c>
      <c r="H1110" t="s">
        <v>1407</v>
      </c>
      <c r="I1110">
        <f t="shared" si="17"/>
        <v>4</v>
      </c>
      <c r="J1110" t="s">
        <v>27</v>
      </c>
      <c r="K1110" t="str" cm="1">
        <f t="array" ref="K1110">_xlfn.SWITCH(TRIM(UPPER(J1110)),
"BUSINESS", "Short Stay",
"CONFERENCE", "Medium Stay",
"VACATION", "Iong Stay",
"HOLIDAY", "Long Stay",
"V", "Leisure",
"UNKNOWN", "Unknown",
"Other")</f>
        <v>Medium Stay</v>
      </c>
    </row>
    <row r="1111" spans="1:11" x14ac:dyDescent="0.3">
      <c r="A1111" t="s">
        <v>3653</v>
      </c>
      <c r="B1111" t="s">
        <v>3654</v>
      </c>
      <c r="C1111" t="s">
        <v>61</v>
      </c>
      <c r="D1111" t="s">
        <v>2723</v>
      </c>
      <c r="E1111" t="s">
        <v>23</v>
      </c>
      <c r="F1111" t="s">
        <v>3655</v>
      </c>
      <c r="G1111" t="s">
        <v>1100</v>
      </c>
      <c r="H1111" t="s">
        <v>646</v>
      </c>
      <c r="I1111">
        <f t="shared" si="17"/>
        <v>4</v>
      </c>
      <c r="J1111" t="s">
        <v>18</v>
      </c>
      <c r="K1111" t="str" cm="1">
        <f t="array" ref="K1111">_xlfn.SWITCH(TRIM(UPPER(J1111)),
"BUSINESS", "Short Stay",
"CONFERENCE", "Medium Stay",
"VACATION", "Iong Stay",
"HOLIDAY", "Long Stay",
"V", "Leisure",
"UNKNOWN", "Unknown",
"Other")</f>
        <v>Short Stay</v>
      </c>
    </row>
    <row r="1112" spans="1:11" x14ac:dyDescent="0.3">
      <c r="A1112" t="s">
        <v>3656</v>
      </c>
      <c r="B1112" t="s">
        <v>1022</v>
      </c>
      <c r="C1112" t="s">
        <v>38</v>
      </c>
      <c r="D1112" t="s">
        <v>424</v>
      </c>
      <c r="E1112" t="s">
        <v>40</v>
      </c>
      <c r="F1112" t="s">
        <v>3657</v>
      </c>
      <c r="G1112" t="s">
        <v>1025</v>
      </c>
      <c r="H1112" t="s">
        <v>1026</v>
      </c>
      <c r="I1112">
        <f t="shared" si="17"/>
        <v>2</v>
      </c>
      <c r="J1112" t="s">
        <v>44</v>
      </c>
      <c r="K1112" t="str" cm="1">
        <f t="array" ref="K1112">_xlfn.SWITCH(TRIM(UPPER(J1112)),
"BUSINESS", "Short Stay",
"CONFERENCE", "Medium Stay",
"VACATION", "Iong Stay",
"HOLIDAY", "Long Stay",
"V", "Leisure",
"UNKNOWN", "Unknown",
"Other")</f>
        <v>Other</v>
      </c>
    </row>
    <row r="1113" spans="1:11" x14ac:dyDescent="0.3">
      <c r="A1113" t="s">
        <v>3658</v>
      </c>
      <c r="B1113" t="s">
        <v>2190</v>
      </c>
      <c r="C1113" t="s">
        <v>30</v>
      </c>
      <c r="D1113" t="s">
        <v>3346</v>
      </c>
      <c r="E1113" t="s">
        <v>32</v>
      </c>
      <c r="F1113" t="s">
        <v>3659</v>
      </c>
      <c r="G1113" t="s">
        <v>1471</v>
      </c>
      <c r="H1113" t="s">
        <v>144</v>
      </c>
      <c r="I1113">
        <f t="shared" si="17"/>
        <v>1</v>
      </c>
      <c r="J1113" t="s">
        <v>27</v>
      </c>
      <c r="K1113" t="str" cm="1">
        <f t="array" ref="K1113">_xlfn.SWITCH(TRIM(UPPER(J1113)),
"BUSINESS", "Short Stay",
"CONFERENCE", "Medium Stay",
"VACATION", "Iong Stay",
"HOLIDAY", "Long Stay",
"V", "Leisure",
"UNKNOWN", "Unknown",
"Other")</f>
        <v>Medium Stay</v>
      </c>
    </row>
    <row r="1114" spans="1:11" x14ac:dyDescent="0.3">
      <c r="A1114" t="s">
        <v>3660</v>
      </c>
      <c r="B1114" t="s">
        <v>596</v>
      </c>
      <c r="C1114" t="s">
        <v>97</v>
      </c>
      <c r="D1114" t="s">
        <v>1476</v>
      </c>
      <c r="E1114" t="s">
        <v>314</v>
      </c>
      <c r="F1114" t="s">
        <v>3661</v>
      </c>
      <c r="G1114" t="s">
        <v>599</v>
      </c>
      <c r="H1114" t="s">
        <v>1689</v>
      </c>
      <c r="I1114">
        <f t="shared" si="17"/>
        <v>5</v>
      </c>
      <c r="J1114" t="s">
        <v>121</v>
      </c>
      <c r="K1114" t="str" cm="1">
        <f t="array" ref="K1114">_xlfn.SWITCH(TRIM(UPPER(J1114)),
"BUSINESS", "Short Stay",
"CONFERENCE", "Medium Stay",
"VACATION", "Iong Stay",
"HOLIDAY", "Long Stay",
"V", "Leisure",
"UNKNOWN", "Unknown",
"Other")</f>
        <v>Iong Stay</v>
      </c>
    </row>
    <row r="1115" spans="1:11" x14ac:dyDescent="0.3">
      <c r="A1115" t="s">
        <v>3662</v>
      </c>
      <c r="B1115" t="s">
        <v>968</v>
      </c>
      <c r="C1115" t="s">
        <v>174</v>
      </c>
      <c r="D1115" t="s">
        <v>607</v>
      </c>
      <c r="E1115" t="s">
        <v>458</v>
      </c>
      <c r="F1115" t="s">
        <v>3663</v>
      </c>
      <c r="G1115" t="s">
        <v>971</v>
      </c>
      <c r="H1115" t="s">
        <v>604</v>
      </c>
      <c r="I1115">
        <f t="shared" si="17"/>
        <v>3</v>
      </c>
      <c r="J1115" t="s">
        <v>121</v>
      </c>
      <c r="K1115" t="str" cm="1">
        <f t="array" ref="K1115">_xlfn.SWITCH(TRIM(UPPER(J1115)),
"BUSINESS", "Short Stay",
"CONFERENCE", "Medium Stay",
"VACATION", "Iong Stay",
"HOLIDAY", "Long Stay",
"V", "Leisure",
"UNKNOWN", "Unknown",
"Other")</f>
        <v>Iong Stay</v>
      </c>
    </row>
    <row r="1116" spans="1:11" x14ac:dyDescent="0.3">
      <c r="A1116" t="s">
        <v>3664</v>
      </c>
      <c r="B1116" t="s">
        <v>353</v>
      </c>
      <c r="C1116" t="s">
        <v>38</v>
      </c>
      <c r="D1116" t="s">
        <v>3665</v>
      </c>
      <c r="E1116" t="s">
        <v>214</v>
      </c>
      <c r="F1116" t="s">
        <v>3666</v>
      </c>
      <c r="G1116" t="s">
        <v>356</v>
      </c>
      <c r="H1116" t="s">
        <v>357</v>
      </c>
      <c r="I1116">
        <f t="shared" si="17"/>
        <v>3</v>
      </c>
      <c r="J1116" t="s">
        <v>18</v>
      </c>
      <c r="K1116" t="str" cm="1">
        <f t="array" ref="K1116">_xlfn.SWITCH(TRIM(UPPER(J1116)),
"BUSINESS", "Short Stay",
"CONFERENCE", "Medium Stay",
"VACATION", "Iong Stay",
"HOLIDAY", "Long Stay",
"V", "Leisure",
"UNKNOWN", "Unknown",
"Other")</f>
        <v>Short Stay</v>
      </c>
    </row>
    <row r="1117" spans="1:11" x14ac:dyDescent="0.3">
      <c r="A1117" t="s">
        <v>3667</v>
      </c>
      <c r="B1117" t="s">
        <v>154</v>
      </c>
      <c r="C1117" t="s">
        <v>61</v>
      </c>
      <c r="D1117" t="s">
        <v>3668</v>
      </c>
      <c r="E1117" t="s">
        <v>476</v>
      </c>
      <c r="F1117" t="s">
        <v>3669</v>
      </c>
      <c r="G1117" t="s">
        <v>158</v>
      </c>
      <c r="H1117" t="s">
        <v>260</v>
      </c>
      <c r="I1117">
        <f t="shared" si="17"/>
        <v>2</v>
      </c>
      <c r="J1117" t="s">
        <v>18</v>
      </c>
      <c r="K1117" t="str" cm="1">
        <f t="array" ref="K1117">_xlfn.SWITCH(TRIM(UPPER(J1117)),
"BUSINESS", "Short Stay",
"CONFERENCE", "Medium Stay",
"VACATION", "Iong Stay",
"HOLIDAY", "Long Stay",
"V", "Leisure",
"UNKNOWN", "Unknown",
"Other")</f>
        <v>Short Stay</v>
      </c>
    </row>
    <row r="1118" spans="1:11" x14ac:dyDescent="0.3">
      <c r="A1118" t="s">
        <v>3670</v>
      </c>
      <c r="B1118" t="s">
        <v>905</v>
      </c>
      <c r="C1118" t="s">
        <v>61</v>
      </c>
      <c r="D1118" t="s">
        <v>3372</v>
      </c>
      <c r="E1118" t="s">
        <v>546</v>
      </c>
      <c r="F1118" t="s">
        <v>3671</v>
      </c>
      <c r="G1118" t="s">
        <v>539</v>
      </c>
      <c r="H1118" t="s">
        <v>1078</v>
      </c>
      <c r="I1118">
        <f t="shared" si="17"/>
        <v>3</v>
      </c>
      <c r="J1118" t="s">
        <v>18</v>
      </c>
      <c r="K1118" t="str" cm="1">
        <f t="array" ref="K1118">_xlfn.SWITCH(TRIM(UPPER(J1118)),
"BUSINESS", "Short Stay",
"CONFERENCE", "Medium Stay",
"VACATION", "Iong Stay",
"HOLIDAY", "Long Stay",
"V", "Leisure",
"UNKNOWN", "Unknown",
"Other")</f>
        <v>Short Stay</v>
      </c>
    </row>
    <row r="1119" spans="1:11" x14ac:dyDescent="0.3">
      <c r="A1119" t="s">
        <v>3672</v>
      </c>
      <c r="B1119" t="s">
        <v>2287</v>
      </c>
      <c r="C1119" t="s">
        <v>61</v>
      </c>
      <c r="D1119" t="s">
        <v>3673</v>
      </c>
      <c r="E1119" t="s">
        <v>176</v>
      </c>
      <c r="F1119" t="s">
        <v>3674</v>
      </c>
      <c r="G1119" t="s">
        <v>2290</v>
      </c>
      <c r="H1119" t="s">
        <v>1986</v>
      </c>
      <c r="I1119">
        <f t="shared" si="17"/>
        <v>5</v>
      </c>
      <c r="J1119" t="s">
        <v>27</v>
      </c>
      <c r="K1119" t="str" cm="1">
        <f t="array" ref="K1119">_xlfn.SWITCH(TRIM(UPPER(J1119)),
"BUSINESS", "Short Stay",
"CONFERENCE", "Medium Stay",
"VACATION", "Iong Stay",
"HOLIDAY", "Long Stay",
"V", "Leisure",
"UNKNOWN", "Unknown",
"Other")</f>
        <v>Medium Stay</v>
      </c>
    </row>
    <row r="1120" spans="1:11" x14ac:dyDescent="0.3">
      <c r="A1120" t="s">
        <v>3675</v>
      </c>
      <c r="B1120" t="s">
        <v>330</v>
      </c>
      <c r="C1120" t="s">
        <v>174</v>
      </c>
      <c r="D1120" t="s">
        <v>3676</v>
      </c>
      <c r="E1120" t="s">
        <v>117</v>
      </c>
      <c r="F1120" t="s">
        <v>3677</v>
      </c>
      <c r="G1120" t="s">
        <v>333</v>
      </c>
      <c r="H1120" t="s">
        <v>221</v>
      </c>
      <c r="I1120">
        <f t="shared" si="17"/>
        <v>1</v>
      </c>
      <c r="J1120" t="s">
        <v>27</v>
      </c>
      <c r="K1120" t="str" cm="1">
        <f t="array" ref="K1120">_xlfn.SWITCH(TRIM(UPPER(J1120)),
"BUSINESS", "Short Stay",
"CONFERENCE", "Medium Stay",
"VACATION", "Iong Stay",
"HOLIDAY", "Long Stay",
"V", "Leisure",
"UNKNOWN", "Unknown",
"Other")</f>
        <v>Medium Stay</v>
      </c>
    </row>
    <row r="1121" spans="1:11" x14ac:dyDescent="0.3">
      <c r="A1121" t="s">
        <v>3678</v>
      </c>
      <c r="B1121" t="s">
        <v>1401</v>
      </c>
      <c r="C1121" t="s">
        <v>54</v>
      </c>
      <c r="D1121" t="s">
        <v>1602</v>
      </c>
      <c r="E1121" t="s">
        <v>69</v>
      </c>
      <c r="F1121" t="s">
        <v>3679</v>
      </c>
      <c r="G1121" t="s">
        <v>1404</v>
      </c>
      <c r="H1121" t="s">
        <v>1268</v>
      </c>
      <c r="I1121">
        <f t="shared" si="17"/>
        <v>3</v>
      </c>
      <c r="J1121" t="s">
        <v>121</v>
      </c>
      <c r="K1121" t="str" cm="1">
        <f t="array" ref="K1121">_xlfn.SWITCH(TRIM(UPPER(J1121)),
"BUSINESS", "Short Stay",
"CONFERENCE", "Medium Stay",
"VACATION", "Iong Stay",
"HOLIDAY", "Long Stay",
"V", "Leisure",
"UNKNOWN", "Unknown",
"Other")</f>
        <v>Iong Stay</v>
      </c>
    </row>
    <row r="1122" spans="1:11" x14ac:dyDescent="0.3">
      <c r="A1122" t="s">
        <v>3680</v>
      </c>
      <c r="B1122" t="s">
        <v>380</v>
      </c>
      <c r="C1122" t="s">
        <v>30</v>
      </c>
      <c r="D1122" t="s">
        <v>1385</v>
      </c>
      <c r="E1122" t="s">
        <v>430</v>
      </c>
      <c r="F1122" t="s">
        <v>3681</v>
      </c>
      <c r="G1122" t="s">
        <v>383</v>
      </c>
      <c r="H1122" t="s">
        <v>490</v>
      </c>
      <c r="I1122">
        <f t="shared" si="17"/>
        <v>4</v>
      </c>
      <c r="J1122" t="s">
        <v>44</v>
      </c>
      <c r="K1122" t="str" cm="1">
        <f t="array" ref="K1122">_xlfn.SWITCH(TRIM(UPPER(J1122)),
"BUSINESS", "Short Stay",
"CONFERENCE", "Medium Stay",
"VACATION", "Iong Stay",
"HOLIDAY", "Long Stay",
"V", "Leisure",
"UNKNOWN", "Unknown",
"Other")</f>
        <v>Other</v>
      </c>
    </row>
    <row r="1123" spans="1:11" x14ac:dyDescent="0.3">
      <c r="A1123" t="s">
        <v>3682</v>
      </c>
      <c r="B1123" t="s">
        <v>1942</v>
      </c>
      <c r="C1123" t="s">
        <v>97</v>
      </c>
      <c r="D1123" t="s">
        <v>1644</v>
      </c>
      <c r="E1123" t="s">
        <v>69</v>
      </c>
      <c r="F1123" t="s">
        <v>3683</v>
      </c>
      <c r="G1123" t="s">
        <v>1696</v>
      </c>
      <c r="H1123" t="s">
        <v>496</v>
      </c>
      <c r="I1123">
        <f t="shared" si="17"/>
        <v>3</v>
      </c>
      <c r="J1123" t="s">
        <v>121</v>
      </c>
      <c r="K1123" t="str" cm="1">
        <f t="array" ref="K1123">_xlfn.SWITCH(TRIM(UPPER(J1123)),
"BUSINESS", "Short Stay",
"CONFERENCE", "Medium Stay",
"VACATION", "Iong Stay",
"HOLIDAY", "Long Stay",
"V", "Leisure",
"UNKNOWN", "Unknown",
"Other")</f>
        <v>Iong Stay</v>
      </c>
    </row>
    <row r="1124" spans="1:11" x14ac:dyDescent="0.3">
      <c r="A1124" t="s">
        <v>3684</v>
      </c>
      <c r="B1124" t="s">
        <v>772</v>
      </c>
      <c r="C1124" t="s">
        <v>75</v>
      </c>
      <c r="D1124" t="s">
        <v>1306</v>
      </c>
      <c r="E1124" t="s">
        <v>77</v>
      </c>
      <c r="F1124" t="s">
        <v>3685</v>
      </c>
      <c r="G1124" t="s">
        <v>775</v>
      </c>
      <c r="H1124" t="s">
        <v>502</v>
      </c>
      <c r="I1124">
        <f t="shared" si="17"/>
        <v>3</v>
      </c>
      <c r="J1124" t="s">
        <v>44</v>
      </c>
      <c r="K1124" t="str" cm="1">
        <f t="array" ref="K1124">_xlfn.SWITCH(TRIM(UPPER(J1124)),
"BUSINESS", "Short Stay",
"CONFERENCE", "Medium Stay",
"VACATION", "Iong Stay",
"HOLIDAY", "Long Stay",
"V", "Leisure",
"UNKNOWN", "Unknown",
"Other")</f>
        <v>Other</v>
      </c>
    </row>
    <row r="1125" spans="1:11" x14ac:dyDescent="0.3">
      <c r="A1125" t="s">
        <v>3686</v>
      </c>
      <c r="B1125" t="s">
        <v>2146</v>
      </c>
      <c r="C1125" t="s">
        <v>75</v>
      </c>
      <c r="D1125" t="s">
        <v>2332</v>
      </c>
      <c r="E1125" t="s">
        <v>476</v>
      </c>
      <c r="F1125" t="s">
        <v>3687</v>
      </c>
      <c r="G1125" t="s">
        <v>328</v>
      </c>
      <c r="H1125" t="s">
        <v>453</v>
      </c>
      <c r="I1125">
        <f t="shared" si="17"/>
        <v>4</v>
      </c>
      <c r="J1125" t="s">
        <v>44</v>
      </c>
      <c r="K1125" t="str" cm="1">
        <f t="array" ref="K1125">_xlfn.SWITCH(TRIM(UPPER(J1125)),
"BUSINESS", "Short Stay",
"CONFERENCE", "Medium Stay",
"VACATION", "Iong Stay",
"HOLIDAY", "Long Stay",
"V", "Leisure",
"UNKNOWN", "Unknown",
"Other")</f>
        <v>Other</v>
      </c>
    </row>
    <row r="1126" spans="1:11" x14ac:dyDescent="0.3">
      <c r="A1126" t="s">
        <v>3688</v>
      </c>
      <c r="B1126" t="s">
        <v>300</v>
      </c>
      <c r="C1126" t="s">
        <v>21</v>
      </c>
      <c r="D1126" t="s">
        <v>3689</v>
      </c>
      <c r="E1126" t="s">
        <v>149</v>
      </c>
      <c r="F1126" t="s">
        <v>3690</v>
      </c>
      <c r="G1126" t="s">
        <v>303</v>
      </c>
      <c r="H1126" t="s">
        <v>304</v>
      </c>
      <c r="I1126">
        <f t="shared" si="17"/>
        <v>4</v>
      </c>
      <c r="J1126" t="s">
        <v>121</v>
      </c>
      <c r="K1126" t="str" cm="1">
        <f t="array" ref="K1126">_xlfn.SWITCH(TRIM(UPPER(J1126)),
"BUSINESS", "Short Stay",
"CONFERENCE", "Medium Stay",
"VACATION", "Iong Stay",
"HOLIDAY", "Long Stay",
"V", "Leisure",
"UNKNOWN", "Unknown",
"Other")</f>
        <v>Iong Stay</v>
      </c>
    </row>
    <row r="1127" spans="1:11" x14ac:dyDescent="0.3">
      <c r="A1127" t="s">
        <v>3691</v>
      </c>
      <c r="B1127" t="s">
        <v>1667</v>
      </c>
      <c r="C1127" t="s">
        <v>38</v>
      </c>
      <c r="D1127" t="s">
        <v>1907</v>
      </c>
      <c r="E1127" t="s">
        <v>458</v>
      </c>
      <c r="F1127" t="s">
        <v>3692</v>
      </c>
      <c r="G1127" t="s">
        <v>1670</v>
      </c>
      <c r="H1127" t="s">
        <v>357</v>
      </c>
      <c r="I1127">
        <f t="shared" si="17"/>
        <v>2</v>
      </c>
      <c r="J1127" t="s">
        <v>121</v>
      </c>
      <c r="K1127" t="str" cm="1">
        <f t="array" ref="K1127">_xlfn.SWITCH(TRIM(UPPER(J1127)),
"BUSINESS", "Short Stay",
"CONFERENCE", "Medium Stay",
"VACATION", "Iong Stay",
"HOLIDAY", "Long Stay",
"V", "Leisure",
"UNKNOWN", "Unknown",
"Other")</f>
        <v>Iong Stay</v>
      </c>
    </row>
    <row r="1128" spans="1:11" x14ac:dyDescent="0.3">
      <c r="A1128" t="s">
        <v>3693</v>
      </c>
      <c r="B1128" t="s">
        <v>3535</v>
      </c>
      <c r="C1128" t="s">
        <v>21</v>
      </c>
      <c r="D1128" t="s">
        <v>1365</v>
      </c>
      <c r="E1128" t="s">
        <v>201</v>
      </c>
      <c r="F1128" t="s">
        <v>3694</v>
      </c>
      <c r="G1128" t="s">
        <v>51</v>
      </c>
      <c r="H1128" t="s">
        <v>1826</v>
      </c>
      <c r="I1128">
        <f t="shared" si="17"/>
        <v>3</v>
      </c>
      <c r="J1128" t="s">
        <v>27</v>
      </c>
      <c r="K1128" t="str" cm="1">
        <f t="array" ref="K1128">_xlfn.SWITCH(TRIM(UPPER(J1128)),
"BUSINESS", "Short Stay",
"CONFERENCE", "Medium Stay",
"VACATION", "Iong Stay",
"HOLIDAY", "Long Stay",
"V", "Leisure",
"UNKNOWN", "Unknown",
"Other")</f>
        <v>Medium Stay</v>
      </c>
    </row>
    <row r="1129" spans="1:11" x14ac:dyDescent="0.3">
      <c r="A1129" t="s">
        <v>3695</v>
      </c>
      <c r="B1129" t="s">
        <v>1075</v>
      </c>
      <c r="C1129" t="s">
        <v>75</v>
      </c>
      <c r="D1129" t="s">
        <v>3570</v>
      </c>
      <c r="E1129" t="s">
        <v>430</v>
      </c>
      <c r="F1129" t="s">
        <v>3696</v>
      </c>
      <c r="G1129" t="s">
        <v>1078</v>
      </c>
      <c r="H1129" t="s">
        <v>1204</v>
      </c>
      <c r="I1129">
        <f t="shared" si="17"/>
        <v>1</v>
      </c>
      <c r="J1129" t="s">
        <v>44</v>
      </c>
      <c r="K1129" t="str" cm="1">
        <f t="array" ref="K1129">_xlfn.SWITCH(TRIM(UPPER(J1129)),
"BUSINESS", "Short Stay",
"CONFERENCE", "Medium Stay",
"VACATION", "Iong Stay",
"HOLIDAY", "Long Stay",
"V", "Leisure",
"UNKNOWN", "Unknown",
"Other")</f>
        <v>Other</v>
      </c>
    </row>
    <row r="1130" spans="1:11" x14ac:dyDescent="0.3">
      <c r="A1130" t="s">
        <v>3697</v>
      </c>
      <c r="B1130" t="s">
        <v>487</v>
      </c>
      <c r="C1130" t="s">
        <v>30</v>
      </c>
      <c r="D1130" t="s">
        <v>3573</v>
      </c>
      <c r="E1130" t="s">
        <v>476</v>
      </c>
      <c r="F1130" t="s">
        <v>3698</v>
      </c>
      <c r="G1130" t="s">
        <v>490</v>
      </c>
      <c r="H1130" t="s">
        <v>998</v>
      </c>
      <c r="I1130">
        <f t="shared" si="17"/>
        <v>4</v>
      </c>
      <c r="J1130" t="s">
        <v>44</v>
      </c>
      <c r="K1130" t="str" cm="1">
        <f t="array" ref="K1130">_xlfn.SWITCH(TRIM(UPPER(J1130)),
"BUSINESS", "Short Stay",
"CONFERENCE", "Medium Stay",
"VACATION", "Iong Stay",
"HOLIDAY", "Long Stay",
"V", "Leisure",
"UNKNOWN", "Unknown",
"Other")</f>
        <v>Other</v>
      </c>
    </row>
    <row r="1131" spans="1:11" x14ac:dyDescent="0.3">
      <c r="A1131" t="s">
        <v>3699</v>
      </c>
      <c r="B1131" t="s">
        <v>1553</v>
      </c>
      <c r="C1131" t="s">
        <v>97</v>
      </c>
      <c r="D1131" t="s">
        <v>3700</v>
      </c>
      <c r="E1131" t="s">
        <v>117</v>
      </c>
      <c r="F1131" t="s">
        <v>3701</v>
      </c>
      <c r="G1131" t="s">
        <v>1555</v>
      </c>
      <c r="H1131" t="s">
        <v>1164</v>
      </c>
      <c r="I1131">
        <f t="shared" si="17"/>
        <v>4</v>
      </c>
      <c r="J1131" t="s">
        <v>121</v>
      </c>
      <c r="K1131" t="str" cm="1">
        <f t="array" ref="K1131">_xlfn.SWITCH(TRIM(UPPER(J1131)),
"BUSINESS", "Short Stay",
"CONFERENCE", "Medium Stay",
"VACATION", "Iong Stay",
"HOLIDAY", "Long Stay",
"V", "Leisure",
"UNKNOWN", "Unknown",
"Other")</f>
        <v>Iong Stay</v>
      </c>
    </row>
    <row r="1132" spans="1:11" x14ac:dyDescent="0.3">
      <c r="A1132" t="s">
        <v>3702</v>
      </c>
      <c r="B1132" t="s">
        <v>1795</v>
      </c>
      <c r="C1132" t="s">
        <v>83</v>
      </c>
      <c r="D1132" t="s">
        <v>628</v>
      </c>
      <c r="E1132" t="s">
        <v>149</v>
      </c>
      <c r="F1132" t="s">
        <v>3703</v>
      </c>
      <c r="G1132" t="s">
        <v>1797</v>
      </c>
      <c r="H1132" t="s">
        <v>511</v>
      </c>
      <c r="I1132">
        <f t="shared" si="17"/>
        <v>3</v>
      </c>
      <c r="J1132" t="s">
        <v>27</v>
      </c>
      <c r="K1132" t="str" cm="1">
        <f t="array" ref="K1132">_xlfn.SWITCH(TRIM(UPPER(J1132)),
"BUSINESS", "Short Stay",
"CONFERENCE", "Medium Stay",
"VACATION", "Iong Stay",
"HOLIDAY", "Long Stay",
"V", "Leisure",
"UNKNOWN", "Unknown",
"Other")</f>
        <v>Medium Stay</v>
      </c>
    </row>
    <row r="1133" spans="1:11" x14ac:dyDescent="0.3">
      <c r="A1133" t="s">
        <v>3704</v>
      </c>
      <c r="B1133" t="s">
        <v>1473</v>
      </c>
      <c r="C1133" t="s">
        <v>21</v>
      </c>
      <c r="D1133" t="s">
        <v>3481</v>
      </c>
      <c r="E1133" t="s">
        <v>23</v>
      </c>
      <c r="F1133" t="s">
        <v>3705</v>
      </c>
      <c r="G1133" t="s">
        <v>191</v>
      </c>
      <c r="H1133" t="s">
        <v>621</v>
      </c>
      <c r="I1133">
        <f t="shared" si="17"/>
        <v>5</v>
      </c>
      <c r="J1133" t="s">
        <v>44</v>
      </c>
      <c r="K1133" t="str" cm="1">
        <f t="array" ref="K1133">_xlfn.SWITCH(TRIM(UPPER(J1133)),
"BUSINESS", "Short Stay",
"CONFERENCE", "Medium Stay",
"VACATION", "Iong Stay",
"HOLIDAY", "Long Stay",
"V", "Leisure",
"UNKNOWN", "Unknown",
"Other")</f>
        <v>Other</v>
      </c>
    </row>
    <row r="1134" spans="1:11" x14ac:dyDescent="0.3">
      <c r="A1134" t="s">
        <v>3706</v>
      </c>
      <c r="B1134" t="s">
        <v>2142</v>
      </c>
      <c r="C1134" t="s">
        <v>21</v>
      </c>
      <c r="D1134" t="s">
        <v>3532</v>
      </c>
      <c r="E1134" t="s">
        <v>40</v>
      </c>
      <c r="F1134" t="s">
        <v>3707</v>
      </c>
      <c r="G1134" t="s">
        <v>999</v>
      </c>
      <c r="H1134" t="s">
        <v>1505</v>
      </c>
      <c r="I1134">
        <f t="shared" si="17"/>
        <v>2</v>
      </c>
      <c r="J1134" t="s">
        <v>27</v>
      </c>
      <c r="K1134" t="str" cm="1">
        <f t="array" ref="K1134">_xlfn.SWITCH(TRIM(UPPER(J1134)),
"BUSINESS", "Short Stay",
"CONFERENCE", "Medium Stay",
"VACATION", "Iong Stay",
"HOLIDAY", "Long Stay",
"V", "Leisure",
"UNKNOWN", "Unknown",
"Other")</f>
        <v>Medium Stay</v>
      </c>
    </row>
    <row r="1135" spans="1:11" x14ac:dyDescent="0.3">
      <c r="A1135" t="s">
        <v>3708</v>
      </c>
      <c r="B1135" t="s">
        <v>1502</v>
      </c>
      <c r="C1135" t="s">
        <v>75</v>
      </c>
      <c r="D1135" t="s">
        <v>3709</v>
      </c>
      <c r="E1135" t="s">
        <v>156</v>
      </c>
      <c r="F1135" t="s">
        <v>3710</v>
      </c>
      <c r="G1135" t="s">
        <v>1505</v>
      </c>
      <c r="H1135" t="s">
        <v>1728</v>
      </c>
      <c r="I1135">
        <f t="shared" si="17"/>
        <v>5</v>
      </c>
      <c r="J1135" t="s">
        <v>121</v>
      </c>
      <c r="K1135" t="str" cm="1">
        <f t="array" ref="K1135">_xlfn.SWITCH(TRIM(UPPER(J1135)),
"BUSINESS", "Short Stay",
"CONFERENCE", "Medium Stay",
"VACATION", "Iong Stay",
"HOLIDAY", "Long Stay",
"V", "Leisure",
"UNKNOWN", "Unknown",
"Other")</f>
        <v>Iong Stay</v>
      </c>
    </row>
    <row r="1136" spans="1:11" x14ac:dyDescent="0.3">
      <c r="A1136" t="s">
        <v>3711</v>
      </c>
      <c r="B1136" t="s">
        <v>3275</v>
      </c>
      <c r="C1136" t="s">
        <v>75</v>
      </c>
      <c r="D1136" t="s">
        <v>3712</v>
      </c>
      <c r="E1136" t="s">
        <v>458</v>
      </c>
      <c r="F1136" t="s">
        <v>3713</v>
      </c>
      <c r="G1136" t="s">
        <v>2677</v>
      </c>
      <c r="H1136" t="s">
        <v>1670</v>
      </c>
      <c r="I1136">
        <f t="shared" si="17"/>
        <v>5</v>
      </c>
      <c r="J1136" t="s">
        <v>44</v>
      </c>
      <c r="K1136" t="str" cm="1">
        <f t="array" ref="K1136">_xlfn.SWITCH(TRIM(UPPER(J1136)),
"BUSINESS", "Short Stay",
"CONFERENCE", "Medium Stay",
"VACATION", "Iong Stay",
"HOLIDAY", "Long Stay",
"V", "Leisure",
"UNKNOWN", "Unknown",
"Other")</f>
        <v>Other</v>
      </c>
    </row>
    <row r="1137" spans="1:11" x14ac:dyDescent="0.3">
      <c r="A1137" t="s">
        <v>3714</v>
      </c>
      <c r="B1137" t="s">
        <v>631</v>
      </c>
      <c r="C1137" t="s">
        <v>30</v>
      </c>
      <c r="D1137" t="s">
        <v>3715</v>
      </c>
      <c r="E1137" t="s">
        <v>430</v>
      </c>
      <c r="F1137" t="s">
        <v>3716</v>
      </c>
      <c r="G1137" t="s">
        <v>634</v>
      </c>
      <c r="H1137" t="s">
        <v>533</v>
      </c>
      <c r="I1137">
        <f t="shared" si="17"/>
        <v>2</v>
      </c>
      <c r="J1137" t="s">
        <v>44</v>
      </c>
      <c r="K1137" t="str" cm="1">
        <f t="array" ref="K1137">_xlfn.SWITCH(TRIM(UPPER(J1137)),
"BUSINESS", "Short Stay",
"CONFERENCE", "Medium Stay",
"VACATION", "Iong Stay",
"HOLIDAY", "Long Stay",
"V", "Leisure",
"UNKNOWN", "Unknown",
"Other")</f>
        <v>Other</v>
      </c>
    </row>
    <row r="1138" spans="1:11" x14ac:dyDescent="0.3">
      <c r="A1138" t="s">
        <v>3717</v>
      </c>
      <c r="B1138" t="s">
        <v>3718</v>
      </c>
      <c r="C1138" t="s">
        <v>75</v>
      </c>
      <c r="D1138" t="s">
        <v>3719</v>
      </c>
      <c r="E1138" t="s">
        <v>458</v>
      </c>
      <c r="F1138" t="s">
        <v>3720</v>
      </c>
      <c r="G1138" t="s">
        <v>672</v>
      </c>
      <c r="H1138" t="s">
        <v>1100</v>
      </c>
      <c r="I1138">
        <f t="shared" si="17"/>
        <v>3</v>
      </c>
      <c r="J1138" t="s">
        <v>18</v>
      </c>
      <c r="K1138" t="str" cm="1">
        <f t="array" ref="K1138">_xlfn.SWITCH(TRIM(UPPER(J1138)),
"BUSINESS", "Short Stay",
"CONFERENCE", "Medium Stay",
"VACATION", "Iong Stay",
"HOLIDAY", "Long Stay",
"V", "Leisure",
"UNKNOWN", "Unknown",
"Other")</f>
        <v>Short Stay</v>
      </c>
    </row>
    <row r="1139" spans="1:11" x14ac:dyDescent="0.3">
      <c r="A1139" t="s">
        <v>3721</v>
      </c>
      <c r="B1139" t="s">
        <v>1650</v>
      </c>
      <c r="C1139" t="s">
        <v>97</v>
      </c>
      <c r="D1139" t="s">
        <v>3722</v>
      </c>
      <c r="E1139" t="s">
        <v>176</v>
      </c>
      <c r="F1139" t="s">
        <v>3723</v>
      </c>
      <c r="G1139" t="s">
        <v>1160</v>
      </c>
      <c r="H1139" t="s">
        <v>1176</v>
      </c>
      <c r="I1139">
        <f t="shared" si="17"/>
        <v>2</v>
      </c>
      <c r="J1139" t="s">
        <v>44</v>
      </c>
      <c r="K1139" t="str" cm="1">
        <f t="array" ref="K1139">_xlfn.SWITCH(TRIM(UPPER(J1139)),
"BUSINESS", "Short Stay",
"CONFERENCE", "Medium Stay",
"VACATION", "Iong Stay",
"HOLIDAY", "Long Stay",
"V", "Leisure",
"UNKNOWN", "Unknown",
"Other")</f>
        <v>Other</v>
      </c>
    </row>
    <row r="1140" spans="1:11" x14ac:dyDescent="0.3">
      <c r="A1140" t="s">
        <v>3724</v>
      </c>
      <c r="B1140" t="s">
        <v>1353</v>
      </c>
      <c r="C1140" t="s">
        <v>30</v>
      </c>
      <c r="D1140" t="s">
        <v>1010</v>
      </c>
      <c r="E1140" t="s">
        <v>476</v>
      </c>
      <c r="F1140" t="s">
        <v>3725</v>
      </c>
      <c r="G1140" t="s">
        <v>1356</v>
      </c>
      <c r="H1140" t="s">
        <v>2870</v>
      </c>
      <c r="I1140">
        <f t="shared" si="17"/>
        <v>3</v>
      </c>
      <c r="J1140" t="s">
        <v>18</v>
      </c>
      <c r="K1140" t="str" cm="1">
        <f t="array" ref="K1140">_xlfn.SWITCH(TRIM(UPPER(J1140)),
"BUSINESS", "Short Stay",
"CONFERENCE", "Medium Stay",
"VACATION", "Iong Stay",
"HOLIDAY", "Long Stay",
"V", "Leisure",
"UNKNOWN", "Unknown",
"Other")</f>
        <v>Short Stay</v>
      </c>
    </row>
    <row r="1141" spans="1:11" x14ac:dyDescent="0.3">
      <c r="A1141" t="s">
        <v>3726</v>
      </c>
      <c r="B1141" t="s">
        <v>3098</v>
      </c>
      <c r="C1141" t="s">
        <v>54</v>
      </c>
      <c r="D1141" t="s">
        <v>2718</v>
      </c>
      <c r="E1141" t="s">
        <v>85</v>
      </c>
      <c r="F1141" t="s">
        <v>3727</v>
      </c>
      <c r="G1141" t="s">
        <v>2767</v>
      </c>
      <c r="H1141" t="s">
        <v>1432</v>
      </c>
      <c r="I1141">
        <f t="shared" si="17"/>
        <v>2</v>
      </c>
      <c r="J1141" t="s">
        <v>44</v>
      </c>
      <c r="K1141" t="str" cm="1">
        <f t="array" ref="K1141">_xlfn.SWITCH(TRIM(UPPER(J1141)),
"BUSINESS", "Short Stay",
"CONFERENCE", "Medium Stay",
"VACATION", "Iong Stay",
"HOLIDAY", "Long Stay",
"V", "Leisure",
"UNKNOWN", "Unknown",
"Other")</f>
        <v>Other</v>
      </c>
    </row>
    <row r="1142" spans="1:11" x14ac:dyDescent="0.3">
      <c r="A1142" t="s">
        <v>3728</v>
      </c>
      <c r="B1142" t="s">
        <v>2017</v>
      </c>
      <c r="C1142" t="s">
        <v>97</v>
      </c>
      <c r="D1142" t="s">
        <v>2514</v>
      </c>
      <c r="E1142" t="s">
        <v>40</v>
      </c>
      <c r="F1142" t="s">
        <v>3729</v>
      </c>
      <c r="G1142" t="s">
        <v>1026</v>
      </c>
      <c r="H1142" t="s">
        <v>1300</v>
      </c>
      <c r="I1142">
        <f t="shared" si="17"/>
        <v>4</v>
      </c>
      <c r="J1142" t="s">
        <v>44</v>
      </c>
      <c r="K1142" t="str" cm="1">
        <f t="array" ref="K1142">_xlfn.SWITCH(TRIM(UPPER(J1142)),
"BUSINESS", "Short Stay",
"CONFERENCE", "Medium Stay",
"VACATION", "Iong Stay",
"HOLIDAY", "Long Stay",
"V", "Leisure",
"UNKNOWN", "Unknown",
"Other")</f>
        <v>Other</v>
      </c>
    </row>
    <row r="1143" spans="1:11" x14ac:dyDescent="0.3">
      <c r="A1143" t="s">
        <v>3730</v>
      </c>
      <c r="B1143" t="s">
        <v>1273</v>
      </c>
      <c r="C1143" t="s">
        <v>38</v>
      </c>
      <c r="D1143" t="s">
        <v>3731</v>
      </c>
      <c r="E1143" t="s">
        <v>430</v>
      </c>
      <c r="F1143" t="s">
        <v>3732</v>
      </c>
      <c r="G1143" t="s">
        <v>797</v>
      </c>
      <c r="H1143" t="s">
        <v>1759</v>
      </c>
      <c r="I1143">
        <f t="shared" si="17"/>
        <v>1</v>
      </c>
      <c r="J1143" t="s">
        <v>27</v>
      </c>
      <c r="K1143" t="str" cm="1">
        <f t="array" ref="K1143">_xlfn.SWITCH(TRIM(UPPER(J1143)),
"BUSINESS", "Short Stay",
"CONFERENCE", "Medium Stay",
"VACATION", "Iong Stay",
"HOLIDAY", "Long Stay",
"V", "Leisure",
"UNKNOWN", "Unknown",
"Other")</f>
        <v>Medium Stay</v>
      </c>
    </row>
    <row r="1144" spans="1:11" x14ac:dyDescent="0.3">
      <c r="A1144" t="s">
        <v>3733</v>
      </c>
      <c r="B1144" t="s">
        <v>2257</v>
      </c>
      <c r="C1144" t="s">
        <v>30</v>
      </c>
      <c r="D1144" t="s">
        <v>847</v>
      </c>
      <c r="E1144" t="s">
        <v>314</v>
      </c>
      <c r="F1144" t="s">
        <v>3734</v>
      </c>
      <c r="G1144" t="s">
        <v>753</v>
      </c>
      <c r="H1144" t="s">
        <v>106</v>
      </c>
      <c r="I1144">
        <f t="shared" si="17"/>
        <v>2</v>
      </c>
      <c r="J1144" t="s">
        <v>121</v>
      </c>
      <c r="K1144" t="str" cm="1">
        <f t="array" ref="K1144">_xlfn.SWITCH(TRIM(UPPER(J1144)),
"BUSINESS", "Short Stay",
"CONFERENCE", "Medium Stay",
"VACATION", "Iong Stay",
"HOLIDAY", "Long Stay",
"V", "Leisure",
"UNKNOWN", "Unknown",
"Other")</f>
        <v>Iong Stay</v>
      </c>
    </row>
    <row r="1145" spans="1:11" x14ac:dyDescent="0.3">
      <c r="A1145" t="s">
        <v>3735</v>
      </c>
      <c r="B1145" t="s">
        <v>285</v>
      </c>
      <c r="C1145" t="s">
        <v>38</v>
      </c>
      <c r="D1145" t="s">
        <v>3385</v>
      </c>
      <c r="E1145" t="s">
        <v>156</v>
      </c>
      <c r="F1145" t="s">
        <v>3736</v>
      </c>
      <c r="G1145" t="s">
        <v>288</v>
      </c>
      <c r="H1145" t="s">
        <v>1326</v>
      </c>
      <c r="I1145">
        <f t="shared" si="17"/>
        <v>1</v>
      </c>
      <c r="J1145" t="s">
        <v>27</v>
      </c>
      <c r="K1145" t="str" cm="1">
        <f t="array" ref="K1145">_xlfn.SWITCH(TRIM(UPPER(J1145)),
"BUSINESS", "Short Stay",
"CONFERENCE", "Medium Stay",
"VACATION", "Iong Stay",
"HOLIDAY", "Long Stay",
"V", "Leisure",
"UNKNOWN", "Unknown",
"Other")</f>
        <v>Medium Stay</v>
      </c>
    </row>
    <row r="1146" spans="1:11" x14ac:dyDescent="0.3">
      <c r="A1146" t="s">
        <v>3737</v>
      </c>
      <c r="B1146" t="s">
        <v>1349</v>
      </c>
      <c r="C1146" t="s">
        <v>97</v>
      </c>
      <c r="D1146" t="s">
        <v>2795</v>
      </c>
      <c r="E1146" t="s">
        <v>156</v>
      </c>
      <c r="F1146" t="s">
        <v>3738</v>
      </c>
      <c r="G1146" t="s">
        <v>210</v>
      </c>
      <c r="H1146" t="s">
        <v>2628</v>
      </c>
      <c r="I1146">
        <f t="shared" si="17"/>
        <v>4</v>
      </c>
      <c r="J1146" t="s">
        <v>18</v>
      </c>
      <c r="K1146" t="str" cm="1">
        <f t="array" ref="K1146">_xlfn.SWITCH(TRIM(UPPER(J1146)),
"BUSINESS", "Short Stay",
"CONFERENCE", "Medium Stay",
"VACATION", "Iong Stay",
"HOLIDAY", "Long Stay",
"V", "Leisure",
"UNKNOWN", "Unknown",
"Other")</f>
        <v>Short Stay</v>
      </c>
    </row>
    <row r="1147" spans="1:11" x14ac:dyDescent="0.3">
      <c r="A1147" t="s">
        <v>3739</v>
      </c>
      <c r="B1147" t="s">
        <v>1916</v>
      </c>
      <c r="C1147" t="s">
        <v>61</v>
      </c>
      <c r="D1147" t="s">
        <v>2375</v>
      </c>
      <c r="E1147" t="s">
        <v>476</v>
      </c>
      <c r="F1147" t="s">
        <v>3740</v>
      </c>
      <c r="G1147" t="s">
        <v>691</v>
      </c>
      <c r="H1147" t="s">
        <v>1199</v>
      </c>
      <c r="I1147">
        <f t="shared" si="17"/>
        <v>3</v>
      </c>
      <c r="J1147" t="s">
        <v>18</v>
      </c>
      <c r="K1147" t="str" cm="1">
        <f t="array" ref="K1147">_xlfn.SWITCH(TRIM(UPPER(J1147)),
"BUSINESS", "Short Stay",
"CONFERENCE", "Medium Stay",
"VACATION", "Iong Stay",
"HOLIDAY", "Long Stay",
"V", "Leisure",
"UNKNOWN", "Unknown",
"Other")</f>
        <v>Short Stay</v>
      </c>
    </row>
    <row r="1148" spans="1:11" x14ac:dyDescent="0.3">
      <c r="A1148" t="s">
        <v>3741</v>
      </c>
      <c r="B1148" t="s">
        <v>123</v>
      </c>
      <c r="C1148" t="s">
        <v>174</v>
      </c>
      <c r="D1148" t="s">
        <v>2828</v>
      </c>
      <c r="E1148" t="s">
        <v>40</v>
      </c>
      <c r="F1148" t="s">
        <v>2846</v>
      </c>
      <c r="G1148" t="s">
        <v>126</v>
      </c>
      <c r="H1148" t="s">
        <v>1956</v>
      </c>
      <c r="I1148">
        <f t="shared" si="17"/>
        <v>3</v>
      </c>
      <c r="J1148" t="s">
        <v>44</v>
      </c>
      <c r="K1148" t="str" cm="1">
        <f t="array" ref="K1148">_xlfn.SWITCH(TRIM(UPPER(J1148)),
"BUSINESS", "Short Stay",
"CONFERENCE", "Medium Stay",
"VACATION", "Iong Stay",
"HOLIDAY", "Long Stay",
"V", "Leisure",
"UNKNOWN", "Unknown",
"Other")</f>
        <v>Other</v>
      </c>
    </row>
    <row r="1149" spans="1:11" x14ac:dyDescent="0.3">
      <c r="A1149" t="s">
        <v>3742</v>
      </c>
      <c r="B1149" t="s">
        <v>456</v>
      </c>
      <c r="C1149" t="s">
        <v>38</v>
      </c>
      <c r="D1149" t="s">
        <v>2537</v>
      </c>
      <c r="E1149" t="s">
        <v>458</v>
      </c>
      <c r="F1149" t="s">
        <v>3743</v>
      </c>
      <c r="G1149" t="s">
        <v>454</v>
      </c>
      <c r="H1149" t="s">
        <v>338</v>
      </c>
      <c r="I1149">
        <f t="shared" si="17"/>
        <v>4</v>
      </c>
      <c r="J1149" t="s">
        <v>18</v>
      </c>
      <c r="K1149" t="str" cm="1">
        <f t="array" ref="K1149">_xlfn.SWITCH(TRIM(UPPER(J1149)),
"BUSINESS", "Short Stay",
"CONFERENCE", "Medium Stay",
"VACATION", "Iong Stay",
"HOLIDAY", "Long Stay",
"V", "Leisure",
"UNKNOWN", "Unknown",
"Other")</f>
        <v>Short Stay</v>
      </c>
    </row>
    <row r="1150" spans="1:11" x14ac:dyDescent="0.3">
      <c r="A1150" t="s">
        <v>3744</v>
      </c>
      <c r="B1150" t="s">
        <v>487</v>
      </c>
      <c r="C1150" t="s">
        <v>83</v>
      </c>
      <c r="D1150" t="s">
        <v>2632</v>
      </c>
      <c r="E1150" t="s">
        <v>117</v>
      </c>
      <c r="F1150" t="s">
        <v>3745</v>
      </c>
      <c r="G1150" t="s">
        <v>490</v>
      </c>
      <c r="H1150" t="s">
        <v>438</v>
      </c>
      <c r="I1150">
        <f t="shared" si="17"/>
        <v>3</v>
      </c>
      <c r="J1150" t="s">
        <v>121</v>
      </c>
      <c r="K1150" t="str" cm="1">
        <f t="array" ref="K1150">_xlfn.SWITCH(TRIM(UPPER(J1150)),
"BUSINESS", "Short Stay",
"CONFERENCE", "Medium Stay",
"VACATION", "Iong Stay",
"HOLIDAY", "Long Stay",
"V", "Leisure",
"UNKNOWN", "Unknown",
"Other")</f>
        <v>Iong Stay</v>
      </c>
    </row>
    <row r="1151" spans="1:11" x14ac:dyDescent="0.3">
      <c r="A1151" t="s">
        <v>3746</v>
      </c>
      <c r="B1151" t="s">
        <v>882</v>
      </c>
      <c r="C1151" t="s">
        <v>83</v>
      </c>
      <c r="D1151" t="s">
        <v>3747</v>
      </c>
      <c r="E1151" t="s">
        <v>201</v>
      </c>
      <c r="F1151" t="s">
        <v>3748</v>
      </c>
      <c r="G1151" t="s">
        <v>885</v>
      </c>
      <c r="H1151" t="s">
        <v>127</v>
      </c>
      <c r="I1151">
        <f t="shared" si="17"/>
        <v>4</v>
      </c>
      <c r="J1151" t="s">
        <v>121</v>
      </c>
      <c r="K1151" t="str" cm="1">
        <f t="array" ref="K1151">_xlfn.SWITCH(TRIM(UPPER(J1151)),
"BUSINESS", "Short Stay",
"CONFERENCE", "Medium Stay",
"VACATION", "Iong Stay",
"HOLIDAY", "Long Stay",
"V", "Leisure",
"UNKNOWN", "Unknown",
"Other")</f>
        <v>Iong Stay</v>
      </c>
    </row>
    <row r="1152" spans="1:11" x14ac:dyDescent="0.3">
      <c r="A1152" t="s">
        <v>3749</v>
      </c>
      <c r="B1152" t="s">
        <v>492</v>
      </c>
      <c r="C1152" t="s">
        <v>75</v>
      </c>
      <c r="D1152" t="s">
        <v>2718</v>
      </c>
      <c r="E1152" t="s">
        <v>214</v>
      </c>
      <c r="F1152" t="s">
        <v>3750</v>
      </c>
      <c r="G1152" t="s">
        <v>495</v>
      </c>
      <c r="H1152" t="s">
        <v>2107</v>
      </c>
      <c r="I1152">
        <f t="shared" si="17"/>
        <v>2</v>
      </c>
      <c r="J1152" t="s">
        <v>44</v>
      </c>
      <c r="K1152" t="str" cm="1">
        <f t="array" ref="K1152">_xlfn.SWITCH(TRIM(UPPER(J1152)),
"BUSINESS", "Short Stay",
"CONFERENCE", "Medium Stay",
"VACATION", "Iong Stay",
"HOLIDAY", "Long Stay",
"V", "Leisure",
"UNKNOWN", "Unknown",
"Other")</f>
        <v>Other</v>
      </c>
    </row>
    <row r="1153" spans="1:11" x14ac:dyDescent="0.3">
      <c r="A1153" t="s">
        <v>3751</v>
      </c>
      <c r="B1153" t="s">
        <v>1028</v>
      </c>
      <c r="C1153" t="s">
        <v>12</v>
      </c>
      <c r="D1153" t="s">
        <v>2386</v>
      </c>
      <c r="E1153" t="s">
        <v>156</v>
      </c>
      <c r="F1153" t="s">
        <v>3752</v>
      </c>
      <c r="G1153" t="s">
        <v>1030</v>
      </c>
      <c r="H1153" t="s">
        <v>170</v>
      </c>
      <c r="I1153">
        <f t="shared" si="17"/>
        <v>3</v>
      </c>
      <c r="J1153" t="s">
        <v>27</v>
      </c>
      <c r="K1153" t="str" cm="1">
        <f t="array" ref="K1153">_xlfn.SWITCH(TRIM(UPPER(J1153)),
"BUSINESS", "Short Stay",
"CONFERENCE", "Medium Stay",
"VACATION", "Iong Stay",
"HOLIDAY", "Long Stay",
"V", "Leisure",
"UNKNOWN", "Unknown",
"Other")</f>
        <v>Medium Stay</v>
      </c>
    </row>
    <row r="1154" spans="1:11" x14ac:dyDescent="0.3">
      <c r="A1154" t="s">
        <v>3753</v>
      </c>
      <c r="B1154" t="s">
        <v>526</v>
      </c>
      <c r="C1154" t="s">
        <v>61</v>
      </c>
      <c r="D1154" t="s">
        <v>1023</v>
      </c>
      <c r="E1154" t="s">
        <v>176</v>
      </c>
      <c r="F1154" t="s">
        <v>3754</v>
      </c>
      <c r="G1154" t="s">
        <v>345</v>
      </c>
      <c r="H1154" t="s">
        <v>138</v>
      </c>
      <c r="I1154">
        <f t="shared" si="17"/>
        <v>5</v>
      </c>
      <c r="J1154" t="s">
        <v>18</v>
      </c>
      <c r="K1154" t="str" cm="1">
        <f t="array" ref="K1154">_xlfn.SWITCH(TRIM(UPPER(J1154)),
"BUSINESS", "Short Stay",
"CONFERENCE", "Medium Stay",
"VACATION", "Iong Stay",
"HOLIDAY", "Long Stay",
"V", "Leisure",
"UNKNOWN", "Unknown",
"Other")</f>
        <v>Short Stay</v>
      </c>
    </row>
    <row r="1155" spans="1:11" x14ac:dyDescent="0.3">
      <c r="A1155" t="s">
        <v>3755</v>
      </c>
      <c r="B1155" t="s">
        <v>1302</v>
      </c>
      <c r="C1155" t="s">
        <v>174</v>
      </c>
      <c r="D1155" t="s">
        <v>3293</v>
      </c>
      <c r="E1155" t="s">
        <v>458</v>
      </c>
      <c r="F1155" t="s">
        <v>3756</v>
      </c>
      <c r="G1155" t="s">
        <v>1304</v>
      </c>
      <c r="H1155" t="s">
        <v>178</v>
      </c>
      <c r="I1155">
        <f t="shared" ref="I1155:I1218" si="18">H1155-G1155</f>
        <v>2</v>
      </c>
      <c r="J1155" t="s">
        <v>27</v>
      </c>
      <c r="K1155" t="str" cm="1">
        <f t="array" ref="K1155">_xlfn.SWITCH(TRIM(UPPER(J1155)),
"BUSINESS", "Short Stay",
"CONFERENCE", "Medium Stay",
"VACATION", "Iong Stay",
"HOLIDAY", "Long Stay",
"V", "Leisure",
"UNKNOWN", "Unknown",
"Other")</f>
        <v>Medium Stay</v>
      </c>
    </row>
    <row r="1156" spans="1:11" x14ac:dyDescent="0.3">
      <c r="A1156" t="s">
        <v>3757</v>
      </c>
      <c r="B1156" t="s">
        <v>1245</v>
      </c>
      <c r="C1156" t="s">
        <v>97</v>
      </c>
      <c r="D1156" t="s">
        <v>1130</v>
      </c>
      <c r="E1156" t="s">
        <v>201</v>
      </c>
      <c r="F1156" t="s">
        <v>3490</v>
      </c>
      <c r="G1156" t="s">
        <v>1248</v>
      </c>
      <c r="H1156" t="s">
        <v>568</v>
      </c>
      <c r="I1156">
        <f t="shared" si="18"/>
        <v>2</v>
      </c>
      <c r="J1156" t="s">
        <v>18</v>
      </c>
      <c r="K1156" t="str" cm="1">
        <f t="array" ref="K1156">_xlfn.SWITCH(TRIM(UPPER(J1156)),
"BUSINESS", "Short Stay",
"CONFERENCE", "Medium Stay",
"VACATION", "Iong Stay",
"HOLIDAY", "Long Stay",
"V", "Leisure",
"UNKNOWN", "Unknown",
"Other")</f>
        <v>Short Stay</v>
      </c>
    </row>
    <row r="1157" spans="1:11" x14ac:dyDescent="0.3">
      <c r="A1157" t="s">
        <v>3758</v>
      </c>
      <c r="B1157" t="s">
        <v>2499</v>
      </c>
      <c r="C1157" t="s">
        <v>21</v>
      </c>
      <c r="D1157" t="s">
        <v>3759</v>
      </c>
      <c r="E1157" t="s">
        <v>14</v>
      </c>
      <c r="F1157" t="s">
        <v>3760</v>
      </c>
      <c r="G1157" t="s">
        <v>646</v>
      </c>
      <c r="H1157" t="s">
        <v>726</v>
      </c>
      <c r="I1157">
        <f t="shared" si="18"/>
        <v>5</v>
      </c>
      <c r="J1157" t="s">
        <v>121</v>
      </c>
      <c r="K1157" t="str" cm="1">
        <f t="array" ref="K1157">_xlfn.SWITCH(TRIM(UPPER(J1157)),
"BUSINESS", "Short Stay",
"CONFERENCE", "Medium Stay",
"VACATION", "Iong Stay",
"HOLIDAY", "Long Stay",
"V", "Leisure",
"UNKNOWN", "Unknown",
"Other")</f>
        <v>Iong Stay</v>
      </c>
    </row>
    <row r="1158" spans="1:11" x14ac:dyDescent="0.3">
      <c r="A1158" t="s">
        <v>3761</v>
      </c>
      <c r="B1158" t="s">
        <v>643</v>
      </c>
      <c r="C1158" t="s">
        <v>54</v>
      </c>
      <c r="D1158" t="s">
        <v>2747</v>
      </c>
      <c r="E1158" t="s">
        <v>48</v>
      </c>
      <c r="F1158" t="s">
        <v>3762</v>
      </c>
      <c r="G1158" t="s">
        <v>645</v>
      </c>
      <c r="H1158" t="s">
        <v>646</v>
      </c>
      <c r="I1158">
        <f t="shared" si="18"/>
        <v>3</v>
      </c>
      <c r="J1158" t="s">
        <v>121</v>
      </c>
      <c r="K1158" t="str" cm="1">
        <f t="array" ref="K1158">_xlfn.SWITCH(TRIM(UPPER(J1158)),
"BUSINESS", "Short Stay",
"CONFERENCE", "Medium Stay",
"VACATION", "Iong Stay",
"HOLIDAY", "Long Stay",
"V", "Leisure",
"UNKNOWN", "Unknown",
"Other")</f>
        <v>Iong Stay</v>
      </c>
    </row>
    <row r="1159" spans="1:11" x14ac:dyDescent="0.3">
      <c r="A1159" t="s">
        <v>3763</v>
      </c>
      <c r="B1159" t="s">
        <v>1872</v>
      </c>
      <c r="C1159" t="s">
        <v>61</v>
      </c>
      <c r="D1159" t="s">
        <v>3764</v>
      </c>
      <c r="E1159" t="s">
        <v>201</v>
      </c>
      <c r="F1159" t="s">
        <v>3765</v>
      </c>
      <c r="G1159" t="s">
        <v>422</v>
      </c>
      <c r="H1159" t="s">
        <v>210</v>
      </c>
      <c r="I1159">
        <f t="shared" si="18"/>
        <v>2</v>
      </c>
      <c r="J1159" t="s">
        <v>121</v>
      </c>
      <c r="K1159" t="str" cm="1">
        <f t="array" ref="K1159">_xlfn.SWITCH(TRIM(UPPER(J1159)),
"BUSINESS", "Short Stay",
"CONFERENCE", "Medium Stay",
"VACATION", "Iong Stay",
"HOLIDAY", "Long Stay",
"V", "Leisure",
"UNKNOWN", "Unknown",
"Other")</f>
        <v>Iong Stay</v>
      </c>
    </row>
    <row r="1160" spans="1:11" x14ac:dyDescent="0.3">
      <c r="A1160" t="s">
        <v>3766</v>
      </c>
      <c r="B1160" t="s">
        <v>37</v>
      </c>
      <c r="C1160" t="s">
        <v>83</v>
      </c>
      <c r="D1160" t="s">
        <v>1213</v>
      </c>
      <c r="E1160" t="s">
        <v>176</v>
      </c>
      <c r="F1160" t="s">
        <v>3767</v>
      </c>
      <c r="G1160" t="s">
        <v>42</v>
      </c>
      <c r="H1160" t="s">
        <v>1670</v>
      </c>
      <c r="I1160">
        <f t="shared" si="18"/>
        <v>2</v>
      </c>
      <c r="J1160" t="s">
        <v>121</v>
      </c>
      <c r="K1160" t="str" cm="1">
        <f t="array" ref="K1160">_xlfn.SWITCH(TRIM(UPPER(J1160)),
"BUSINESS", "Short Stay",
"CONFERENCE", "Medium Stay",
"VACATION", "Iong Stay",
"HOLIDAY", "Long Stay",
"V", "Leisure",
"UNKNOWN", "Unknown",
"Other")</f>
        <v>Iong Stay</v>
      </c>
    </row>
    <row r="1161" spans="1:11" x14ac:dyDescent="0.3">
      <c r="A1161" t="s">
        <v>3768</v>
      </c>
      <c r="B1161" t="s">
        <v>2338</v>
      </c>
      <c r="C1161" t="s">
        <v>174</v>
      </c>
      <c r="D1161" t="s">
        <v>62</v>
      </c>
      <c r="E1161" t="s">
        <v>40</v>
      </c>
      <c r="F1161" t="s">
        <v>3769</v>
      </c>
      <c r="G1161" t="s">
        <v>2340</v>
      </c>
      <c r="H1161" t="s">
        <v>453</v>
      </c>
      <c r="I1161">
        <f t="shared" si="18"/>
        <v>2</v>
      </c>
      <c r="J1161" t="s">
        <v>44</v>
      </c>
      <c r="K1161" t="str" cm="1">
        <f t="array" ref="K1161">_xlfn.SWITCH(TRIM(UPPER(J1161)),
"BUSINESS", "Short Stay",
"CONFERENCE", "Medium Stay",
"VACATION", "Iong Stay",
"HOLIDAY", "Long Stay",
"V", "Leisure",
"UNKNOWN", "Unknown",
"Other")</f>
        <v>Other</v>
      </c>
    </row>
    <row r="1162" spans="1:11" x14ac:dyDescent="0.3">
      <c r="A1162" t="s">
        <v>3770</v>
      </c>
      <c r="B1162" t="s">
        <v>1718</v>
      </c>
      <c r="C1162" t="s">
        <v>30</v>
      </c>
      <c r="D1162" t="s">
        <v>3771</v>
      </c>
      <c r="E1162" t="s">
        <v>476</v>
      </c>
      <c r="F1162" t="s">
        <v>3772</v>
      </c>
      <c r="G1162" t="s">
        <v>877</v>
      </c>
      <c r="H1162" t="s">
        <v>357</v>
      </c>
      <c r="I1162">
        <f t="shared" si="18"/>
        <v>5</v>
      </c>
      <c r="J1162" t="s">
        <v>18</v>
      </c>
      <c r="K1162" t="str" cm="1">
        <f t="array" ref="K1162">_xlfn.SWITCH(TRIM(UPPER(J1162)),
"BUSINESS", "Short Stay",
"CONFERENCE", "Medium Stay",
"VACATION", "Iong Stay",
"HOLIDAY", "Long Stay",
"V", "Leisure",
"UNKNOWN", "Unknown",
"Other")</f>
        <v>Short Stay</v>
      </c>
    </row>
    <row r="1163" spans="1:11" x14ac:dyDescent="0.3">
      <c r="A1163" t="s">
        <v>3773</v>
      </c>
      <c r="B1163" t="s">
        <v>623</v>
      </c>
      <c r="C1163" t="s">
        <v>61</v>
      </c>
      <c r="D1163" t="s">
        <v>3774</v>
      </c>
      <c r="E1163" t="s">
        <v>63</v>
      </c>
      <c r="F1163" t="s">
        <v>3775</v>
      </c>
      <c r="G1163" t="s">
        <v>625</v>
      </c>
      <c r="H1163" t="s">
        <v>626</v>
      </c>
      <c r="I1163">
        <f t="shared" si="18"/>
        <v>1</v>
      </c>
      <c r="J1163" t="s">
        <v>121</v>
      </c>
      <c r="K1163" t="str" cm="1">
        <f t="array" ref="K1163">_xlfn.SWITCH(TRIM(UPPER(J1163)),
"BUSINESS", "Short Stay",
"CONFERENCE", "Medium Stay",
"VACATION", "Iong Stay",
"HOLIDAY", "Long Stay",
"V", "Leisure",
"UNKNOWN", "Unknown",
"Other")</f>
        <v>Iong Stay</v>
      </c>
    </row>
    <row r="1164" spans="1:11" x14ac:dyDescent="0.3">
      <c r="A1164" t="s">
        <v>3776</v>
      </c>
      <c r="B1164" t="s">
        <v>580</v>
      </c>
      <c r="C1164" t="s">
        <v>75</v>
      </c>
      <c r="D1164" t="s">
        <v>3777</v>
      </c>
      <c r="E1164" t="s">
        <v>40</v>
      </c>
      <c r="F1164" t="s">
        <v>3778</v>
      </c>
      <c r="G1164" t="s">
        <v>583</v>
      </c>
      <c r="H1164" t="s">
        <v>572</v>
      </c>
      <c r="I1164">
        <f t="shared" si="18"/>
        <v>3</v>
      </c>
      <c r="J1164" t="s">
        <v>121</v>
      </c>
      <c r="K1164" t="str" cm="1">
        <f t="array" ref="K1164">_xlfn.SWITCH(TRIM(UPPER(J1164)),
"BUSINESS", "Short Stay",
"CONFERENCE", "Medium Stay",
"VACATION", "Iong Stay",
"HOLIDAY", "Long Stay",
"V", "Leisure",
"UNKNOWN", "Unknown",
"Other")</f>
        <v>Iong Stay</v>
      </c>
    </row>
    <row r="1165" spans="1:11" x14ac:dyDescent="0.3">
      <c r="A1165" t="s">
        <v>3779</v>
      </c>
      <c r="B1165" t="s">
        <v>1553</v>
      </c>
      <c r="C1165" t="s">
        <v>38</v>
      </c>
      <c r="D1165" t="s">
        <v>2179</v>
      </c>
      <c r="E1165" t="s">
        <v>458</v>
      </c>
      <c r="F1165" t="s">
        <v>3780</v>
      </c>
      <c r="G1165" t="s">
        <v>1555</v>
      </c>
      <c r="H1165" t="s">
        <v>1159</v>
      </c>
      <c r="I1165">
        <f t="shared" si="18"/>
        <v>5</v>
      </c>
      <c r="J1165" t="s">
        <v>27</v>
      </c>
      <c r="K1165" t="str" cm="1">
        <f t="array" ref="K1165">_xlfn.SWITCH(TRIM(UPPER(J1165)),
"BUSINESS", "Short Stay",
"CONFERENCE", "Medium Stay",
"VACATION", "Iong Stay",
"HOLIDAY", "Long Stay",
"V", "Leisure",
"UNKNOWN", "Unknown",
"Other")</f>
        <v>Medium Stay</v>
      </c>
    </row>
    <row r="1166" spans="1:11" x14ac:dyDescent="0.3">
      <c r="A1166" t="s">
        <v>3781</v>
      </c>
      <c r="B1166" t="s">
        <v>514</v>
      </c>
      <c r="C1166" t="s">
        <v>12</v>
      </c>
      <c r="D1166" t="s">
        <v>3782</v>
      </c>
      <c r="E1166" t="s">
        <v>63</v>
      </c>
      <c r="F1166" t="s">
        <v>3783</v>
      </c>
      <c r="G1166" t="s">
        <v>517</v>
      </c>
      <c r="H1166" t="s">
        <v>1857</v>
      </c>
      <c r="I1166">
        <f t="shared" si="18"/>
        <v>4</v>
      </c>
      <c r="J1166" t="s">
        <v>121</v>
      </c>
      <c r="K1166" t="str" cm="1">
        <f t="array" ref="K1166">_xlfn.SWITCH(TRIM(UPPER(J1166)),
"BUSINESS", "Short Stay",
"CONFERENCE", "Medium Stay",
"VACATION", "Iong Stay",
"HOLIDAY", "Long Stay",
"V", "Leisure",
"UNKNOWN", "Unknown",
"Other")</f>
        <v>Iong Stay</v>
      </c>
    </row>
    <row r="1167" spans="1:11" x14ac:dyDescent="0.3">
      <c r="A1167" t="s">
        <v>3784</v>
      </c>
      <c r="B1167" t="s">
        <v>103</v>
      </c>
      <c r="C1167" t="s">
        <v>75</v>
      </c>
      <c r="D1167" t="s">
        <v>1390</v>
      </c>
      <c r="E1167" t="s">
        <v>314</v>
      </c>
      <c r="F1167" t="s">
        <v>3785</v>
      </c>
      <c r="G1167" t="s">
        <v>106</v>
      </c>
      <c r="H1167" t="s">
        <v>107</v>
      </c>
      <c r="I1167">
        <f t="shared" si="18"/>
        <v>3</v>
      </c>
      <c r="J1167" t="s">
        <v>18</v>
      </c>
      <c r="K1167" t="str" cm="1">
        <f t="array" ref="K1167">_xlfn.SWITCH(TRIM(UPPER(J1167)),
"BUSINESS", "Short Stay",
"CONFERENCE", "Medium Stay",
"VACATION", "Iong Stay",
"HOLIDAY", "Long Stay",
"V", "Leisure",
"UNKNOWN", "Unknown",
"Other")</f>
        <v>Short Stay</v>
      </c>
    </row>
    <row r="1168" spans="1:11" x14ac:dyDescent="0.3">
      <c r="A1168" t="s">
        <v>3786</v>
      </c>
      <c r="B1168" t="s">
        <v>418</v>
      </c>
      <c r="C1168" t="s">
        <v>83</v>
      </c>
      <c r="D1168" t="s">
        <v>1377</v>
      </c>
      <c r="E1168" t="s">
        <v>117</v>
      </c>
      <c r="F1168" t="s">
        <v>3787</v>
      </c>
      <c r="G1168" t="s">
        <v>421</v>
      </c>
      <c r="H1168" t="s">
        <v>127</v>
      </c>
      <c r="I1168">
        <f t="shared" si="18"/>
        <v>1</v>
      </c>
      <c r="J1168" t="s">
        <v>18</v>
      </c>
      <c r="K1168" t="str" cm="1">
        <f t="array" ref="K1168">_xlfn.SWITCH(TRIM(UPPER(J1168)),
"BUSINESS", "Short Stay",
"CONFERENCE", "Medium Stay",
"VACATION", "Iong Stay",
"HOLIDAY", "Long Stay",
"V", "Leisure",
"UNKNOWN", "Unknown",
"Other")</f>
        <v>Short Stay</v>
      </c>
    </row>
    <row r="1169" spans="1:11" x14ac:dyDescent="0.3">
      <c r="A1169" t="s">
        <v>3788</v>
      </c>
      <c r="B1169" t="s">
        <v>793</v>
      </c>
      <c r="C1169" t="s">
        <v>12</v>
      </c>
      <c r="D1169" t="s">
        <v>175</v>
      </c>
      <c r="E1169" t="s">
        <v>32</v>
      </c>
      <c r="F1169" t="s">
        <v>3789</v>
      </c>
      <c r="G1169" t="s">
        <v>796</v>
      </c>
      <c r="H1169" t="s">
        <v>1759</v>
      </c>
      <c r="I1169">
        <f t="shared" si="18"/>
        <v>4</v>
      </c>
      <c r="J1169" t="s">
        <v>27</v>
      </c>
      <c r="K1169" t="str" cm="1">
        <f t="array" ref="K1169">_xlfn.SWITCH(TRIM(UPPER(J1169)),
"BUSINESS", "Short Stay",
"CONFERENCE", "Medium Stay",
"VACATION", "Iong Stay",
"HOLIDAY", "Long Stay",
"V", "Leisure",
"UNKNOWN", "Unknown",
"Other")</f>
        <v>Medium Stay</v>
      </c>
    </row>
    <row r="1170" spans="1:11" x14ac:dyDescent="0.3">
      <c r="A1170" t="s">
        <v>3790</v>
      </c>
      <c r="B1170" t="s">
        <v>103</v>
      </c>
      <c r="C1170" t="s">
        <v>97</v>
      </c>
      <c r="D1170" t="s">
        <v>591</v>
      </c>
      <c r="E1170" t="s">
        <v>458</v>
      </c>
      <c r="F1170" t="s">
        <v>3791</v>
      </c>
      <c r="G1170" t="s">
        <v>106</v>
      </c>
      <c r="H1170" t="s">
        <v>685</v>
      </c>
      <c r="I1170">
        <f t="shared" si="18"/>
        <v>5</v>
      </c>
      <c r="J1170" t="s">
        <v>27</v>
      </c>
      <c r="K1170" t="str" cm="1">
        <f t="array" ref="K1170">_xlfn.SWITCH(TRIM(UPPER(J1170)),
"BUSINESS", "Short Stay",
"CONFERENCE", "Medium Stay",
"VACATION", "Iong Stay",
"HOLIDAY", "Long Stay",
"V", "Leisure",
"UNKNOWN", "Unknown",
"Other")</f>
        <v>Medium Stay</v>
      </c>
    </row>
    <row r="1171" spans="1:11" x14ac:dyDescent="0.3">
      <c r="A1171" t="s">
        <v>3792</v>
      </c>
      <c r="B1171" t="s">
        <v>1487</v>
      </c>
      <c r="C1171" t="s">
        <v>38</v>
      </c>
      <c r="D1171" t="s">
        <v>1791</v>
      </c>
      <c r="E1171" t="s">
        <v>14</v>
      </c>
      <c r="F1171" t="s">
        <v>3793</v>
      </c>
      <c r="G1171" t="s">
        <v>438</v>
      </c>
      <c r="H1171" t="s">
        <v>999</v>
      </c>
      <c r="I1171">
        <f t="shared" si="18"/>
        <v>2</v>
      </c>
      <c r="J1171" t="s">
        <v>27</v>
      </c>
      <c r="K1171" t="str" cm="1">
        <f t="array" ref="K1171">_xlfn.SWITCH(TRIM(UPPER(J1171)),
"BUSINESS", "Short Stay",
"CONFERENCE", "Medium Stay",
"VACATION", "Iong Stay",
"HOLIDAY", "Long Stay",
"V", "Leisure",
"UNKNOWN", "Unknown",
"Other")</f>
        <v>Medium Stay</v>
      </c>
    </row>
    <row r="1172" spans="1:11" x14ac:dyDescent="0.3">
      <c r="A1172" t="s">
        <v>3794</v>
      </c>
      <c r="B1172" t="s">
        <v>799</v>
      </c>
      <c r="C1172" t="s">
        <v>174</v>
      </c>
      <c r="D1172" t="s">
        <v>2070</v>
      </c>
      <c r="E1172" t="s">
        <v>77</v>
      </c>
      <c r="F1172" t="s">
        <v>3795</v>
      </c>
      <c r="G1172" t="s">
        <v>802</v>
      </c>
      <c r="H1172" t="s">
        <v>803</v>
      </c>
      <c r="I1172">
        <f t="shared" si="18"/>
        <v>4</v>
      </c>
      <c r="J1172" t="s">
        <v>44</v>
      </c>
      <c r="K1172" t="str" cm="1">
        <f t="array" ref="K1172">_xlfn.SWITCH(TRIM(UPPER(J1172)),
"BUSINESS", "Short Stay",
"CONFERENCE", "Medium Stay",
"VACATION", "Iong Stay",
"HOLIDAY", "Long Stay",
"V", "Leisure",
"UNKNOWN", "Unknown",
"Other")</f>
        <v>Other</v>
      </c>
    </row>
    <row r="1173" spans="1:11" x14ac:dyDescent="0.3">
      <c r="A1173" t="s">
        <v>3796</v>
      </c>
      <c r="B1173" t="s">
        <v>1701</v>
      </c>
      <c r="C1173" t="s">
        <v>54</v>
      </c>
      <c r="D1173" t="s">
        <v>2074</v>
      </c>
      <c r="E1173" t="s">
        <v>176</v>
      </c>
      <c r="F1173" t="s">
        <v>3797</v>
      </c>
      <c r="G1173" t="s">
        <v>1395</v>
      </c>
      <c r="H1173" t="s">
        <v>1226</v>
      </c>
      <c r="I1173">
        <f t="shared" si="18"/>
        <v>1</v>
      </c>
      <c r="J1173" t="s">
        <v>18</v>
      </c>
      <c r="K1173" t="str" cm="1">
        <f t="array" ref="K1173">_xlfn.SWITCH(TRIM(UPPER(J1173)),
"BUSINESS", "Short Stay",
"CONFERENCE", "Medium Stay",
"VACATION", "Iong Stay",
"HOLIDAY", "Long Stay",
"V", "Leisure",
"UNKNOWN", "Unknown",
"Other")</f>
        <v>Short Stay</v>
      </c>
    </row>
    <row r="1174" spans="1:11" x14ac:dyDescent="0.3">
      <c r="A1174" t="s">
        <v>3798</v>
      </c>
      <c r="B1174" t="s">
        <v>3182</v>
      </c>
      <c r="C1174" t="s">
        <v>75</v>
      </c>
      <c r="D1174" t="s">
        <v>3799</v>
      </c>
      <c r="E1174" t="s">
        <v>149</v>
      </c>
      <c r="F1174" t="s">
        <v>3800</v>
      </c>
      <c r="G1174" t="s">
        <v>351</v>
      </c>
      <c r="H1174" t="s">
        <v>1316</v>
      </c>
      <c r="I1174">
        <f t="shared" si="18"/>
        <v>2</v>
      </c>
      <c r="J1174" t="s">
        <v>121</v>
      </c>
      <c r="K1174" t="str" cm="1">
        <f t="array" ref="K1174">_xlfn.SWITCH(TRIM(UPPER(J1174)),
"BUSINESS", "Short Stay",
"CONFERENCE", "Medium Stay",
"VACATION", "Iong Stay",
"HOLIDAY", "Long Stay",
"V", "Leisure",
"UNKNOWN", "Unknown",
"Other")</f>
        <v>Iong Stay</v>
      </c>
    </row>
    <row r="1175" spans="1:11" x14ac:dyDescent="0.3">
      <c r="A1175" t="s">
        <v>3801</v>
      </c>
      <c r="B1175" t="s">
        <v>933</v>
      </c>
      <c r="C1175" t="s">
        <v>21</v>
      </c>
      <c r="D1175" t="s">
        <v>2883</v>
      </c>
      <c r="E1175" t="s">
        <v>23</v>
      </c>
      <c r="F1175" t="s">
        <v>3802</v>
      </c>
      <c r="G1175" t="s">
        <v>936</v>
      </c>
      <c r="H1175" t="s">
        <v>705</v>
      </c>
      <c r="I1175">
        <f t="shared" si="18"/>
        <v>1</v>
      </c>
      <c r="J1175" t="s">
        <v>18</v>
      </c>
      <c r="K1175" t="str" cm="1">
        <f t="array" ref="K1175">_xlfn.SWITCH(TRIM(UPPER(J1175)),
"BUSINESS", "Short Stay",
"CONFERENCE", "Medium Stay",
"VACATION", "Iong Stay",
"HOLIDAY", "Long Stay",
"V", "Leisure",
"UNKNOWN", "Unknown",
"Other")</f>
        <v>Short Stay</v>
      </c>
    </row>
    <row r="1176" spans="1:11" x14ac:dyDescent="0.3">
      <c r="A1176" t="s">
        <v>3803</v>
      </c>
      <c r="B1176" t="s">
        <v>2063</v>
      </c>
      <c r="C1176" t="s">
        <v>61</v>
      </c>
      <c r="D1176" t="s">
        <v>3804</v>
      </c>
      <c r="E1176" t="s">
        <v>63</v>
      </c>
      <c r="F1176" t="s">
        <v>3805</v>
      </c>
      <c r="G1176" t="s">
        <v>1243</v>
      </c>
      <c r="H1176" t="s">
        <v>283</v>
      </c>
      <c r="I1176">
        <f t="shared" si="18"/>
        <v>1</v>
      </c>
      <c r="J1176" t="s">
        <v>44</v>
      </c>
      <c r="K1176" t="str" cm="1">
        <f t="array" ref="K1176">_xlfn.SWITCH(TRIM(UPPER(J1176)),
"BUSINESS", "Short Stay",
"CONFERENCE", "Medium Stay",
"VACATION", "Iong Stay",
"HOLIDAY", "Long Stay",
"V", "Leisure",
"UNKNOWN", "Unknown",
"Other")</f>
        <v>Other</v>
      </c>
    </row>
    <row r="1177" spans="1:11" x14ac:dyDescent="0.3">
      <c r="A1177" t="s">
        <v>3806</v>
      </c>
      <c r="B1177" t="s">
        <v>3654</v>
      </c>
      <c r="C1177" t="s">
        <v>21</v>
      </c>
      <c r="D1177" t="s">
        <v>1598</v>
      </c>
      <c r="E1177" t="s">
        <v>214</v>
      </c>
      <c r="F1177" t="s">
        <v>3807</v>
      </c>
      <c r="G1177" t="s">
        <v>1100</v>
      </c>
      <c r="H1177" t="s">
        <v>645</v>
      </c>
      <c r="I1177">
        <f t="shared" si="18"/>
        <v>1</v>
      </c>
      <c r="J1177" t="s">
        <v>44</v>
      </c>
      <c r="K1177" t="str" cm="1">
        <f t="array" ref="K1177">_xlfn.SWITCH(TRIM(UPPER(J1177)),
"BUSINESS", "Short Stay",
"CONFERENCE", "Medium Stay",
"VACATION", "Iong Stay",
"HOLIDAY", "Long Stay",
"V", "Leisure",
"UNKNOWN", "Unknown",
"Other")</f>
        <v>Other</v>
      </c>
    </row>
    <row r="1178" spans="1:11" x14ac:dyDescent="0.3">
      <c r="A1178" t="s">
        <v>3808</v>
      </c>
      <c r="B1178" t="s">
        <v>1277</v>
      </c>
      <c r="C1178" t="s">
        <v>12</v>
      </c>
      <c r="D1178" t="s">
        <v>3809</v>
      </c>
      <c r="E1178" t="s">
        <v>214</v>
      </c>
      <c r="F1178" t="s">
        <v>3810</v>
      </c>
      <c r="G1178" t="s">
        <v>1280</v>
      </c>
      <c r="H1178" t="s">
        <v>426</v>
      </c>
      <c r="I1178">
        <f t="shared" si="18"/>
        <v>5</v>
      </c>
      <c r="J1178" t="s">
        <v>44</v>
      </c>
      <c r="K1178" t="str" cm="1">
        <f t="array" ref="K1178">_xlfn.SWITCH(TRIM(UPPER(J1178)),
"BUSINESS", "Short Stay",
"CONFERENCE", "Medium Stay",
"VACATION", "Iong Stay",
"HOLIDAY", "Long Stay",
"V", "Leisure",
"UNKNOWN", "Unknown",
"Other")</f>
        <v>Other</v>
      </c>
    </row>
    <row r="1179" spans="1:11" x14ac:dyDescent="0.3">
      <c r="A1179" t="s">
        <v>3811</v>
      </c>
      <c r="B1179" t="s">
        <v>1353</v>
      </c>
      <c r="C1179" t="s">
        <v>54</v>
      </c>
      <c r="D1179" t="s">
        <v>396</v>
      </c>
      <c r="E1179" t="s">
        <v>546</v>
      </c>
      <c r="F1179" t="s">
        <v>3812</v>
      </c>
      <c r="G1179" t="s">
        <v>1356</v>
      </c>
      <c r="H1179" t="s">
        <v>57</v>
      </c>
      <c r="I1179">
        <f t="shared" si="18"/>
        <v>4</v>
      </c>
      <c r="J1179" t="s">
        <v>27</v>
      </c>
      <c r="K1179" t="str" cm="1">
        <f t="array" ref="K1179">_xlfn.SWITCH(TRIM(UPPER(J1179)),
"BUSINESS", "Short Stay",
"CONFERENCE", "Medium Stay",
"VACATION", "Iong Stay",
"HOLIDAY", "Long Stay",
"V", "Leisure",
"UNKNOWN", "Unknown",
"Other")</f>
        <v>Medium Stay</v>
      </c>
    </row>
    <row r="1180" spans="1:11" x14ac:dyDescent="0.3">
      <c r="A1180" t="s">
        <v>3813</v>
      </c>
      <c r="B1180" t="s">
        <v>1627</v>
      </c>
      <c r="C1180" t="s">
        <v>12</v>
      </c>
      <c r="D1180" t="s">
        <v>3115</v>
      </c>
      <c r="E1180" t="s">
        <v>117</v>
      </c>
      <c r="F1180" t="s">
        <v>49</v>
      </c>
      <c r="G1180" t="s">
        <v>185</v>
      </c>
      <c r="H1180" t="s">
        <v>338</v>
      </c>
      <c r="I1180">
        <f t="shared" si="18"/>
        <v>3</v>
      </c>
      <c r="J1180" t="s">
        <v>44</v>
      </c>
      <c r="K1180" t="str" cm="1">
        <f t="array" ref="K1180">_xlfn.SWITCH(TRIM(UPPER(J1180)),
"BUSINESS", "Short Stay",
"CONFERENCE", "Medium Stay",
"VACATION", "Iong Stay",
"HOLIDAY", "Long Stay",
"V", "Leisure",
"UNKNOWN", "Unknown",
"Other")</f>
        <v>Other</v>
      </c>
    </row>
    <row r="1181" spans="1:11" x14ac:dyDescent="0.3">
      <c r="A1181" t="s">
        <v>3814</v>
      </c>
      <c r="B1181" t="s">
        <v>863</v>
      </c>
      <c r="C1181" t="s">
        <v>83</v>
      </c>
      <c r="D1181" t="s">
        <v>1380</v>
      </c>
      <c r="E1181" t="s">
        <v>85</v>
      </c>
      <c r="F1181" t="s">
        <v>3815</v>
      </c>
      <c r="G1181" t="s">
        <v>548</v>
      </c>
      <c r="H1181" t="s">
        <v>563</v>
      </c>
      <c r="I1181">
        <f t="shared" si="18"/>
        <v>5</v>
      </c>
      <c r="J1181" t="s">
        <v>18</v>
      </c>
      <c r="K1181" t="str" cm="1">
        <f t="array" ref="K1181">_xlfn.SWITCH(TRIM(UPPER(J1181)),
"BUSINESS", "Short Stay",
"CONFERENCE", "Medium Stay",
"VACATION", "Iong Stay",
"HOLIDAY", "Long Stay",
"V", "Leisure",
"UNKNOWN", "Unknown",
"Other")</f>
        <v>Short Stay</v>
      </c>
    </row>
    <row r="1182" spans="1:11" x14ac:dyDescent="0.3">
      <c r="A1182" t="s">
        <v>3816</v>
      </c>
      <c r="B1182" t="s">
        <v>1591</v>
      </c>
      <c r="C1182" t="s">
        <v>75</v>
      </c>
      <c r="D1182" t="s">
        <v>390</v>
      </c>
      <c r="E1182" t="s">
        <v>176</v>
      </c>
      <c r="F1182" t="s">
        <v>3817</v>
      </c>
      <c r="G1182" t="s">
        <v>426</v>
      </c>
      <c r="H1182" t="s">
        <v>309</v>
      </c>
      <c r="I1182">
        <f t="shared" si="18"/>
        <v>2</v>
      </c>
      <c r="J1182" t="s">
        <v>18</v>
      </c>
      <c r="K1182" t="str" cm="1">
        <f t="array" ref="K1182">_xlfn.SWITCH(TRIM(UPPER(J1182)),
"BUSINESS", "Short Stay",
"CONFERENCE", "Medium Stay",
"VACATION", "Iong Stay",
"HOLIDAY", "Long Stay",
"V", "Leisure",
"UNKNOWN", "Unknown",
"Other")</f>
        <v>Short Stay</v>
      </c>
    </row>
    <row r="1183" spans="1:11" x14ac:dyDescent="0.3">
      <c r="A1183" t="s">
        <v>3818</v>
      </c>
      <c r="B1183" t="s">
        <v>2392</v>
      </c>
      <c r="C1183" t="s">
        <v>174</v>
      </c>
      <c r="D1183" t="s">
        <v>3819</v>
      </c>
      <c r="E1183" t="s">
        <v>314</v>
      </c>
      <c r="F1183" t="s">
        <v>3820</v>
      </c>
      <c r="G1183" t="s">
        <v>1833</v>
      </c>
      <c r="H1183" t="s">
        <v>1268</v>
      </c>
      <c r="I1183">
        <f t="shared" si="18"/>
        <v>1</v>
      </c>
      <c r="J1183" t="s">
        <v>18</v>
      </c>
      <c r="K1183" t="str" cm="1">
        <f t="array" ref="K1183">_xlfn.SWITCH(TRIM(UPPER(J1183)),
"BUSINESS", "Short Stay",
"CONFERENCE", "Medium Stay",
"VACATION", "Iong Stay",
"HOLIDAY", "Long Stay",
"V", "Leisure",
"UNKNOWN", "Unknown",
"Other")</f>
        <v>Short Stay</v>
      </c>
    </row>
    <row r="1184" spans="1:11" x14ac:dyDescent="0.3">
      <c r="A1184" t="s">
        <v>3821</v>
      </c>
      <c r="B1184" t="s">
        <v>556</v>
      </c>
      <c r="C1184" t="s">
        <v>54</v>
      </c>
      <c r="D1184" t="s">
        <v>2350</v>
      </c>
      <c r="E1184" t="s">
        <v>69</v>
      </c>
      <c r="F1184" t="s">
        <v>3822</v>
      </c>
      <c r="G1184" t="s">
        <v>559</v>
      </c>
      <c r="H1184" t="s">
        <v>65</v>
      </c>
      <c r="I1184">
        <f t="shared" si="18"/>
        <v>1</v>
      </c>
      <c r="J1184" t="s">
        <v>18</v>
      </c>
      <c r="K1184" t="str" cm="1">
        <f t="array" ref="K1184">_xlfn.SWITCH(TRIM(UPPER(J1184)),
"BUSINESS", "Short Stay",
"CONFERENCE", "Medium Stay",
"VACATION", "Iong Stay",
"HOLIDAY", "Long Stay",
"V", "Leisure",
"UNKNOWN", "Unknown",
"Other")</f>
        <v>Short Stay</v>
      </c>
    </row>
    <row r="1185" spans="1:11" x14ac:dyDescent="0.3">
      <c r="A1185" t="s">
        <v>3823</v>
      </c>
      <c r="B1185" t="s">
        <v>1606</v>
      </c>
      <c r="C1185" t="s">
        <v>12</v>
      </c>
      <c r="D1185" t="s">
        <v>2750</v>
      </c>
      <c r="E1185" t="s">
        <v>546</v>
      </c>
      <c r="F1185" t="s">
        <v>3824</v>
      </c>
      <c r="G1185" t="s">
        <v>524</v>
      </c>
      <c r="H1185" t="s">
        <v>87</v>
      </c>
      <c r="I1185">
        <f t="shared" si="18"/>
        <v>3</v>
      </c>
      <c r="J1185" t="s">
        <v>44</v>
      </c>
      <c r="K1185" t="str" cm="1">
        <f t="array" ref="K1185">_xlfn.SWITCH(TRIM(UPPER(J1185)),
"BUSINESS", "Short Stay",
"CONFERENCE", "Medium Stay",
"VACATION", "Iong Stay",
"HOLIDAY", "Long Stay",
"V", "Leisure",
"UNKNOWN", "Unknown",
"Other")</f>
        <v>Other</v>
      </c>
    </row>
    <row r="1186" spans="1:11" x14ac:dyDescent="0.3">
      <c r="A1186" t="s">
        <v>3825</v>
      </c>
      <c r="B1186" t="s">
        <v>1912</v>
      </c>
      <c r="C1186" t="s">
        <v>174</v>
      </c>
      <c r="D1186" t="s">
        <v>1824</v>
      </c>
      <c r="E1186" t="s">
        <v>48</v>
      </c>
      <c r="F1186" t="s">
        <v>3826</v>
      </c>
      <c r="G1186" t="s">
        <v>363</v>
      </c>
      <c r="H1186" t="s">
        <v>1833</v>
      </c>
      <c r="I1186">
        <f t="shared" si="18"/>
        <v>4</v>
      </c>
      <c r="J1186" t="s">
        <v>27</v>
      </c>
      <c r="K1186" t="str" cm="1">
        <f t="array" ref="K1186">_xlfn.SWITCH(TRIM(UPPER(J1186)),
"BUSINESS", "Short Stay",
"CONFERENCE", "Medium Stay",
"VACATION", "Iong Stay",
"HOLIDAY", "Long Stay",
"V", "Leisure",
"UNKNOWN", "Unknown",
"Other")</f>
        <v>Medium Stay</v>
      </c>
    </row>
    <row r="1187" spans="1:11" x14ac:dyDescent="0.3">
      <c r="A1187" t="s">
        <v>3827</v>
      </c>
      <c r="B1187" t="s">
        <v>1032</v>
      </c>
      <c r="C1187" t="s">
        <v>21</v>
      </c>
      <c r="D1187" t="s">
        <v>3828</v>
      </c>
      <c r="E1187" t="s">
        <v>23</v>
      </c>
      <c r="F1187" t="s">
        <v>3829</v>
      </c>
      <c r="G1187" t="s">
        <v>1035</v>
      </c>
      <c r="H1187" t="s">
        <v>677</v>
      </c>
      <c r="I1187">
        <f t="shared" si="18"/>
        <v>5</v>
      </c>
      <c r="J1187" t="s">
        <v>44</v>
      </c>
      <c r="K1187" t="str" cm="1">
        <f t="array" ref="K1187">_xlfn.SWITCH(TRIM(UPPER(J1187)),
"BUSINESS", "Short Stay",
"CONFERENCE", "Medium Stay",
"VACATION", "Iong Stay",
"HOLIDAY", "Long Stay",
"V", "Leisure",
"UNKNOWN", "Unknown",
"Other")</f>
        <v>Other</v>
      </c>
    </row>
    <row r="1188" spans="1:11" x14ac:dyDescent="0.3">
      <c r="A1188" t="s">
        <v>3830</v>
      </c>
      <c r="B1188" t="s">
        <v>1482</v>
      </c>
      <c r="C1188" t="s">
        <v>21</v>
      </c>
      <c r="D1188" t="s">
        <v>3831</v>
      </c>
      <c r="E1188" t="s">
        <v>149</v>
      </c>
      <c r="F1188" t="s">
        <v>3832</v>
      </c>
      <c r="G1188" t="s">
        <v>1485</v>
      </c>
      <c r="H1188" t="s">
        <v>908</v>
      </c>
      <c r="I1188">
        <f t="shared" si="18"/>
        <v>5</v>
      </c>
      <c r="J1188" t="s">
        <v>44</v>
      </c>
      <c r="K1188" t="str" cm="1">
        <f t="array" ref="K1188">_xlfn.SWITCH(TRIM(UPPER(J1188)),
"BUSINESS", "Short Stay",
"CONFERENCE", "Medium Stay",
"VACATION", "Iong Stay",
"HOLIDAY", "Long Stay",
"V", "Leisure",
"UNKNOWN", "Unknown",
"Other")</f>
        <v>Other</v>
      </c>
    </row>
    <row r="1189" spans="1:11" x14ac:dyDescent="0.3">
      <c r="A1189" t="s">
        <v>3833</v>
      </c>
      <c r="B1189" t="s">
        <v>1001</v>
      </c>
      <c r="C1189" t="s">
        <v>174</v>
      </c>
      <c r="D1189" t="s">
        <v>2383</v>
      </c>
      <c r="E1189" t="s">
        <v>546</v>
      </c>
      <c r="F1189" t="s">
        <v>3834</v>
      </c>
      <c r="G1189" t="s">
        <v>233</v>
      </c>
      <c r="H1189" t="s">
        <v>197</v>
      </c>
      <c r="I1189">
        <f t="shared" si="18"/>
        <v>4</v>
      </c>
      <c r="J1189" t="s">
        <v>121</v>
      </c>
      <c r="K1189" t="str" cm="1">
        <f t="array" ref="K1189">_xlfn.SWITCH(TRIM(UPPER(J1189)),
"BUSINESS", "Short Stay",
"CONFERENCE", "Medium Stay",
"VACATION", "Iong Stay",
"HOLIDAY", "Long Stay",
"V", "Leisure",
"UNKNOWN", "Unknown",
"Other")</f>
        <v>Iong Stay</v>
      </c>
    </row>
    <row r="1190" spans="1:11" x14ac:dyDescent="0.3">
      <c r="A1190" t="s">
        <v>3835</v>
      </c>
      <c r="B1190" t="s">
        <v>1028</v>
      </c>
      <c r="C1190" t="s">
        <v>83</v>
      </c>
      <c r="D1190" t="s">
        <v>68</v>
      </c>
      <c r="E1190" t="s">
        <v>156</v>
      </c>
      <c r="F1190" t="s">
        <v>3836</v>
      </c>
      <c r="G1190" t="s">
        <v>1030</v>
      </c>
      <c r="H1190" t="s">
        <v>271</v>
      </c>
      <c r="I1190">
        <f t="shared" si="18"/>
        <v>2</v>
      </c>
      <c r="J1190" t="s">
        <v>44</v>
      </c>
      <c r="K1190" t="str" cm="1">
        <f t="array" ref="K1190">_xlfn.SWITCH(TRIM(UPPER(J1190)),
"BUSINESS", "Short Stay",
"CONFERENCE", "Medium Stay",
"VACATION", "Iong Stay",
"HOLIDAY", "Long Stay",
"V", "Leisure",
"UNKNOWN", "Unknown",
"Other")</f>
        <v>Other</v>
      </c>
    </row>
    <row r="1191" spans="1:11" x14ac:dyDescent="0.3">
      <c r="A1191" t="s">
        <v>3837</v>
      </c>
      <c r="B1191" t="s">
        <v>229</v>
      </c>
      <c r="C1191" t="s">
        <v>75</v>
      </c>
      <c r="D1191" t="s">
        <v>3838</v>
      </c>
      <c r="E1191" t="s">
        <v>546</v>
      </c>
      <c r="F1191" t="s">
        <v>3839</v>
      </c>
      <c r="G1191" t="s">
        <v>232</v>
      </c>
      <c r="H1191" t="s">
        <v>196</v>
      </c>
      <c r="I1191">
        <f t="shared" si="18"/>
        <v>3</v>
      </c>
      <c r="J1191" t="s">
        <v>121</v>
      </c>
      <c r="K1191" t="str" cm="1">
        <f t="array" ref="K1191">_xlfn.SWITCH(TRIM(UPPER(J1191)),
"BUSINESS", "Short Stay",
"CONFERENCE", "Medium Stay",
"VACATION", "Iong Stay",
"HOLIDAY", "Long Stay",
"V", "Leisure",
"UNKNOWN", "Unknown",
"Other")</f>
        <v>Iong Stay</v>
      </c>
    </row>
    <row r="1192" spans="1:11" x14ac:dyDescent="0.3">
      <c r="A1192" t="s">
        <v>3840</v>
      </c>
      <c r="B1192" t="s">
        <v>1063</v>
      </c>
      <c r="C1192" t="s">
        <v>75</v>
      </c>
      <c r="D1192" t="s">
        <v>3841</v>
      </c>
      <c r="E1192" t="s">
        <v>48</v>
      </c>
      <c r="F1192" t="s">
        <v>3842</v>
      </c>
      <c r="G1192" t="s">
        <v>1066</v>
      </c>
      <c r="H1192" t="s">
        <v>998</v>
      </c>
      <c r="I1192">
        <f t="shared" si="18"/>
        <v>5</v>
      </c>
      <c r="J1192" t="s">
        <v>18</v>
      </c>
      <c r="K1192" t="str" cm="1">
        <f t="array" ref="K1192">_xlfn.SWITCH(TRIM(UPPER(J1192)),
"BUSINESS", "Short Stay",
"CONFERENCE", "Medium Stay",
"VACATION", "Iong Stay",
"HOLIDAY", "Long Stay",
"V", "Leisure",
"UNKNOWN", "Unknown",
"Other")</f>
        <v>Short Stay</v>
      </c>
    </row>
    <row r="1193" spans="1:11" x14ac:dyDescent="0.3">
      <c r="A1193" t="s">
        <v>3843</v>
      </c>
      <c r="B1193" t="s">
        <v>1448</v>
      </c>
      <c r="C1193" t="s">
        <v>75</v>
      </c>
      <c r="D1193" t="s">
        <v>2811</v>
      </c>
      <c r="E1193" t="s">
        <v>117</v>
      </c>
      <c r="F1193" t="s">
        <v>3844</v>
      </c>
      <c r="G1193" t="s">
        <v>1091</v>
      </c>
      <c r="H1193" t="s">
        <v>1012</v>
      </c>
      <c r="I1193">
        <f t="shared" si="18"/>
        <v>3</v>
      </c>
      <c r="J1193" t="s">
        <v>121</v>
      </c>
      <c r="K1193" t="str" cm="1">
        <f t="array" ref="K1193">_xlfn.SWITCH(TRIM(UPPER(J1193)),
"BUSINESS", "Short Stay",
"CONFERENCE", "Medium Stay",
"VACATION", "Iong Stay",
"HOLIDAY", "Long Stay",
"V", "Leisure",
"UNKNOWN", "Unknown",
"Other")</f>
        <v>Iong Stay</v>
      </c>
    </row>
    <row r="1194" spans="1:11" x14ac:dyDescent="0.3">
      <c r="A1194" t="s">
        <v>3845</v>
      </c>
      <c r="B1194" t="s">
        <v>1844</v>
      </c>
      <c r="C1194" t="s">
        <v>61</v>
      </c>
      <c r="D1194" t="s">
        <v>3846</v>
      </c>
      <c r="E1194" t="s">
        <v>314</v>
      </c>
      <c r="F1194" t="s">
        <v>3847</v>
      </c>
      <c r="G1194" t="s">
        <v>1847</v>
      </c>
      <c r="H1194" t="s">
        <v>1053</v>
      </c>
      <c r="I1194">
        <f t="shared" si="18"/>
        <v>4</v>
      </c>
      <c r="J1194" t="s">
        <v>27</v>
      </c>
      <c r="K1194" t="str" cm="1">
        <f t="array" ref="K1194">_xlfn.SWITCH(TRIM(UPPER(J1194)),
"BUSINESS", "Short Stay",
"CONFERENCE", "Medium Stay",
"VACATION", "Iong Stay",
"HOLIDAY", "Long Stay",
"V", "Leisure",
"UNKNOWN", "Unknown",
"Other")</f>
        <v>Medium Stay</v>
      </c>
    </row>
    <row r="1195" spans="1:11" x14ac:dyDescent="0.3">
      <c r="A1195" t="s">
        <v>3848</v>
      </c>
      <c r="B1195" t="s">
        <v>1075</v>
      </c>
      <c r="C1195" t="s">
        <v>30</v>
      </c>
      <c r="D1195" t="s">
        <v>3849</v>
      </c>
      <c r="E1195" t="s">
        <v>85</v>
      </c>
      <c r="F1195" t="s">
        <v>3850</v>
      </c>
      <c r="G1195" t="s">
        <v>1078</v>
      </c>
      <c r="H1195" t="s">
        <v>432</v>
      </c>
      <c r="I1195">
        <f t="shared" si="18"/>
        <v>5</v>
      </c>
      <c r="J1195" t="s">
        <v>27</v>
      </c>
      <c r="K1195" t="str" cm="1">
        <f t="array" ref="K1195">_xlfn.SWITCH(TRIM(UPPER(J1195)),
"BUSINESS", "Short Stay",
"CONFERENCE", "Medium Stay",
"VACATION", "Iong Stay",
"HOLIDAY", "Long Stay",
"V", "Leisure",
"UNKNOWN", "Unknown",
"Other")</f>
        <v>Medium Stay</v>
      </c>
    </row>
    <row r="1196" spans="1:11" x14ac:dyDescent="0.3">
      <c r="A1196" t="s">
        <v>3851</v>
      </c>
      <c r="B1196" t="s">
        <v>1368</v>
      </c>
      <c r="C1196" t="s">
        <v>30</v>
      </c>
      <c r="D1196" t="s">
        <v>3852</v>
      </c>
      <c r="E1196" t="s">
        <v>314</v>
      </c>
      <c r="F1196" t="s">
        <v>3853</v>
      </c>
      <c r="G1196" t="s">
        <v>941</v>
      </c>
      <c r="H1196" t="s">
        <v>1371</v>
      </c>
      <c r="I1196">
        <f t="shared" si="18"/>
        <v>4</v>
      </c>
      <c r="J1196" t="s">
        <v>44</v>
      </c>
      <c r="K1196" t="str" cm="1">
        <f t="array" ref="K1196">_xlfn.SWITCH(TRIM(UPPER(J1196)),
"BUSINESS", "Short Stay",
"CONFERENCE", "Medium Stay",
"VACATION", "Iong Stay",
"HOLIDAY", "Long Stay",
"V", "Leisure",
"UNKNOWN", "Unknown",
"Other")</f>
        <v>Other</v>
      </c>
    </row>
    <row r="1197" spans="1:11" x14ac:dyDescent="0.3">
      <c r="A1197" t="s">
        <v>3854</v>
      </c>
      <c r="B1197" t="s">
        <v>565</v>
      </c>
      <c r="C1197" t="s">
        <v>30</v>
      </c>
      <c r="D1197" t="s">
        <v>3855</v>
      </c>
      <c r="E1197" t="s">
        <v>14</v>
      </c>
      <c r="F1197" t="s">
        <v>3856</v>
      </c>
      <c r="G1197" t="s">
        <v>568</v>
      </c>
      <c r="H1197" t="s">
        <v>554</v>
      </c>
      <c r="I1197">
        <f t="shared" si="18"/>
        <v>4</v>
      </c>
      <c r="J1197" t="s">
        <v>27</v>
      </c>
      <c r="K1197" t="str" cm="1">
        <f t="array" ref="K1197">_xlfn.SWITCH(TRIM(UPPER(J1197)),
"BUSINESS", "Short Stay",
"CONFERENCE", "Medium Stay",
"VACATION", "Iong Stay",
"HOLIDAY", "Long Stay",
"V", "Leisure",
"UNKNOWN", "Unknown",
"Other")</f>
        <v>Medium Stay</v>
      </c>
    </row>
    <row r="1198" spans="1:11" x14ac:dyDescent="0.3">
      <c r="A1198" t="s">
        <v>3857</v>
      </c>
      <c r="B1198" t="s">
        <v>147</v>
      </c>
      <c r="C1198" t="s">
        <v>30</v>
      </c>
      <c r="D1198" t="s">
        <v>2429</v>
      </c>
      <c r="E1198" t="s">
        <v>85</v>
      </c>
      <c r="F1198" t="s">
        <v>3858</v>
      </c>
      <c r="G1198" t="s">
        <v>151</v>
      </c>
      <c r="H1198" t="s">
        <v>1415</v>
      </c>
      <c r="I1198">
        <f t="shared" si="18"/>
        <v>3</v>
      </c>
      <c r="J1198" t="s">
        <v>44</v>
      </c>
      <c r="K1198" t="str" cm="1">
        <f t="array" ref="K1198">_xlfn.SWITCH(TRIM(UPPER(J1198)),
"BUSINESS", "Short Stay",
"CONFERENCE", "Medium Stay",
"VACATION", "Iong Stay",
"HOLIDAY", "Long Stay",
"V", "Leisure",
"UNKNOWN", "Unknown",
"Other")</f>
        <v>Other</v>
      </c>
    </row>
    <row r="1199" spans="1:11" x14ac:dyDescent="0.3">
      <c r="A1199" t="s">
        <v>3859</v>
      </c>
      <c r="B1199" t="s">
        <v>741</v>
      </c>
      <c r="C1199" t="s">
        <v>97</v>
      </c>
      <c r="D1199" t="s">
        <v>2020</v>
      </c>
      <c r="E1199" t="s">
        <v>117</v>
      </c>
      <c r="F1199" t="s">
        <v>3860</v>
      </c>
      <c r="G1199" t="s">
        <v>744</v>
      </c>
      <c r="H1199" t="s">
        <v>677</v>
      </c>
      <c r="I1199">
        <f t="shared" si="18"/>
        <v>4</v>
      </c>
      <c r="J1199" t="s">
        <v>27</v>
      </c>
      <c r="K1199" t="str" cm="1">
        <f t="array" ref="K1199">_xlfn.SWITCH(TRIM(UPPER(J1199)),
"BUSINESS", "Short Stay",
"CONFERENCE", "Medium Stay",
"VACATION", "Iong Stay",
"HOLIDAY", "Long Stay",
"V", "Leisure",
"UNKNOWN", "Unknown",
"Other")</f>
        <v>Medium Stay</v>
      </c>
    </row>
    <row r="1200" spans="1:11" x14ac:dyDescent="0.3">
      <c r="A1200" t="s">
        <v>3861</v>
      </c>
      <c r="B1200" t="s">
        <v>1245</v>
      </c>
      <c r="C1200" t="s">
        <v>30</v>
      </c>
      <c r="D1200" t="s">
        <v>3862</v>
      </c>
      <c r="E1200" t="s">
        <v>430</v>
      </c>
      <c r="F1200" t="s">
        <v>3863</v>
      </c>
      <c r="G1200" t="s">
        <v>1248</v>
      </c>
      <c r="H1200" t="s">
        <v>553</v>
      </c>
      <c r="I1200">
        <f t="shared" si="18"/>
        <v>5</v>
      </c>
      <c r="J1200" t="s">
        <v>121</v>
      </c>
      <c r="K1200" t="str" cm="1">
        <f t="array" ref="K1200">_xlfn.SWITCH(TRIM(UPPER(J1200)),
"BUSINESS", "Short Stay",
"CONFERENCE", "Medium Stay",
"VACATION", "Iong Stay",
"HOLIDAY", "Long Stay",
"V", "Leisure",
"UNKNOWN", "Unknown",
"Other")</f>
        <v>Iong Stay</v>
      </c>
    </row>
    <row r="1201" spans="1:11" x14ac:dyDescent="0.3">
      <c r="A1201" t="s">
        <v>3864</v>
      </c>
      <c r="B1201" t="s">
        <v>2374</v>
      </c>
      <c r="C1201" t="s">
        <v>75</v>
      </c>
      <c r="D1201" t="s">
        <v>2236</v>
      </c>
      <c r="E1201" t="s">
        <v>14</v>
      </c>
      <c r="F1201" t="s">
        <v>1057</v>
      </c>
      <c r="G1201" t="s">
        <v>113</v>
      </c>
      <c r="H1201" t="s">
        <v>1151</v>
      </c>
      <c r="I1201">
        <f t="shared" si="18"/>
        <v>5</v>
      </c>
      <c r="J1201" t="s">
        <v>27</v>
      </c>
      <c r="K1201" t="str" cm="1">
        <f t="array" ref="K1201">_xlfn.SWITCH(TRIM(UPPER(J1201)),
"BUSINESS", "Short Stay",
"CONFERENCE", "Medium Stay",
"VACATION", "Iong Stay",
"HOLIDAY", "Long Stay",
"V", "Leisure",
"UNKNOWN", "Unknown",
"Other")</f>
        <v>Medium Stay</v>
      </c>
    </row>
    <row r="1202" spans="1:11" x14ac:dyDescent="0.3">
      <c r="A1202" t="s">
        <v>3865</v>
      </c>
      <c r="B1202" t="s">
        <v>147</v>
      </c>
      <c r="C1202" t="s">
        <v>83</v>
      </c>
      <c r="D1202" t="s">
        <v>703</v>
      </c>
      <c r="E1202" t="s">
        <v>214</v>
      </c>
      <c r="F1202" t="s">
        <v>3866</v>
      </c>
      <c r="G1202" t="s">
        <v>151</v>
      </c>
      <c r="H1202" t="s">
        <v>2840</v>
      </c>
      <c r="I1202">
        <f t="shared" si="18"/>
        <v>5</v>
      </c>
      <c r="J1202" t="s">
        <v>18</v>
      </c>
      <c r="K1202" t="str" cm="1">
        <f t="array" ref="K1202">_xlfn.SWITCH(TRIM(UPPER(J1202)),
"BUSINESS", "Short Stay",
"CONFERENCE", "Medium Stay",
"VACATION", "Iong Stay",
"HOLIDAY", "Long Stay",
"V", "Leisure",
"UNKNOWN", "Unknown",
"Other")</f>
        <v>Short Stay</v>
      </c>
    </row>
    <row r="1203" spans="1:11" x14ac:dyDescent="0.3">
      <c r="A1203" t="s">
        <v>3867</v>
      </c>
      <c r="B1203" t="s">
        <v>1465</v>
      </c>
      <c r="C1203" t="s">
        <v>75</v>
      </c>
      <c r="D1203" t="s">
        <v>610</v>
      </c>
      <c r="E1203" t="s">
        <v>48</v>
      </c>
      <c r="F1203" t="s">
        <v>3868</v>
      </c>
      <c r="G1203" t="s">
        <v>1415</v>
      </c>
      <c r="H1203" t="s">
        <v>2840</v>
      </c>
      <c r="I1203">
        <f t="shared" si="18"/>
        <v>2</v>
      </c>
      <c r="J1203" t="s">
        <v>44</v>
      </c>
      <c r="K1203" t="str" cm="1">
        <f t="array" ref="K1203">_xlfn.SWITCH(TRIM(UPPER(J1203)),
"BUSINESS", "Short Stay",
"CONFERENCE", "Medium Stay",
"VACATION", "Iong Stay",
"HOLIDAY", "Long Stay",
"V", "Leisure",
"UNKNOWN", "Unknown",
"Other")</f>
        <v>Other</v>
      </c>
    </row>
    <row r="1204" spans="1:11" x14ac:dyDescent="0.3">
      <c r="A1204" t="s">
        <v>3869</v>
      </c>
      <c r="B1204" t="s">
        <v>279</v>
      </c>
      <c r="C1204" t="s">
        <v>174</v>
      </c>
      <c r="D1204" t="s">
        <v>987</v>
      </c>
      <c r="E1204" t="s">
        <v>63</v>
      </c>
      <c r="F1204" t="s">
        <v>3870</v>
      </c>
      <c r="G1204" t="s">
        <v>282</v>
      </c>
      <c r="H1204" t="s">
        <v>2767</v>
      </c>
      <c r="I1204">
        <f t="shared" si="18"/>
        <v>3</v>
      </c>
      <c r="J1204" t="s">
        <v>27</v>
      </c>
      <c r="K1204" t="str" cm="1">
        <f t="array" ref="K1204">_xlfn.SWITCH(TRIM(UPPER(J1204)),
"BUSINESS", "Short Stay",
"CONFERENCE", "Medium Stay",
"VACATION", "Iong Stay",
"HOLIDAY", "Long Stay",
"V", "Leisure",
"UNKNOWN", "Unknown",
"Other")</f>
        <v>Medium Stay</v>
      </c>
    </row>
    <row r="1205" spans="1:11" x14ac:dyDescent="0.3">
      <c r="A1205" t="s">
        <v>3871</v>
      </c>
      <c r="B1205" t="s">
        <v>1412</v>
      </c>
      <c r="C1205" t="s">
        <v>97</v>
      </c>
      <c r="D1205" t="s">
        <v>956</v>
      </c>
      <c r="E1205" t="s">
        <v>77</v>
      </c>
      <c r="F1205" t="s">
        <v>3872</v>
      </c>
      <c r="G1205" t="s">
        <v>1414</v>
      </c>
      <c r="H1205" t="s">
        <v>2840</v>
      </c>
      <c r="I1205">
        <f t="shared" si="18"/>
        <v>4</v>
      </c>
      <c r="J1205" t="s">
        <v>121</v>
      </c>
      <c r="K1205" t="str" cm="1">
        <f t="array" ref="K1205">_xlfn.SWITCH(TRIM(UPPER(J1205)),
"BUSINESS", "Short Stay",
"CONFERENCE", "Medium Stay",
"VACATION", "Iong Stay",
"HOLIDAY", "Long Stay",
"V", "Leisure",
"UNKNOWN", "Unknown",
"Other")</f>
        <v>Iong Stay</v>
      </c>
    </row>
    <row r="1206" spans="1:11" x14ac:dyDescent="0.3">
      <c r="A1206" t="s">
        <v>3873</v>
      </c>
      <c r="B1206" t="s">
        <v>1585</v>
      </c>
      <c r="C1206" t="s">
        <v>61</v>
      </c>
      <c r="D1206" t="s">
        <v>3874</v>
      </c>
      <c r="E1206" t="s">
        <v>85</v>
      </c>
      <c r="F1206" t="s">
        <v>3875</v>
      </c>
      <c r="G1206" t="s">
        <v>1588</v>
      </c>
      <c r="H1206" t="s">
        <v>1456</v>
      </c>
      <c r="I1206">
        <f t="shared" si="18"/>
        <v>4</v>
      </c>
      <c r="J1206" t="s">
        <v>18</v>
      </c>
      <c r="K1206" t="str" cm="1">
        <f t="array" ref="K1206">_xlfn.SWITCH(TRIM(UPPER(J1206)),
"BUSINESS", "Short Stay",
"CONFERENCE", "Medium Stay",
"VACATION", "Iong Stay",
"HOLIDAY", "Long Stay",
"V", "Leisure",
"UNKNOWN", "Unknown",
"Other")</f>
        <v>Short Stay</v>
      </c>
    </row>
    <row r="1207" spans="1:11" x14ac:dyDescent="0.3">
      <c r="A1207" t="s">
        <v>3876</v>
      </c>
      <c r="B1207" t="s">
        <v>1028</v>
      </c>
      <c r="C1207" t="s">
        <v>21</v>
      </c>
      <c r="D1207" t="s">
        <v>1668</v>
      </c>
      <c r="E1207" t="s">
        <v>85</v>
      </c>
      <c r="F1207" t="s">
        <v>3877</v>
      </c>
      <c r="G1207" t="s">
        <v>1030</v>
      </c>
      <c r="H1207" t="s">
        <v>271</v>
      </c>
      <c r="I1207">
        <f t="shared" si="18"/>
        <v>2</v>
      </c>
      <c r="J1207" t="s">
        <v>18</v>
      </c>
      <c r="K1207" t="str" cm="1">
        <f t="array" ref="K1207">_xlfn.SWITCH(TRIM(UPPER(J1207)),
"BUSINESS", "Short Stay",
"CONFERENCE", "Medium Stay",
"VACATION", "Iong Stay",
"HOLIDAY", "Long Stay",
"V", "Leisure",
"UNKNOWN", "Unknown",
"Other")</f>
        <v>Short Stay</v>
      </c>
    </row>
    <row r="1208" spans="1:11" x14ac:dyDescent="0.3">
      <c r="A1208" t="s">
        <v>3878</v>
      </c>
      <c r="B1208" t="s">
        <v>218</v>
      </c>
      <c r="C1208" t="s">
        <v>54</v>
      </c>
      <c r="D1208" t="s">
        <v>1157</v>
      </c>
      <c r="E1208" t="s">
        <v>14</v>
      </c>
      <c r="F1208" t="s">
        <v>3879</v>
      </c>
      <c r="G1208" t="s">
        <v>221</v>
      </c>
      <c r="H1208" t="s">
        <v>919</v>
      </c>
      <c r="I1208">
        <f t="shared" si="18"/>
        <v>4</v>
      </c>
      <c r="J1208" t="s">
        <v>18</v>
      </c>
      <c r="K1208" t="str" cm="1">
        <f t="array" ref="K1208">_xlfn.SWITCH(TRIM(UPPER(J1208)),
"BUSINESS", "Short Stay",
"CONFERENCE", "Medium Stay",
"VACATION", "Iong Stay",
"HOLIDAY", "Long Stay",
"V", "Leisure",
"UNKNOWN", "Unknown",
"Other")</f>
        <v>Short Stay</v>
      </c>
    </row>
    <row r="1209" spans="1:11" x14ac:dyDescent="0.3">
      <c r="A1209" t="s">
        <v>3880</v>
      </c>
      <c r="B1209" t="s">
        <v>1401</v>
      </c>
      <c r="C1209" t="s">
        <v>38</v>
      </c>
      <c r="D1209" t="s">
        <v>3881</v>
      </c>
      <c r="E1209" t="s">
        <v>476</v>
      </c>
      <c r="F1209" t="s">
        <v>3882</v>
      </c>
      <c r="G1209" t="s">
        <v>1404</v>
      </c>
      <c r="H1209" t="s">
        <v>1090</v>
      </c>
      <c r="I1209">
        <f t="shared" si="18"/>
        <v>5</v>
      </c>
      <c r="J1209" t="s">
        <v>44</v>
      </c>
      <c r="K1209" t="str" cm="1">
        <f t="array" ref="K1209">_xlfn.SWITCH(TRIM(UPPER(J1209)),
"BUSINESS", "Short Stay",
"CONFERENCE", "Medium Stay",
"VACATION", "Iong Stay",
"HOLIDAY", "Long Stay",
"V", "Leisure",
"UNKNOWN", "Unknown",
"Other")</f>
        <v>Other</v>
      </c>
    </row>
    <row r="1210" spans="1:11" x14ac:dyDescent="0.3">
      <c r="A1210" t="s">
        <v>3883</v>
      </c>
      <c r="B1210" t="s">
        <v>799</v>
      </c>
      <c r="C1210" t="s">
        <v>12</v>
      </c>
      <c r="D1210" t="s">
        <v>1839</v>
      </c>
      <c r="E1210" t="s">
        <v>214</v>
      </c>
      <c r="F1210" t="s">
        <v>3884</v>
      </c>
      <c r="G1210" t="s">
        <v>802</v>
      </c>
      <c r="H1210" t="s">
        <v>1522</v>
      </c>
      <c r="I1210">
        <f t="shared" si="18"/>
        <v>3</v>
      </c>
      <c r="J1210" t="s">
        <v>27</v>
      </c>
      <c r="K1210" t="str" cm="1">
        <f t="array" ref="K1210">_xlfn.SWITCH(TRIM(UPPER(J1210)),
"BUSINESS", "Short Stay",
"CONFERENCE", "Medium Stay",
"VACATION", "Iong Stay",
"HOLIDAY", "Long Stay",
"V", "Leisure",
"UNKNOWN", "Unknown",
"Other")</f>
        <v>Medium Stay</v>
      </c>
    </row>
    <row r="1211" spans="1:11" x14ac:dyDescent="0.3">
      <c r="A1211" t="s">
        <v>3885</v>
      </c>
      <c r="B1211" t="s">
        <v>2555</v>
      </c>
      <c r="C1211" t="s">
        <v>61</v>
      </c>
      <c r="D1211" t="s">
        <v>3886</v>
      </c>
      <c r="E1211" t="s">
        <v>476</v>
      </c>
      <c r="F1211" t="s">
        <v>3887</v>
      </c>
      <c r="G1211" t="s">
        <v>600</v>
      </c>
      <c r="H1211" t="s">
        <v>204</v>
      </c>
      <c r="I1211">
        <f t="shared" si="18"/>
        <v>2</v>
      </c>
      <c r="J1211" t="s">
        <v>27</v>
      </c>
      <c r="K1211" t="str" cm="1">
        <f t="array" ref="K1211">_xlfn.SWITCH(TRIM(UPPER(J1211)),
"BUSINESS", "Short Stay",
"CONFERENCE", "Medium Stay",
"VACATION", "Iong Stay",
"HOLIDAY", "Long Stay",
"V", "Leisure",
"UNKNOWN", "Unknown",
"Other")</f>
        <v>Medium Stay</v>
      </c>
    </row>
    <row r="1212" spans="1:11" x14ac:dyDescent="0.3">
      <c r="A1212" t="s">
        <v>3888</v>
      </c>
      <c r="B1212" t="s">
        <v>135</v>
      </c>
      <c r="C1212" t="s">
        <v>61</v>
      </c>
      <c r="D1212" t="s">
        <v>1780</v>
      </c>
      <c r="E1212" t="s">
        <v>458</v>
      </c>
      <c r="F1212" t="s">
        <v>3889</v>
      </c>
      <c r="G1212" t="s">
        <v>138</v>
      </c>
      <c r="H1212" t="s">
        <v>951</v>
      </c>
      <c r="I1212">
        <f t="shared" si="18"/>
        <v>3</v>
      </c>
      <c r="J1212" t="s">
        <v>27</v>
      </c>
      <c r="K1212" t="str" cm="1">
        <f t="array" ref="K1212">_xlfn.SWITCH(TRIM(UPPER(J1212)),
"BUSINESS", "Short Stay",
"CONFERENCE", "Medium Stay",
"VACATION", "Iong Stay",
"HOLIDAY", "Long Stay",
"V", "Leisure",
"UNKNOWN", "Unknown",
"Other")</f>
        <v>Medium Stay</v>
      </c>
    </row>
    <row r="1213" spans="1:11" x14ac:dyDescent="0.3">
      <c r="A1213" t="s">
        <v>3890</v>
      </c>
      <c r="B1213" t="s">
        <v>273</v>
      </c>
      <c r="C1213" t="s">
        <v>21</v>
      </c>
      <c r="D1213" t="s">
        <v>1733</v>
      </c>
      <c r="E1213" t="s">
        <v>314</v>
      </c>
      <c r="F1213" t="s">
        <v>3891</v>
      </c>
      <c r="G1213" t="s">
        <v>276</v>
      </c>
      <c r="H1213" t="s">
        <v>753</v>
      </c>
      <c r="I1213">
        <f t="shared" si="18"/>
        <v>5</v>
      </c>
      <c r="J1213" t="s">
        <v>18</v>
      </c>
      <c r="K1213" t="str" cm="1">
        <f t="array" ref="K1213">_xlfn.SWITCH(TRIM(UPPER(J1213)),
"BUSINESS", "Short Stay",
"CONFERENCE", "Medium Stay",
"VACATION", "Iong Stay",
"HOLIDAY", "Long Stay",
"V", "Leisure",
"UNKNOWN", "Unknown",
"Other")</f>
        <v>Short Stay</v>
      </c>
    </row>
    <row r="1214" spans="1:11" x14ac:dyDescent="0.3">
      <c r="A1214" t="s">
        <v>3892</v>
      </c>
      <c r="B1214" t="s">
        <v>1984</v>
      </c>
      <c r="C1214" t="s">
        <v>12</v>
      </c>
      <c r="D1214" t="s">
        <v>1710</v>
      </c>
      <c r="E1214" t="s">
        <v>63</v>
      </c>
      <c r="F1214" t="s">
        <v>3893</v>
      </c>
      <c r="G1214" t="s">
        <v>443</v>
      </c>
      <c r="H1214" t="s">
        <v>398</v>
      </c>
      <c r="I1214">
        <f t="shared" si="18"/>
        <v>3</v>
      </c>
      <c r="J1214" t="s">
        <v>18</v>
      </c>
      <c r="K1214" t="str" cm="1">
        <f t="array" ref="K1214">_xlfn.SWITCH(TRIM(UPPER(J1214)),
"BUSINESS", "Short Stay",
"CONFERENCE", "Medium Stay",
"VACATION", "Iong Stay",
"HOLIDAY", "Long Stay",
"V", "Leisure",
"UNKNOWN", "Unknown",
"Other")</f>
        <v>Short Stay</v>
      </c>
    </row>
    <row r="1215" spans="1:11" x14ac:dyDescent="0.3">
      <c r="A1215" t="s">
        <v>3894</v>
      </c>
      <c r="B1215" t="s">
        <v>772</v>
      </c>
      <c r="C1215" t="s">
        <v>30</v>
      </c>
      <c r="D1215" t="s">
        <v>3895</v>
      </c>
      <c r="E1215" t="s">
        <v>77</v>
      </c>
      <c r="F1215" t="s">
        <v>3896</v>
      </c>
      <c r="G1215" t="s">
        <v>775</v>
      </c>
      <c r="H1215" t="s">
        <v>190</v>
      </c>
      <c r="I1215">
        <f t="shared" si="18"/>
        <v>2</v>
      </c>
      <c r="J1215" t="s">
        <v>18</v>
      </c>
      <c r="K1215" t="str" cm="1">
        <f t="array" ref="K1215">_xlfn.SWITCH(TRIM(UPPER(J1215)),
"BUSINESS", "Short Stay",
"CONFERENCE", "Medium Stay",
"VACATION", "Iong Stay",
"HOLIDAY", "Long Stay",
"V", "Leisure",
"UNKNOWN", "Unknown",
"Other")</f>
        <v>Short Stay</v>
      </c>
    </row>
    <row r="1216" spans="1:11" x14ac:dyDescent="0.3">
      <c r="A1216" t="s">
        <v>3897</v>
      </c>
      <c r="B1216" t="s">
        <v>129</v>
      </c>
      <c r="C1216" t="s">
        <v>174</v>
      </c>
      <c r="D1216" t="s">
        <v>3898</v>
      </c>
      <c r="E1216" t="s">
        <v>476</v>
      </c>
      <c r="F1216" t="s">
        <v>3899</v>
      </c>
      <c r="G1216" t="s">
        <v>132</v>
      </c>
      <c r="H1216" t="s">
        <v>700</v>
      </c>
      <c r="I1216">
        <f t="shared" si="18"/>
        <v>2</v>
      </c>
      <c r="J1216" t="s">
        <v>44</v>
      </c>
      <c r="K1216" t="str" cm="1">
        <f t="array" ref="K1216">_xlfn.SWITCH(TRIM(UPPER(J1216)),
"BUSINESS", "Short Stay",
"CONFERENCE", "Medium Stay",
"VACATION", "Iong Stay",
"HOLIDAY", "Long Stay",
"V", "Leisure",
"UNKNOWN", "Unknown",
"Other")</f>
        <v>Other</v>
      </c>
    </row>
    <row r="1217" spans="1:11" x14ac:dyDescent="0.3">
      <c r="A1217" t="s">
        <v>3900</v>
      </c>
      <c r="B1217" t="s">
        <v>2555</v>
      </c>
      <c r="C1217" t="s">
        <v>75</v>
      </c>
      <c r="D1217" t="s">
        <v>3901</v>
      </c>
      <c r="E1217" t="s">
        <v>149</v>
      </c>
      <c r="F1217" t="s">
        <v>3902</v>
      </c>
      <c r="G1217" t="s">
        <v>600</v>
      </c>
      <c r="H1217" t="s">
        <v>538</v>
      </c>
      <c r="I1217">
        <f t="shared" si="18"/>
        <v>1</v>
      </c>
      <c r="J1217" t="s">
        <v>44</v>
      </c>
      <c r="K1217" t="str" cm="1">
        <f t="array" ref="K1217">_xlfn.SWITCH(TRIM(UPPER(J1217)),
"BUSINESS", "Short Stay",
"CONFERENCE", "Medium Stay",
"VACATION", "Iong Stay",
"HOLIDAY", "Long Stay",
"V", "Leisure",
"UNKNOWN", "Unknown",
"Other")</f>
        <v>Other</v>
      </c>
    </row>
    <row r="1218" spans="1:11" x14ac:dyDescent="0.3">
      <c r="A1218" t="s">
        <v>3903</v>
      </c>
      <c r="B1218" t="s">
        <v>2335</v>
      </c>
      <c r="C1218" t="s">
        <v>54</v>
      </c>
      <c r="D1218" t="s">
        <v>2143</v>
      </c>
      <c r="E1218" t="s">
        <v>69</v>
      </c>
      <c r="F1218" t="s">
        <v>3904</v>
      </c>
      <c r="G1218" t="s">
        <v>1826</v>
      </c>
      <c r="H1218" t="s">
        <v>1555</v>
      </c>
      <c r="I1218">
        <f t="shared" si="18"/>
        <v>4</v>
      </c>
      <c r="J1218" t="s">
        <v>121</v>
      </c>
      <c r="K1218" t="str" cm="1">
        <f t="array" ref="K1218">_xlfn.SWITCH(TRIM(UPPER(J1218)),
"BUSINESS", "Short Stay",
"CONFERENCE", "Medium Stay",
"VACATION", "Iong Stay",
"HOLIDAY", "Long Stay",
"V", "Leisure",
"UNKNOWN", "Unknown",
"Other")</f>
        <v>Iong Stay</v>
      </c>
    </row>
    <row r="1219" spans="1:11" x14ac:dyDescent="0.3">
      <c r="A1219" t="s">
        <v>3905</v>
      </c>
      <c r="B1219" t="s">
        <v>1004</v>
      </c>
      <c r="C1219" t="s">
        <v>54</v>
      </c>
      <c r="D1219" t="s">
        <v>1746</v>
      </c>
      <c r="E1219" t="s">
        <v>156</v>
      </c>
      <c r="F1219" t="s">
        <v>3906</v>
      </c>
      <c r="G1219" t="s">
        <v>317</v>
      </c>
      <c r="H1219" t="s">
        <v>1117</v>
      </c>
      <c r="I1219">
        <f t="shared" ref="I1219:I1282" si="19">H1219-G1219</f>
        <v>3</v>
      </c>
      <c r="J1219" t="s">
        <v>121</v>
      </c>
      <c r="K1219" t="str" cm="1">
        <f t="array" ref="K1219">_xlfn.SWITCH(TRIM(UPPER(J1219)),
"BUSINESS", "Short Stay",
"CONFERENCE", "Medium Stay",
"VACATION", "Iong Stay",
"HOLIDAY", "Long Stay",
"V", "Leisure",
"UNKNOWN", "Unknown",
"Other")</f>
        <v>Iong Stay</v>
      </c>
    </row>
    <row r="1220" spans="1:11" x14ac:dyDescent="0.3">
      <c r="A1220" t="s">
        <v>3907</v>
      </c>
      <c r="B1220" t="s">
        <v>482</v>
      </c>
      <c r="C1220" t="s">
        <v>38</v>
      </c>
      <c r="D1220" t="s">
        <v>3390</v>
      </c>
      <c r="E1220" t="s">
        <v>214</v>
      </c>
      <c r="F1220" t="s">
        <v>3908</v>
      </c>
      <c r="G1220" t="s">
        <v>277</v>
      </c>
      <c r="H1220" t="s">
        <v>753</v>
      </c>
      <c r="I1220">
        <f t="shared" si="19"/>
        <v>4</v>
      </c>
      <c r="J1220" t="s">
        <v>121</v>
      </c>
      <c r="K1220" t="str" cm="1">
        <f t="array" ref="K1220">_xlfn.SWITCH(TRIM(UPPER(J1220)),
"BUSINESS", "Short Stay",
"CONFERENCE", "Medium Stay",
"VACATION", "Iong Stay",
"HOLIDAY", "Long Stay",
"V", "Leisure",
"UNKNOWN", "Unknown",
"Other")</f>
        <v>Iong Stay</v>
      </c>
    </row>
    <row r="1221" spans="1:11" x14ac:dyDescent="0.3">
      <c r="A1221" t="s">
        <v>3909</v>
      </c>
      <c r="B1221" t="s">
        <v>3174</v>
      </c>
      <c r="C1221" t="s">
        <v>75</v>
      </c>
      <c r="D1221" t="s">
        <v>693</v>
      </c>
      <c r="E1221" t="s">
        <v>176</v>
      </c>
      <c r="F1221" t="s">
        <v>3910</v>
      </c>
      <c r="G1221" t="s">
        <v>1407</v>
      </c>
      <c r="H1221" t="s">
        <v>2398</v>
      </c>
      <c r="I1221">
        <f t="shared" si="19"/>
        <v>2</v>
      </c>
      <c r="J1221" t="s">
        <v>27</v>
      </c>
      <c r="K1221" t="str" cm="1">
        <f t="array" ref="K1221">_xlfn.SWITCH(TRIM(UPPER(J1221)),
"BUSINESS", "Short Stay",
"CONFERENCE", "Medium Stay",
"VACATION", "Iong Stay",
"HOLIDAY", "Long Stay",
"V", "Leisure",
"UNKNOWN", "Unknown",
"Other")</f>
        <v>Medium Stay</v>
      </c>
    </row>
    <row r="1222" spans="1:11" x14ac:dyDescent="0.3">
      <c r="A1222" t="s">
        <v>3911</v>
      </c>
      <c r="B1222" t="s">
        <v>788</v>
      </c>
      <c r="C1222" t="s">
        <v>174</v>
      </c>
      <c r="D1222" t="s">
        <v>263</v>
      </c>
      <c r="E1222" t="s">
        <v>14</v>
      </c>
      <c r="F1222" t="s">
        <v>3912</v>
      </c>
      <c r="G1222" t="s">
        <v>791</v>
      </c>
      <c r="H1222" t="s">
        <v>518</v>
      </c>
      <c r="I1222">
        <f t="shared" si="19"/>
        <v>4</v>
      </c>
      <c r="J1222" t="s">
        <v>18</v>
      </c>
      <c r="K1222" t="str" cm="1">
        <f t="array" ref="K1222">_xlfn.SWITCH(TRIM(UPPER(J1222)),
"BUSINESS", "Short Stay",
"CONFERENCE", "Medium Stay",
"VACATION", "Iong Stay",
"HOLIDAY", "Long Stay",
"V", "Leisure",
"UNKNOWN", "Unknown",
"Other")</f>
        <v>Short Stay</v>
      </c>
    </row>
    <row r="1223" spans="1:11" x14ac:dyDescent="0.3">
      <c r="A1223" t="s">
        <v>3913</v>
      </c>
      <c r="B1223" t="s">
        <v>141</v>
      </c>
      <c r="C1223" t="s">
        <v>38</v>
      </c>
      <c r="D1223" t="s">
        <v>3914</v>
      </c>
      <c r="E1223" t="s">
        <v>176</v>
      </c>
      <c r="F1223" t="s">
        <v>3915</v>
      </c>
      <c r="G1223" t="s">
        <v>144</v>
      </c>
      <c r="H1223" t="s">
        <v>725</v>
      </c>
      <c r="I1223">
        <f t="shared" si="19"/>
        <v>4</v>
      </c>
      <c r="J1223" t="s">
        <v>121</v>
      </c>
      <c r="K1223" t="str" cm="1">
        <f t="array" ref="K1223">_xlfn.SWITCH(TRIM(UPPER(J1223)),
"BUSINESS", "Short Stay",
"CONFERENCE", "Medium Stay",
"VACATION", "Iong Stay",
"HOLIDAY", "Long Stay",
"V", "Leisure",
"UNKNOWN", "Unknown",
"Other")</f>
        <v>Iong Stay</v>
      </c>
    </row>
    <row r="1224" spans="1:11" x14ac:dyDescent="0.3">
      <c r="A1224" t="s">
        <v>3916</v>
      </c>
      <c r="B1224" t="s">
        <v>3654</v>
      </c>
      <c r="C1224" t="s">
        <v>30</v>
      </c>
      <c r="D1224" t="s">
        <v>3917</v>
      </c>
      <c r="E1224" t="s">
        <v>546</v>
      </c>
      <c r="F1224" t="s">
        <v>3918</v>
      </c>
      <c r="G1224" t="s">
        <v>1100</v>
      </c>
      <c r="H1224" t="s">
        <v>1471</v>
      </c>
      <c r="I1224">
        <f t="shared" si="19"/>
        <v>2</v>
      </c>
      <c r="J1224" t="s">
        <v>121</v>
      </c>
      <c r="K1224" t="str" cm="1">
        <f t="array" ref="K1224">_xlfn.SWITCH(TRIM(UPPER(J1224)),
"BUSINESS", "Short Stay",
"CONFERENCE", "Medium Stay",
"VACATION", "Iong Stay",
"HOLIDAY", "Long Stay",
"V", "Leisure",
"UNKNOWN", "Unknown",
"Other")</f>
        <v>Iong Stay</v>
      </c>
    </row>
    <row r="1225" spans="1:11" x14ac:dyDescent="0.3">
      <c r="A1225" t="s">
        <v>3919</v>
      </c>
      <c r="B1225" t="s">
        <v>1667</v>
      </c>
      <c r="C1225" t="s">
        <v>54</v>
      </c>
      <c r="D1225" t="s">
        <v>162</v>
      </c>
      <c r="E1225" t="s">
        <v>430</v>
      </c>
      <c r="F1225" t="s">
        <v>3920</v>
      </c>
      <c r="G1225" t="s">
        <v>1670</v>
      </c>
      <c r="H1225" t="s">
        <v>705</v>
      </c>
      <c r="I1225">
        <f t="shared" si="19"/>
        <v>4</v>
      </c>
      <c r="J1225" t="s">
        <v>121</v>
      </c>
      <c r="K1225" t="str" cm="1">
        <f t="array" ref="K1225">_xlfn.SWITCH(TRIM(UPPER(J1225)),
"BUSINESS", "Short Stay",
"CONFERENCE", "Medium Stay",
"VACATION", "Iong Stay",
"HOLIDAY", "Long Stay",
"V", "Leisure",
"UNKNOWN", "Unknown",
"Other")</f>
        <v>Iong Stay</v>
      </c>
    </row>
    <row r="1226" spans="1:11" x14ac:dyDescent="0.3">
      <c r="A1226" t="s">
        <v>3921</v>
      </c>
      <c r="B1226" t="s">
        <v>1302</v>
      </c>
      <c r="C1226" t="s">
        <v>21</v>
      </c>
      <c r="D1226" t="s">
        <v>723</v>
      </c>
      <c r="E1226" t="s">
        <v>156</v>
      </c>
      <c r="F1226" t="s">
        <v>3922</v>
      </c>
      <c r="G1226" t="s">
        <v>1304</v>
      </c>
      <c r="H1226" t="s">
        <v>1260</v>
      </c>
      <c r="I1226">
        <f t="shared" si="19"/>
        <v>5</v>
      </c>
      <c r="J1226" t="s">
        <v>18</v>
      </c>
      <c r="K1226" t="str" cm="1">
        <f t="array" ref="K1226">_xlfn.SWITCH(TRIM(UPPER(J1226)),
"BUSINESS", "Short Stay",
"CONFERENCE", "Medium Stay",
"VACATION", "Iong Stay",
"HOLIDAY", "Long Stay",
"V", "Leisure",
"UNKNOWN", "Unknown",
"Other")</f>
        <v>Short Stay</v>
      </c>
    </row>
    <row r="1227" spans="1:11" x14ac:dyDescent="0.3">
      <c r="A1227" t="s">
        <v>3923</v>
      </c>
      <c r="B1227" t="s">
        <v>3218</v>
      </c>
      <c r="C1227" t="s">
        <v>30</v>
      </c>
      <c r="D1227" t="s">
        <v>3606</v>
      </c>
      <c r="E1227" t="s">
        <v>149</v>
      </c>
      <c r="F1227" t="s">
        <v>3924</v>
      </c>
      <c r="G1227" t="s">
        <v>3220</v>
      </c>
      <c r="H1227" t="s">
        <v>100</v>
      </c>
      <c r="I1227">
        <f t="shared" si="19"/>
        <v>3</v>
      </c>
      <c r="J1227" t="s">
        <v>121</v>
      </c>
      <c r="K1227" t="str" cm="1">
        <f t="array" ref="K1227">_xlfn.SWITCH(TRIM(UPPER(J1227)),
"BUSINESS", "Short Stay",
"CONFERENCE", "Medium Stay",
"VACATION", "Iong Stay",
"HOLIDAY", "Long Stay",
"V", "Leisure",
"UNKNOWN", "Unknown",
"Other")</f>
        <v>Iong Stay</v>
      </c>
    </row>
    <row r="1228" spans="1:11" x14ac:dyDescent="0.3">
      <c r="A1228" t="s">
        <v>3925</v>
      </c>
      <c r="B1228" t="s">
        <v>755</v>
      </c>
      <c r="C1228" t="s">
        <v>54</v>
      </c>
      <c r="D1228" t="s">
        <v>2400</v>
      </c>
      <c r="E1228" t="s">
        <v>314</v>
      </c>
      <c r="F1228" t="s">
        <v>3926</v>
      </c>
      <c r="G1228" t="s">
        <v>758</v>
      </c>
      <c r="H1228" t="s">
        <v>803</v>
      </c>
      <c r="I1228">
        <f t="shared" si="19"/>
        <v>5</v>
      </c>
      <c r="J1228" t="s">
        <v>18</v>
      </c>
      <c r="K1228" t="str" cm="1">
        <f t="array" ref="K1228">_xlfn.SWITCH(TRIM(UPPER(J1228)),
"BUSINESS", "Short Stay",
"CONFERENCE", "Medium Stay",
"VACATION", "Iong Stay",
"HOLIDAY", "Long Stay",
"V", "Leisure",
"UNKNOWN", "Unknown",
"Other")</f>
        <v>Short Stay</v>
      </c>
    </row>
    <row r="1229" spans="1:11" x14ac:dyDescent="0.3">
      <c r="A1229" t="s">
        <v>3927</v>
      </c>
      <c r="B1229" t="s">
        <v>46</v>
      </c>
      <c r="C1229" t="s">
        <v>61</v>
      </c>
      <c r="D1229" t="s">
        <v>2383</v>
      </c>
      <c r="E1229" t="s">
        <v>14</v>
      </c>
      <c r="F1229" t="s">
        <v>3628</v>
      </c>
      <c r="G1229" t="s">
        <v>50</v>
      </c>
      <c r="H1229" t="s">
        <v>2078</v>
      </c>
      <c r="I1229">
        <f t="shared" si="19"/>
        <v>2</v>
      </c>
      <c r="J1229" t="s">
        <v>44</v>
      </c>
      <c r="K1229" t="str" cm="1">
        <f t="array" ref="K1229">_xlfn.SWITCH(TRIM(UPPER(J1229)),
"BUSINESS", "Short Stay",
"CONFERENCE", "Medium Stay",
"VACATION", "Iong Stay",
"HOLIDAY", "Long Stay",
"V", "Leisure",
"UNKNOWN", "Unknown",
"Other")</f>
        <v>Other</v>
      </c>
    </row>
    <row r="1230" spans="1:11" x14ac:dyDescent="0.3">
      <c r="A1230" t="s">
        <v>3928</v>
      </c>
      <c r="B1230" t="s">
        <v>2260</v>
      </c>
      <c r="C1230" t="s">
        <v>21</v>
      </c>
      <c r="D1230" t="s">
        <v>3881</v>
      </c>
      <c r="E1230" t="s">
        <v>430</v>
      </c>
      <c r="F1230" t="s">
        <v>3929</v>
      </c>
      <c r="G1230" t="s">
        <v>255</v>
      </c>
      <c r="H1230" t="s">
        <v>517</v>
      </c>
      <c r="I1230">
        <f t="shared" si="19"/>
        <v>1</v>
      </c>
      <c r="J1230" t="s">
        <v>18</v>
      </c>
      <c r="K1230" t="str" cm="1">
        <f t="array" ref="K1230">_xlfn.SWITCH(TRIM(UPPER(J1230)),
"BUSINESS", "Short Stay",
"CONFERENCE", "Medium Stay",
"VACATION", "Iong Stay",
"HOLIDAY", "Long Stay",
"V", "Leisure",
"UNKNOWN", "Unknown",
"Other")</f>
        <v>Short Stay</v>
      </c>
    </row>
    <row r="1231" spans="1:11" x14ac:dyDescent="0.3">
      <c r="A1231" t="s">
        <v>3930</v>
      </c>
      <c r="B1231" t="s">
        <v>2115</v>
      </c>
      <c r="C1231" t="s">
        <v>54</v>
      </c>
      <c r="D1231" t="s">
        <v>291</v>
      </c>
      <c r="E1231" t="s">
        <v>476</v>
      </c>
      <c r="F1231" t="s">
        <v>3931</v>
      </c>
      <c r="G1231" t="s">
        <v>159</v>
      </c>
      <c r="H1231" t="s">
        <v>1555</v>
      </c>
      <c r="I1231">
        <f t="shared" si="19"/>
        <v>1</v>
      </c>
      <c r="J1231" t="s">
        <v>121</v>
      </c>
      <c r="K1231" t="str" cm="1">
        <f t="array" ref="K1231">_xlfn.SWITCH(TRIM(UPPER(J1231)),
"BUSINESS", "Short Stay",
"CONFERENCE", "Medium Stay",
"VACATION", "Iong Stay",
"HOLIDAY", "Long Stay",
"V", "Leisure",
"UNKNOWN", "Unknown",
"Other")</f>
        <v>Iong Stay</v>
      </c>
    </row>
    <row r="1232" spans="1:11" x14ac:dyDescent="0.3">
      <c r="A1232" t="s">
        <v>3932</v>
      </c>
      <c r="B1232" t="s">
        <v>1212</v>
      </c>
      <c r="C1232" t="s">
        <v>38</v>
      </c>
      <c r="D1232" t="s">
        <v>1157</v>
      </c>
      <c r="E1232" t="s">
        <v>117</v>
      </c>
      <c r="F1232" t="s">
        <v>3933</v>
      </c>
      <c r="G1232" t="s">
        <v>1007</v>
      </c>
      <c r="H1232" t="s">
        <v>1788</v>
      </c>
      <c r="I1232">
        <f t="shared" si="19"/>
        <v>1</v>
      </c>
      <c r="J1232" t="s">
        <v>44</v>
      </c>
      <c r="K1232" t="str" cm="1">
        <f t="array" ref="K1232">_xlfn.SWITCH(TRIM(UPPER(J1232)),
"BUSINESS", "Short Stay",
"CONFERENCE", "Medium Stay",
"VACATION", "Iong Stay",
"HOLIDAY", "Long Stay",
"V", "Leisure",
"UNKNOWN", "Unknown",
"Other")</f>
        <v>Other</v>
      </c>
    </row>
    <row r="1233" spans="1:11" x14ac:dyDescent="0.3">
      <c r="A1233" t="s">
        <v>3934</v>
      </c>
      <c r="B1233" t="s">
        <v>1656</v>
      </c>
      <c r="C1233" t="s">
        <v>61</v>
      </c>
      <c r="D1233" t="s">
        <v>778</v>
      </c>
      <c r="E1233" t="s">
        <v>14</v>
      </c>
      <c r="F1233" t="s">
        <v>3935</v>
      </c>
      <c r="G1233" t="s">
        <v>1659</v>
      </c>
      <c r="H1233" t="s">
        <v>350</v>
      </c>
      <c r="I1233">
        <f t="shared" si="19"/>
        <v>5</v>
      </c>
      <c r="J1233" t="s">
        <v>18</v>
      </c>
      <c r="K1233" t="str" cm="1">
        <f t="array" ref="K1233">_xlfn.SWITCH(TRIM(UPPER(J1233)),
"BUSINESS", "Short Stay",
"CONFERENCE", "Medium Stay",
"VACATION", "Iong Stay",
"HOLIDAY", "Long Stay",
"V", "Leisure",
"UNKNOWN", "Unknown",
"Other")</f>
        <v>Short Stay</v>
      </c>
    </row>
    <row r="1234" spans="1:11" x14ac:dyDescent="0.3">
      <c r="A1234" t="s">
        <v>3936</v>
      </c>
      <c r="B1234" t="s">
        <v>324</v>
      </c>
      <c r="C1234" t="s">
        <v>12</v>
      </c>
      <c r="D1234" t="s">
        <v>1702</v>
      </c>
      <c r="E1234" t="s">
        <v>40</v>
      </c>
      <c r="F1234" t="s">
        <v>3937</v>
      </c>
      <c r="G1234" t="s">
        <v>327</v>
      </c>
      <c r="H1234" t="s">
        <v>328</v>
      </c>
      <c r="I1234">
        <f t="shared" si="19"/>
        <v>5</v>
      </c>
      <c r="J1234" t="s">
        <v>44</v>
      </c>
      <c r="K1234" t="str" cm="1">
        <f t="array" ref="K1234">_xlfn.SWITCH(TRIM(UPPER(J1234)),
"BUSINESS", "Short Stay",
"CONFERENCE", "Medium Stay",
"VACATION", "Iong Stay",
"HOLIDAY", "Long Stay",
"V", "Leisure",
"UNKNOWN", "Unknown",
"Other")</f>
        <v>Other</v>
      </c>
    </row>
    <row r="1235" spans="1:11" x14ac:dyDescent="0.3">
      <c r="A1235" t="s">
        <v>3938</v>
      </c>
      <c r="B1235" t="s">
        <v>2017</v>
      </c>
      <c r="C1235" t="s">
        <v>54</v>
      </c>
      <c r="D1235" t="s">
        <v>3385</v>
      </c>
      <c r="E1235" t="s">
        <v>63</v>
      </c>
      <c r="F1235" t="s">
        <v>3939</v>
      </c>
      <c r="G1235" t="s">
        <v>1026</v>
      </c>
      <c r="H1235" t="s">
        <v>151</v>
      </c>
      <c r="I1235">
        <f t="shared" si="19"/>
        <v>2</v>
      </c>
      <c r="J1235" t="s">
        <v>44</v>
      </c>
      <c r="K1235" t="str" cm="1">
        <f t="array" ref="K1235">_xlfn.SWITCH(TRIM(UPPER(J1235)),
"BUSINESS", "Short Stay",
"CONFERENCE", "Medium Stay",
"VACATION", "Iong Stay",
"HOLIDAY", "Long Stay",
"V", "Leisure",
"UNKNOWN", "Unknown",
"Other")</f>
        <v>Other</v>
      </c>
    </row>
    <row r="1236" spans="1:11" x14ac:dyDescent="0.3">
      <c r="A1236" t="s">
        <v>3940</v>
      </c>
      <c r="B1236" t="s">
        <v>135</v>
      </c>
      <c r="C1236" t="s">
        <v>12</v>
      </c>
      <c r="D1236" t="s">
        <v>1374</v>
      </c>
      <c r="E1236" t="s">
        <v>458</v>
      </c>
      <c r="F1236" t="s">
        <v>3941</v>
      </c>
      <c r="G1236" t="s">
        <v>138</v>
      </c>
      <c r="H1236" t="s">
        <v>951</v>
      </c>
      <c r="I1236">
        <f t="shared" si="19"/>
        <v>3</v>
      </c>
      <c r="J1236" t="s">
        <v>18</v>
      </c>
      <c r="K1236" t="str" cm="1">
        <f t="array" ref="K1236">_xlfn.SWITCH(TRIM(UPPER(J1236)),
"BUSINESS", "Short Stay",
"CONFERENCE", "Medium Stay",
"VACATION", "Iong Stay",
"HOLIDAY", "Long Stay",
"V", "Leisure",
"UNKNOWN", "Unknown",
"Other")</f>
        <v>Short Stay</v>
      </c>
    </row>
    <row r="1237" spans="1:11" x14ac:dyDescent="0.3">
      <c r="A1237" t="s">
        <v>3942</v>
      </c>
      <c r="B1237" t="s">
        <v>2717</v>
      </c>
      <c r="C1237" t="s">
        <v>12</v>
      </c>
      <c r="D1237" t="s">
        <v>1329</v>
      </c>
      <c r="E1237" t="s">
        <v>48</v>
      </c>
      <c r="F1237" t="s">
        <v>3943</v>
      </c>
      <c r="G1237" t="s">
        <v>239</v>
      </c>
      <c r="H1237" t="s">
        <v>1020</v>
      </c>
      <c r="I1237">
        <f t="shared" si="19"/>
        <v>1</v>
      </c>
      <c r="J1237" t="s">
        <v>18</v>
      </c>
      <c r="K1237" t="str" cm="1">
        <f t="array" ref="K1237">_xlfn.SWITCH(TRIM(UPPER(J1237)),
"BUSINESS", "Short Stay",
"CONFERENCE", "Medium Stay",
"VACATION", "Iong Stay",
"HOLIDAY", "Long Stay",
"V", "Leisure",
"UNKNOWN", "Unknown",
"Other")</f>
        <v>Short Stay</v>
      </c>
    </row>
    <row r="1238" spans="1:11" x14ac:dyDescent="0.3">
      <c r="A1238" t="s">
        <v>3944</v>
      </c>
      <c r="B1238" t="s">
        <v>1817</v>
      </c>
      <c r="C1238" t="s">
        <v>174</v>
      </c>
      <c r="D1238" t="s">
        <v>1694</v>
      </c>
      <c r="E1238" t="s">
        <v>149</v>
      </c>
      <c r="F1238" t="s">
        <v>3945</v>
      </c>
      <c r="G1238" t="s">
        <v>984</v>
      </c>
      <c r="H1238" t="s">
        <v>780</v>
      </c>
      <c r="I1238">
        <f t="shared" si="19"/>
        <v>2</v>
      </c>
      <c r="J1238" t="s">
        <v>27</v>
      </c>
      <c r="K1238" t="str" cm="1">
        <f t="array" ref="K1238">_xlfn.SWITCH(TRIM(UPPER(J1238)),
"BUSINESS", "Short Stay",
"CONFERENCE", "Medium Stay",
"VACATION", "Iong Stay",
"HOLIDAY", "Long Stay",
"V", "Leisure",
"UNKNOWN", "Unknown",
"Other")</f>
        <v>Medium Stay</v>
      </c>
    </row>
    <row r="1239" spans="1:11" x14ac:dyDescent="0.3">
      <c r="A1239" t="s">
        <v>3946</v>
      </c>
      <c r="B1239" t="s">
        <v>294</v>
      </c>
      <c r="C1239" t="s">
        <v>38</v>
      </c>
      <c r="D1239" t="s">
        <v>3759</v>
      </c>
      <c r="E1239" t="s">
        <v>77</v>
      </c>
      <c r="F1239" t="s">
        <v>3947</v>
      </c>
      <c r="G1239" t="s">
        <v>297</v>
      </c>
      <c r="H1239" t="s">
        <v>227</v>
      </c>
      <c r="I1239">
        <f t="shared" si="19"/>
        <v>2</v>
      </c>
      <c r="J1239" t="s">
        <v>18</v>
      </c>
      <c r="K1239" t="str" cm="1">
        <f t="array" ref="K1239">_xlfn.SWITCH(TRIM(UPPER(J1239)),
"BUSINESS", "Short Stay",
"CONFERENCE", "Medium Stay",
"VACATION", "Iong Stay",
"HOLIDAY", "Long Stay",
"V", "Leisure",
"UNKNOWN", "Unknown",
"Other")</f>
        <v>Short Stay</v>
      </c>
    </row>
    <row r="1240" spans="1:11" x14ac:dyDescent="0.3">
      <c r="A1240" t="s">
        <v>3948</v>
      </c>
      <c r="B1240" t="s">
        <v>96</v>
      </c>
      <c r="C1240" t="s">
        <v>21</v>
      </c>
      <c r="D1240" t="s">
        <v>3949</v>
      </c>
      <c r="E1240" t="s">
        <v>476</v>
      </c>
      <c r="F1240" t="s">
        <v>3950</v>
      </c>
      <c r="G1240" t="s">
        <v>100</v>
      </c>
      <c r="H1240" t="s">
        <v>448</v>
      </c>
      <c r="I1240">
        <f t="shared" si="19"/>
        <v>1</v>
      </c>
      <c r="J1240" t="s">
        <v>18</v>
      </c>
      <c r="K1240" t="str" cm="1">
        <f t="array" ref="K1240">_xlfn.SWITCH(TRIM(UPPER(J1240)),
"BUSINESS", "Short Stay",
"CONFERENCE", "Medium Stay",
"VACATION", "Iong Stay",
"HOLIDAY", "Long Stay",
"V", "Leisure",
"UNKNOWN", "Unknown",
"Other")</f>
        <v>Short Stay</v>
      </c>
    </row>
    <row r="1241" spans="1:11" x14ac:dyDescent="0.3">
      <c r="A1241" t="s">
        <v>3951</v>
      </c>
      <c r="B1241" t="s">
        <v>1412</v>
      </c>
      <c r="C1241" t="s">
        <v>174</v>
      </c>
      <c r="D1241" t="s">
        <v>1107</v>
      </c>
      <c r="E1241" t="s">
        <v>430</v>
      </c>
      <c r="F1241" t="s">
        <v>3952</v>
      </c>
      <c r="G1241" t="s">
        <v>1414</v>
      </c>
      <c r="H1241" t="s">
        <v>1300</v>
      </c>
      <c r="I1241">
        <f t="shared" si="19"/>
        <v>1</v>
      </c>
      <c r="J1241" t="s">
        <v>44</v>
      </c>
      <c r="K1241" t="str" cm="1">
        <f t="array" ref="K1241">_xlfn.SWITCH(TRIM(UPPER(J1241)),
"BUSINESS", "Short Stay",
"CONFERENCE", "Medium Stay",
"VACATION", "Iong Stay",
"HOLIDAY", "Long Stay",
"V", "Leisure",
"UNKNOWN", "Unknown",
"Other")</f>
        <v>Other</v>
      </c>
    </row>
    <row r="1242" spans="1:11" x14ac:dyDescent="0.3">
      <c r="A1242" t="s">
        <v>3953</v>
      </c>
      <c r="B1242" t="s">
        <v>2413</v>
      </c>
      <c r="C1242" t="s">
        <v>38</v>
      </c>
      <c r="D1242" t="s">
        <v>3898</v>
      </c>
      <c r="E1242" t="s">
        <v>546</v>
      </c>
      <c r="F1242" t="s">
        <v>3954</v>
      </c>
      <c r="G1242" t="s">
        <v>739</v>
      </c>
      <c r="H1242" t="s">
        <v>635</v>
      </c>
      <c r="I1242">
        <f t="shared" si="19"/>
        <v>1</v>
      </c>
      <c r="J1242" t="s">
        <v>27</v>
      </c>
      <c r="K1242" t="str" cm="1">
        <f t="array" ref="K1242">_xlfn.SWITCH(TRIM(UPPER(J1242)),
"BUSINESS", "Short Stay",
"CONFERENCE", "Medium Stay",
"VACATION", "Iong Stay",
"HOLIDAY", "Long Stay",
"V", "Leisure",
"UNKNOWN", "Unknown",
"Other")</f>
        <v>Medium Stay</v>
      </c>
    </row>
    <row r="1243" spans="1:11" x14ac:dyDescent="0.3">
      <c r="A1243" t="s">
        <v>3955</v>
      </c>
      <c r="B1243" t="s">
        <v>809</v>
      </c>
      <c r="C1243" t="s">
        <v>75</v>
      </c>
      <c r="D1243" t="s">
        <v>3956</v>
      </c>
      <c r="E1243" t="s">
        <v>149</v>
      </c>
      <c r="F1243" t="s">
        <v>3957</v>
      </c>
      <c r="G1243" t="s">
        <v>812</v>
      </c>
      <c r="H1243" t="s">
        <v>813</v>
      </c>
      <c r="I1243">
        <f t="shared" si="19"/>
        <v>1</v>
      </c>
      <c r="J1243" t="s">
        <v>44</v>
      </c>
      <c r="K1243" t="str" cm="1">
        <f t="array" ref="K1243">_xlfn.SWITCH(TRIM(UPPER(J1243)),
"BUSINESS", "Short Stay",
"CONFERENCE", "Medium Stay",
"VACATION", "Iong Stay",
"HOLIDAY", "Long Stay",
"V", "Leisure",
"UNKNOWN", "Unknown",
"Other")</f>
        <v>Other</v>
      </c>
    </row>
    <row r="1244" spans="1:11" x14ac:dyDescent="0.3">
      <c r="A1244" t="s">
        <v>3958</v>
      </c>
      <c r="B1244" t="s">
        <v>2513</v>
      </c>
      <c r="C1244" t="s">
        <v>83</v>
      </c>
      <c r="D1244" t="s">
        <v>3159</v>
      </c>
      <c r="E1244" t="s">
        <v>156</v>
      </c>
      <c r="F1244" t="s">
        <v>3959</v>
      </c>
      <c r="G1244" t="s">
        <v>2516</v>
      </c>
      <c r="H1244" t="s">
        <v>2517</v>
      </c>
      <c r="I1244">
        <f t="shared" si="19"/>
        <v>2</v>
      </c>
      <c r="J1244" t="s">
        <v>44</v>
      </c>
      <c r="K1244" t="str" cm="1">
        <f t="array" ref="K1244">_xlfn.SWITCH(TRIM(UPPER(J1244)),
"BUSINESS", "Short Stay",
"CONFERENCE", "Medium Stay",
"VACATION", "Iong Stay",
"HOLIDAY", "Long Stay",
"V", "Leisure",
"UNKNOWN", "Unknown",
"Other")</f>
        <v>Other</v>
      </c>
    </row>
    <row r="1245" spans="1:11" x14ac:dyDescent="0.3">
      <c r="A1245" t="s">
        <v>3960</v>
      </c>
      <c r="B1245" t="s">
        <v>2356</v>
      </c>
      <c r="C1245" t="s">
        <v>75</v>
      </c>
      <c r="D1245" t="s">
        <v>3914</v>
      </c>
      <c r="E1245" t="s">
        <v>63</v>
      </c>
      <c r="F1245" t="s">
        <v>3961</v>
      </c>
      <c r="G1245" t="s">
        <v>856</v>
      </c>
      <c r="H1245" t="s">
        <v>775</v>
      </c>
      <c r="I1245">
        <f t="shared" si="19"/>
        <v>4</v>
      </c>
      <c r="J1245" t="s">
        <v>121</v>
      </c>
      <c r="K1245" t="str" cm="1">
        <f t="array" ref="K1245">_xlfn.SWITCH(TRIM(UPPER(J1245)),
"BUSINESS", "Short Stay",
"CONFERENCE", "Medium Stay",
"VACATION", "Iong Stay",
"HOLIDAY", "Long Stay",
"V", "Leisure",
"UNKNOWN", "Unknown",
"Other")</f>
        <v>Iong Stay</v>
      </c>
    </row>
    <row r="1246" spans="1:11" x14ac:dyDescent="0.3">
      <c r="A1246" t="s">
        <v>3962</v>
      </c>
      <c r="B1246" t="s">
        <v>1656</v>
      </c>
      <c r="C1246" t="s">
        <v>174</v>
      </c>
      <c r="D1246" t="s">
        <v>3963</v>
      </c>
      <c r="E1246" t="s">
        <v>156</v>
      </c>
      <c r="F1246" t="s">
        <v>3964</v>
      </c>
      <c r="G1246" t="s">
        <v>1659</v>
      </c>
      <c r="H1246" t="s">
        <v>244</v>
      </c>
      <c r="I1246">
        <f t="shared" si="19"/>
        <v>3</v>
      </c>
      <c r="J1246" t="s">
        <v>18</v>
      </c>
      <c r="K1246" t="str" cm="1">
        <f t="array" ref="K1246">_xlfn.SWITCH(TRIM(UPPER(J1246)),
"BUSINESS", "Short Stay",
"CONFERENCE", "Medium Stay",
"VACATION", "Iong Stay",
"HOLIDAY", "Long Stay",
"V", "Leisure",
"UNKNOWN", "Unknown",
"Other")</f>
        <v>Short Stay</v>
      </c>
    </row>
    <row r="1247" spans="1:11" x14ac:dyDescent="0.3">
      <c r="A1247" t="s">
        <v>3965</v>
      </c>
      <c r="B1247" t="s">
        <v>3966</v>
      </c>
      <c r="C1247" t="s">
        <v>75</v>
      </c>
      <c r="D1247" t="s">
        <v>2055</v>
      </c>
      <c r="E1247" t="s">
        <v>14</v>
      </c>
      <c r="F1247" t="s">
        <v>3967</v>
      </c>
      <c r="G1247" t="s">
        <v>145</v>
      </c>
      <c r="H1247" t="s">
        <v>725</v>
      </c>
      <c r="I1247">
        <f t="shared" si="19"/>
        <v>1</v>
      </c>
      <c r="J1247" t="s">
        <v>18</v>
      </c>
      <c r="K1247" t="str" cm="1">
        <f t="array" ref="K1247">_xlfn.SWITCH(TRIM(UPPER(J1247)),
"BUSINESS", "Short Stay",
"CONFERENCE", "Medium Stay",
"VACATION", "Iong Stay",
"HOLIDAY", "Long Stay",
"V", "Leisure",
"UNKNOWN", "Unknown",
"Other")</f>
        <v>Short Stay</v>
      </c>
    </row>
    <row r="1248" spans="1:11" x14ac:dyDescent="0.3">
      <c r="A1248" t="s">
        <v>3968</v>
      </c>
      <c r="B1248" t="s">
        <v>401</v>
      </c>
      <c r="C1248" t="s">
        <v>97</v>
      </c>
      <c r="D1248" t="s">
        <v>2828</v>
      </c>
      <c r="E1248" t="s">
        <v>85</v>
      </c>
      <c r="F1248" t="s">
        <v>3969</v>
      </c>
      <c r="G1248" t="s">
        <v>35</v>
      </c>
      <c r="H1248" t="s">
        <v>238</v>
      </c>
      <c r="I1248">
        <f t="shared" si="19"/>
        <v>3</v>
      </c>
      <c r="J1248" t="s">
        <v>44</v>
      </c>
      <c r="K1248" t="str" cm="1">
        <f t="array" ref="K1248">_xlfn.SWITCH(TRIM(UPPER(J1248)),
"BUSINESS", "Short Stay",
"CONFERENCE", "Medium Stay",
"VACATION", "Iong Stay",
"HOLIDAY", "Long Stay",
"V", "Leisure",
"UNKNOWN", "Unknown",
"Other")</f>
        <v>Other</v>
      </c>
    </row>
    <row r="1249" spans="1:11" x14ac:dyDescent="0.3">
      <c r="A1249" t="s">
        <v>3970</v>
      </c>
      <c r="B1249" t="s">
        <v>1222</v>
      </c>
      <c r="C1249" t="s">
        <v>54</v>
      </c>
      <c r="D1249" t="s">
        <v>778</v>
      </c>
      <c r="E1249" t="s">
        <v>85</v>
      </c>
      <c r="F1249" t="s">
        <v>3971</v>
      </c>
      <c r="G1249" t="s">
        <v>1225</v>
      </c>
      <c r="H1249" t="s">
        <v>1096</v>
      </c>
      <c r="I1249">
        <f t="shared" si="19"/>
        <v>2</v>
      </c>
      <c r="J1249" t="s">
        <v>121</v>
      </c>
      <c r="K1249" t="str" cm="1">
        <f t="array" ref="K1249">_xlfn.SWITCH(TRIM(UPPER(J1249)),
"BUSINESS", "Short Stay",
"CONFERENCE", "Medium Stay",
"VACATION", "Iong Stay",
"HOLIDAY", "Long Stay",
"V", "Leisure",
"UNKNOWN", "Unknown",
"Other")</f>
        <v>Iong Stay</v>
      </c>
    </row>
    <row r="1250" spans="1:11" x14ac:dyDescent="0.3">
      <c r="A1250" t="s">
        <v>3972</v>
      </c>
      <c r="B1250" t="s">
        <v>3973</v>
      </c>
      <c r="C1250" t="s">
        <v>38</v>
      </c>
      <c r="D1250" t="s">
        <v>3974</v>
      </c>
      <c r="E1250" t="s">
        <v>430</v>
      </c>
      <c r="F1250" t="s">
        <v>3975</v>
      </c>
      <c r="G1250" t="s">
        <v>1109</v>
      </c>
      <c r="H1250" t="s">
        <v>758</v>
      </c>
      <c r="I1250">
        <f t="shared" si="19"/>
        <v>4</v>
      </c>
      <c r="J1250" t="s">
        <v>18</v>
      </c>
      <c r="K1250" t="str" cm="1">
        <f t="array" ref="K1250">_xlfn.SWITCH(TRIM(UPPER(J1250)),
"BUSINESS", "Short Stay",
"CONFERENCE", "Medium Stay",
"VACATION", "Iong Stay",
"HOLIDAY", "Long Stay",
"V", "Leisure",
"UNKNOWN", "Unknown",
"Other")</f>
        <v>Short Stay</v>
      </c>
    </row>
    <row r="1251" spans="1:11" x14ac:dyDescent="0.3">
      <c r="A1251" t="s">
        <v>3976</v>
      </c>
      <c r="B1251" t="s">
        <v>1102</v>
      </c>
      <c r="C1251" t="s">
        <v>61</v>
      </c>
      <c r="D1251" t="s">
        <v>446</v>
      </c>
      <c r="E1251" t="s">
        <v>176</v>
      </c>
      <c r="F1251" t="s">
        <v>3977</v>
      </c>
      <c r="G1251" t="s">
        <v>1105</v>
      </c>
      <c r="H1251" t="s">
        <v>151</v>
      </c>
      <c r="I1251">
        <f t="shared" si="19"/>
        <v>5</v>
      </c>
      <c r="J1251" t="s">
        <v>18</v>
      </c>
      <c r="K1251" t="str" cm="1">
        <f t="array" ref="K1251">_xlfn.SWITCH(TRIM(UPPER(J1251)),
"BUSINESS", "Short Stay",
"CONFERENCE", "Medium Stay",
"VACATION", "Iong Stay",
"HOLIDAY", "Long Stay",
"V", "Leisure",
"UNKNOWN", "Unknown",
"Other")</f>
        <v>Short Stay</v>
      </c>
    </row>
    <row r="1252" spans="1:11" x14ac:dyDescent="0.3">
      <c r="A1252" t="s">
        <v>3978</v>
      </c>
      <c r="B1252" t="s">
        <v>1192</v>
      </c>
      <c r="C1252" t="s">
        <v>174</v>
      </c>
      <c r="D1252" t="s">
        <v>3979</v>
      </c>
      <c r="E1252" t="s">
        <v>77</v>
      </c>
      <c r="F1252" t="s">
        <v>3980</v>
      </c>
      <c r="G1252" t="s">
        <v>1195</v>
      </c>
      <c r="H1252" t="s">
        <v>994</v>
      </c>
      <c r="I1252">
        <f t="shared" si="19"/>
        <v>4</v>
      </c>
      <c r="J1252" t="s">
        <v>121</v>
      </c>
      <c r="K1252" t="str" cm="1">
        <f t="array" ref="K1252">_xlfn.SWITCH(TRIM(UPPER(J1252)),
"BUSINESS", "Short Stay",
"CONFERENCE", "Medium Stay",
"VACATION", "Iong Stay",
"HOLIDAY", "Long Stay",
"V", "Leisure",
"UNKNOWN", "Unknown",
"Other")</f>
        <v>Iong Stay</v>
      </c>
    </row>
    <row r="1253" spans="1:11" x14ac:dyDescent="0.3">
      <c r="A1253" t="s">
        <v>3981</v>
      </c>
      <c r="B1253" t="s">
        <v>2146</v>
      </c>
      <c r="C1253" t="s">
        <v>75</v>
      </c>
      <c r="D1253" t="s">
        <v>2281</v>
      </c>
      <c r="E1253" t="s">
        <v>176</v>
      </c>
      <c r="F1253" t="s">
        <v>3982</v>
      </c>
      <c r="G1253" t="s">
        <v>328</v>
      </c>
      <c r="H1253" t="s">
        <v>1575</v>
      </c>
      <c r="I1253">
        <f t="shared" si="19"/>
        <v>5</v>
      </c>
      <c r="J1253" t="s">
        <v>44</v>
      </c>
      <c r="K1253" t="str" cm="1">
        <f t="array" ref="K1253">_xlfn.SWITCH(TRIM(UPPER(J1253)),
"BUSINESS", "Short Stay",
"CONFERENCE", "Medium Stay",
"VACATION", "Iong Stay",
"HOLIDAY", "Long Stay",
"V", "Leisure",
"UNKNOWN", "Unknown",
"Other")</f>
        <v>Other</v>
      </c>
    </row>
    <row r="1254" spans="1:11" x14ac:dyDescent="0.3">
      <c r="A1254" t="s">
        <v>3983</v>
      </c>
      <c r="B1254" t="s">
        <v>1627</v>
      </c>
      <c r="C1254" t="s">
        <v>54</v>
      </c>
      <c r="D1254" t="s">
        <v>3984</v>
      </c>
      <c r="E1254" t="s">
        <v>314</v>
      </c>
      <c r="F1254" t="s">
        <v>3985</v>
      </c>
      <c r="G1254" t="s">
        <v>185</v>
      </c>
      <c r="H1254" t="s">
        <v>34</v>
      </c>
      <c r="I1254">
        <f t="shared" si="19"/>
        <v>4</v>
      </c>
      <c r="J1254" t="s">
        <v>27</v>
      </c>
      <c r="K1254" t="str" cm="1">
        <f t="array" ref="K1254">_xlfn.SWITCH(TRIM(UPPER(J1254)),
"BUSINESS", "Short Stay",
"CONFERENCE", "Medium Stay",
"VACATION", "Iong Stay",
"HOLIDAY", "Long Stay",
"V", "Leisure",
"UNKNOWN", "Unknown",
"Other")</f>
        <v>Medium Stay</v>
      </c>
    </row>
    <row r="1255" spans="1:11" x14ac:dyDescent="0.3">
      <c r="A1255" t="s">
        <v>3986</v>
      </c>
      <c r="B1255" t="s">
        <v>1667</v>
      </c>
      <c r="C1255" t="s">
        <v>54</v>
      </c>
      <c r="D1255" t="s">
        <v>435</v>
      </c>
      <c r="E1255" t="s">
        <v>40</v>
      </c>
      <c r="F1255" t="s">
        <v>3987</v>
      </c>
      <c r="G1255" t="s">
        <v>1670</v>
      </c>
      <c r="H1255" t="s">
        <v>705</v>
      </c>
      <c r="I1255">
        <f t="shared" si="19"/>
        <v>4</v>
      </c>
      <c r="J1255" t="s">
        <v>27</v>
      </c>
      <c r="K1255" t="str" cm="1">
        <f t="array" ref="K1255">_xlfn.SWITCH(TRIM(UPPER(J1255)),
"BUSINESS", "Short Stay",
"CONFERENCE", "Medium Stay",
"VACATION", "Iong Stay",
"HOLIDAY", "Long Stay",
"V", "Leisure",
"UNKNOWN", "Unknown",
"Other")</f>
        <v>Medium Stay</v>
      </c>
    </row>
    <row r="1256" spans="1:11" x14ac:dyDescent="0.3">
      <c r="A1256" t="s">
        <v>3988</v>
      </c>
      <c r="B1256" t="s">
        <v>1487</v>
      </c>
      <c r="C1256" t="s">
        <v>38</v>
      </c>
      <c r="D1256" t="s">
        <v>1939</v>
      </c>
      <c r="E1256" t="s">
        <v>32</v>
      </c>
      <c r="F1256" t="s">
        <v>3989</v>
      </c>
      <c r="G1256" t="s">
        <v>438</v>
      </c>
      <c r="H1256" t="s">
        <v>1505</v>
      </c>
      <c r="I1256">
        <f t="shared" si="19"/>
        <v>4</v>
      </c>
      <c r="J1256" t="s">
        <v>27</v>
      </c>
      <c r="K1256" t="str" cm="1">
        <f t="array" ref="K1256">_xlfn.SWITCH(TRIM(UPPER(J1256)),
"BUSINESS", "Short Stay",
"CONFERENCE", "Medium Stay",
"VACATION", "Iong Stay",
"HOLIDAY", "Long Stay",
"V", "Leisure",
"UNKNOWN", "Unknown",
"Other")</f>
        <v>Medium Stay</v>
      </c>
    </row>
    <row r="1257" spans="1:11" x14ac:dyDescent="0.3">
      <c r="A1257" t="s">
        <v>3990</v>
      </c>
      <c r="B1257" t="s">
        <v>1412</v>
      </c>
      <c r="C1257" t="s">
        <v>174</v>
      </c>
      <c r="D1257" t="s">
        <v>429</v>
      </c>
      <c r="E1257" t="s">
        <v>69</v>
      </c>
      <c r="F1257" t="s">
        <v>3991</v>
      </c>
      <c r="G1257" t="s">
        <v>1414</v>
      </c>
      <c r="H1257" t="s">
        <v>1208</v>
      </c>
      <c r="I1257">
        <f t="shared" si="19"/>
        <v>5</v>
      </c>
      <c r="J1257" t="s">
        <v>18</v>
      </c>
      <c r="K1257" t="str" cm="1">
        <f t="array" ref="K1257">_xlfn.SWITCH(TRIM(UPPER(J1257)),
"BUSINESS", "Short Stay",
"CONFERENCE", "Medium Stay",
"VACATION", "Iong Stay",
"HOLIDAY", "Long Stay",
"V", "Leisure",
"UNKNOWN", "Unknown",
"Other")</f>
        <v>Short Stay</v>
      </c>
    </row>
    <row r="1258" spans="1:11" x14ac:dyDescent="0.3">
      <c r="A1258" t="s">
        <v>3992</v>
      </c>
      <c r="B1258" t="s">
        <v>1277</v>
      </c>
      <c r="C1258" t="s">
        <v>12</v>
      </c>
      <c r="D1258" t="s">
        <v>116</v>
      </c>
      <c r="E1258" t="s">
        <v>214</v>
      </c>
      <c r="F1258" t="s">
        <v>3993</v>
      </c>
      <c r="G1258" t="s">
        <v>1280</v>
      </c>
      <c r="H1258" t="s">
        <v>392</v>
      </c>
      <c r="I1258">
        <f t="shared" si="19"/>
        <v>2</v>
      </c>
      <c r="J1258" t="s">
        <v>44</v>
      </c>
      <c r="K1258" t="str" cm="1">
        <f t="array" ref="K1258">_xlfn.SWITCH(TRIM(UPPER(J1258)),
"BUSINESS", "Short Stay",
"CONFERENCE", "Medium Stay",
"VACATION", "Iong Stay",
"HOLIDAY", "Long Stay",
"V", "Leisure",
"UNKNOWN", "Unknown",
"Other")</f>
        <v>Other</v>
      </c>
    </row>
    <row r="1259" spans="1:11" x14ac:dyDescent="0.3">
      <c r="A1259" t="s">
        <v>3994</v>
      </c>
      <c r="B1259" t="s">
        <v>1698</v>
      </c>
      <c r="C1259" t="s">
        <v>38</v>
      </c>
      <c r="D1259" t="s">
        <v>3995</v>
      </c>
      <c r="E1259" t="s">
        <v>48</v>
      </c>
      <c r="F1259" t="s">
        <v>3996</v>
      </c>
      <c r="G1259" t="s">
        <v>759</v>
      </c>
      <c r="H1259" t="s">
        <v>2628</v>
      </c>
      <c r="I1259">
        <f t="shared" si="19"/>
        <v>1</v>
      </c>
      <c r="J1259" t="s">
        <v>27</v>
      </c>
      <c r="K1259" t="str" cm="1">
        <f t="array" ref="K1259">_xlfn.SWITCH(TRIM(UPPER(J1259)),
"BUSINESS", "Short Stay",
"CONFERENCE", "Medium Stay",
"VACATION", "Iong Stay",
"HOLIDAY", "Long Stay",
"V", "Leisure",
"UNKNOWN", "Unknown",
"Other")</f>
        <v>Medium Stay</v>
      </c>
    </row>
    <row r="1260" spans="1:11" x14ac:dyDescent="0.3">
      <c r="A1260" t="s">
        <v>3997</v>
      </c>
      <c r="B1260" t="s">
        <v>3252</v>
      </c>
      <c r="C1260" t="s">
        <v>174</v>
      </c>
      <c r="D1260" t="s">
        <v>2037</v>
      </c>
      <c r="E1260" t="s">
        <v>48</v>
      </c>
      <c r="F1260" t="s">
        <v>3998</v>
      </c>
      <c r="G1260" t="s">
        <v>2870</v>
      </c>
      <c r="H1260" t="s">
        <v>203</v>
      </c>
      <c r="I1260">
        <f t="shared" si="19"/>
        <v>2</v>
      </c>
      <c r="J1260" t="s">
        <v>44</v>
      </c>
      <c r="K1260" t="str" cm="1">
        <f t="array" ref="K1260">_xlfn.SWITCH(TRIM(UPPER(J1260)),
"BUSINESS", "Short Stay",
"CONFERENCE", "Medium Stay",
"VACATION", "Iong Stay",
"HOLIDAY", "Long Stay",
"V", "Leisure",
"UNKNOWN", "Unknown",
"Other")</f>
        <v>Other</v>
      </c>
    </row>
    <row r="1261" spans="1:11" x14ac:dyDescent="0.3">
      <c r="A1261" t="s">
        <v>3999</v>
      </c>
      <c r="B1261" t="s">
        <v>257</v>
      </c>
      <c r="C1261" t="s">
        <v>12</v>
      </c>
      <c r="D1261" t="s">
        <v>4000</v>
      </c>
      <c r="E1261" t="s">
        <v>32</v>
      </c>
      <c r="F1261" t="s">
        <v>4001</v>
      </c>
      <c r="G1261" t="s">
        <v>260</v>
      </c>
      <c r="H1261" t="s">
        <v>1768</v>
      </c>
      <c r="I1261">
        <f t="shared" si="19"/>
        <v>1</v>
      </c>
      <c r="J1261" t="s">
        <v>121</v>
      </c>
      <c r="K1261" t="str" cm="1">
        <f t="array" ref="K1261">_xlfn.SWITCH(TRIM(UPPER(J1261)),
"BUSINESS", "Short Stay",
"CONFERENCE", "Medium Stay",
"VACATION", "Iong Stay",
"HOLIDAY", "Long Stay",
"V", "Leisure",
"UNKNOWN", "Unknown",
"Other")</f>
        <v>Iong Stay</v>
      </c>
    </row>
    <row r="1262" spans="1:11" x14ac:dyDescent="0.3">
      <c r="A1262" t="s">
        <v>4002</v>
      </c>
      <c r="B1262" t="s">
        <v>2374</v>
      </c>
      <c r="C1262" t="s">
        <v>61</v>
      </c>
      <c r="D1262" t="s">
        <v>4003</v>
      </c>
      <c r="E1262" t="s">
        <v>85</v>
      </c>
      <c r="F1262" t="s">
        <v>4004</v>
      </c>
      <c r="G1262" t="s">
        <v>113</v>
      </c>
      <c r="H1262" t="s">
        <v>1151</v>
      </c>
      <c r="I1262">
        <f t="shared" si="19"/>
        <v>5</v>
      </c>
      <c r="J1262" t="s">
        <v>27</v>
      </c>
      <c r="K1262" t="str" cm="1">
        <f t="array" ref="K1262">_xlfn.SWITCH(TRIM(UPPER(J1262)),
"BUSINESS", "Short Stay",
"CONFERENCE", "Medium Stay",
"VACATION", "Iong Stay",
"HOLIDAY", "Long Stay",
"V", "Leisure",
"UNKNOWN", "Unknown",
"Other")</f>
        <v>Medium Stay</v>
      </c>
    </row>
    <row r="1263" spans="1:11" x14ac:dyDescent="0.3">
      <c r="A1263" t="s">
        <v>4005</v>
      </c>
      <c r="B1263" t="s">
        <v>1849</v>
      </c>
      <c r="C1263" t="s">
        <v>61</v>
      </c>
      <c r="D1263" t="s">
        <v>4006</v>
      </c>
      <c r="E1263" t="s">
        <v>149</v>
      </c>
      <c r="F1263" t="s">
        <v>4007</v>
      </c>
      <c r="G1263" t="s">
        <v>1611</v>
      </c>
      <c r="H1263" t="s">
        <v>344</v>
      </c>
      <c r="I1263">
        <f t="shared" si="19"/>
        <v>4</v>
      </c>
      <c r="J1263" t="s">
        <v>18</v>
      </c>
      <c r="K1263" t="str" cm="1">
        <f t="array" ref="K1263">_xlfn.SWITCH(TRIM(UPPER(J1263)),
"BUSINESS", "Short Stay",
"CONFERENCE", "Medium Stay",
"VACATION", "Iong Stay",
"HOLIDAY", "Long Stay",
"V", "Leisure",
"UNKNOWN", "Unknown",
"Other")</f>
        <v>Short Stay</v>
      </c>
    </row>
    <row r="1264" spans="1:11" x14ac:dyDescent="0.3">
      <c r="A1264" t="s">
        <v>4008</v>
      </c>
      <c r="B1264" t="s">
        <v>1454</v>
      </c>
      <c r="C1264" t="s">
        <v>75</v>
      </c>
      <c r="D1264" t="s">
        <v>4009</v>
      </c>
      <c r="E1264" t="s">
        <v>149</v>
      </c>
      <c r="F1264" t="s">
        <v>4010</v>
      </c>
      <c r="G1264" t="s">
        <v>1456</v>
      </c>
      <c r="H1264" t="s">
        <v>625</v>
      </c>
      <c r="I1264">
        <f t="shared" si="19"/>
        <v>3</v>
      </c>
      <c r="J1264" t="s">
        <v>121</v>
      </c>
      <c r="K1264" t="str" cm="1">
        <f t="array" ref="K1264">_xlfn.SWITCH(TRIM(UPPER(J1264)),
"BUSINESS", "Short Stay",
"CONFERENCE", "Medium Stay",
"VACATION", "Iong Stay",
"HOLIDAY", "Long Stay",
"V", "Leisure",
"UNKNOWN", "Unknown",
"Other")</f>
        <v>Iong Stay</v>
      </c>
    </row>
    <row r="1265" spans="1:11" x14ac:dyDescent="0.3">
      <c r="A1265" t="s">
        <v>4011</v>
      </c>
      <c r="B1265" t="s">
        <v>1222</v>
      </c>
      <c r="C1265" t="s">
        <v>12</v>
      </c>
      <c r="D1265" t="s">
        <v>607</v>
      </c>
      <c r="E1265" t="s">
        <v>476</v>
      </c>
      <c r="F1265" t="s">
        <v>4012</v>
      </c>
      <c r="G1265" t="s">
        <v>1225</v>
      </c>
      <c r="H1265" t="s">
        <v>685</v>
      </c>
      <c r="I1265">
        <f t="shared" si="19"/>
        <v>3</v>
      </c>
      <c r="J1265" t="s">
        <v>18</v>
      </c>
      <c r="K1265" t="str" cm="1">
        <f t="array" ref="K1265">_xlfn.SWITCH(TRIM(UPPER(J1265)),
"BUSINESS", "Short Stay",
"CONFERENCE", "Medium Stay",
"VACATION", "Iong Stay",
"HOLIDAY", "Long Stay",
"V", "Leisure",
"UNKNOWN", "Unknown",
"Other")</f>
        <v>Short Stay</v>
      </c>
    </row>
    <row r="1266" spans="1:11" x14ac:dyDescent="0.3">
      <c r="A1266" t="s">
        <v>4013</v>
      </c>
      <c r="B1266" t="s">
        <v>1245</v>
      </c>
      <c r="C1266" t="s">
        <v>174</v>
      </c>
      <c r="D1266" t="s">
        <v>3852</v>
      </c>
      <c r="E1266" t="s">
        <v>48</v>
      </c>
      <c r="F1266" t="s">
        <v>4014</v>
      </c>
      <c r="G1266" t="s">
        <v>1248</v>
      </c>
      <c r="H1266" t="s">
        <v>553</v>
      </c>
      <c r="I1266">
        <f t="shared" si="19"/>
        <v>5</v>
      </c>
      <c r="J1266" t="s">
        <v>121</v>
      </c>
      <c r="K1266" t="str" cm="1">
        <f t="array" ref="K1266">_xlfn.SWITCH(TRIM(UPPER(J1266)),
"BUSINESS", "Short Stay",
"CONFERENCE", "Medium Stay",
"VACATION", "Iong Stay",
"HOLIDAY", "Long Stay",
"V", "Leisure",
"UNKNOWN", "Unknown",
"Other")</f>
        <v>Iong Stay</v>
      </c>
    </row>
    <row r="1267" spans="1:11" x14ac:dyDescent="0.3">
      <c r="A1267" t="s">
        <v>4015</v>
      </c>
      <c r="B1267" t="s">
        <v>766</v>
      </c>
      <c r="C1267" t="s">
        <v>174</v>
      </c>
      <c r="D1267" t="s">
        <v>396</v>
      </c>
      <c r="E1267" t="s">
        <v>214</v>
      </c>
      <c r="F1267" t="s">
        <v>4016</v>
      </c>
      <c r="G1267" t="s">
        <v>769</v>
      </c>
      <c r="H1267" t="s">
        <v>715</v>
      </c>
      <c r="I1267">
        <f t="shared" si="19"/>
        <v>4</v>
      </c>
      <c r="J1267" t="s">
        <v>121</v>
      </c>
      <c r="K1267" t="str" cm="1">
        <f t="array" ref="K1267">_xlfn.SWITCH(TRIM(UPPER(J1267)),
"BUSINESS", "Short Stay",
"CONFERENCE", "Medium Stay",
"VACATION", "Iong Stay",
"HOLIDAY", "Long Stay",
"V", "Leisure",
"UNKNOWN", "Unknown",
"Other")</f>
        <v>Iong Stay</v>
      </c>
    </row>
    <row r="1268" spans="1:11" x14ac:dyDescent="0.3">
      <c r="A1268" t="s">
        <v>4017</v>
      </c>
      <c r="B1268" t="s">
        <v>418</v>
      </c>
      <c r="C1268" t="s">
        <v>174</v>
      </c>
      <c r="D1268" t="s">
        <v>2643</v>
      </c>
      <c r="E1268" t="s">
        <v>40</v>
      </c>
      <c r="F1268" t="s">
        <v>4018</v>
      </c>
      <c r="G1268" t="s">
        <v>421</v>
      </c>
      <c r="H1268" t="s">
        <v>210</v>
      </c>
      <c r="I1268">
        <f t="shared" si="19"/>
        <v>5</v>
      </c>
      <c r="J1268" t="s">
        <v>18</v>
      </c>
      <c r="K1268" t="str" cm="1">
        <f t="array" ref="K1268">_xlfn.SWITCH(TRIM(UPPER(J1268)),
"BUSINESS", "Short Stay",
"CONFERENCE", "Medium Stay",
"VACATION", "Iong Stay",
"HOLIDAY", "Long Stay",
"V", "Leisure",
"UNKNOWN", "Unknown",
"Other")</f>
        <v>Short Stay</v>
      </c>
    </row>
    <row r="1269" spans="1:11" x14ac:dyDescent="0.3">
      <c r="A1269" t="s">
        <v>4019</v>
      </c>
      <c r="B1269" t="s">
        <v>1282</v>
      </c>
      <c r="C1269" t="s">
        <v>12</v>
      </c>
      <c r="D1269" t="s">
        <v>219</v>
      </c>
      <c r="E1269" t="s">
        <v>69</v>
      </c>
      <c r="F1269" t="s">
        <v>4020</v>
      </c>
      <c r="G1269" t="s">
        <v>1285</v>
      </c>
      <c r="H1269" t="s">
        <v>377</v>
      </c>
      <c r="I1269">
        <f t="shared" si="19"/>
        <v>3</v>
      </c>
      <c r="J1269" t="s">
        <v>27</v>
      </c>
      <c r="K1269" t="str" cm="1">
        <f t="array" ref="K1269">_xlfn.SWITCH(TRIM(UPPER(J1269)),
"BUSINESS", "Short Stay",
"CONFERENCE", "Medium Stay",
"VACATION", "Iong Stay",
"HOLIDAY", "Long Stay",
"V", "Leisure",
"UNKNOWN", "Unknown",
"Other")</f>
        <v>Medium Stay</v>
      </c>
    </row>
    <row r="1270" spans="1:11" x14ac:dyDescent="0.3">
      <c r="A1270" t="s">
        <v>4021</v>
      </c>
      <c r="B1270" t="s">
        <v>717</v>
      </c>
      <c r="C1270" t="s">
        <v>83</v>
      </c>
      <c r="D1270" t="s">
        <v>2344</v>
      </c>
      <c r="E1270" t="s">
        <v>476</v>
      </c>
      <c r="F1270" t="s">
        <v>4022</v>
      </c>
      <c r="G1270" t="s">
        <v>719</v>
      </c>
      <c r="H1270" t="s">
        <v>720</v>
      </c>
      <c r="I1270">
        <f t="shared" si="19"/>
        <v>3</v>
      </c>
      <c r="J1270" t="s">
        <v>27</v>
      </c>
      <c r="K1270" t="str" cm="1">
        <f t="array" ref="K1270">_xlfn.SWITCH(TRIM(UPPER(J1270)),
"BUSINESS", "Short Stay",
"CONFERENCE", "Medium Stay",
"VACATION", "Iong Stay",
"HOLIDAY", "Long Stay",
"V", "Leisure",
"UNKNOWN", "Unknown",
"Other")</f>
        <v>Medium Stay</v>
      </c>
    </row>
    <row r="1271" spans="1:11" x14ac:dyDescent="0.3">
      <c r="A1271" t="s">
        <v>4023</v>
      </c>
      <c r="B1271" t="s">
        <v>2025</v>
      </c>
      <c r="C1271" t="s">
        <v>83</v>
      </c>
      <c r="D1271" t="s">
        <v>1051</v>
      </c>
      <c r="E1271" t="s">
        <v>32</v>
      </c>
      <c r="F1271" t="s">
        <v>4024</v>
      </c>
      <c r="G1271" t="s">
        <v>1522</v>
      </c>
      <c r="H1271" t="s">
        <v>577</v>
      </c>
      <c r="I1271">
        <f t="shared" si="19"/>
        <v>3</v>
      </c>
      <c r="J1271" t="s">
        <v>44</v>
      </c>
      <c r="K1271" t="str" cm="1">
        <f t="array" ref="K1271">_xlfn.SWITCH(TRIM(UPPER(J1271)),
"BUSINESS", "Short Stay",
"CONFERENCE", "Medium Stay",
"VACATION", "Iong Stay",
"HOLIDAY", "Long Stay",
"V", "Leisure",
"UNKNOWN", "Unknown",
"Other")</f>
        <v>Other</v>
      </c>
    </row>
    <row r="1272" spans="1:11" x14ac:dyDescent="0.3">
      <c r="A1272" t="s">
        <v>4025</v>
      </c>
      <c r="B1272" t="s">
        <v>1902</v>
      </c>
      <c r="C1272" t="s">
        <v>38</v>
      </c>
      <c r="D1272" t="s">
        <v>4026</v>
      </c>
      <c r="E1272" t="s">
        <v>176</v>
      </c>
      <c r="F1272" t="s">
        <v>4027</v>
      </c>
      <c r="G1272" t="s">
        <v>1905</v>
      </c>
      <c r="H1272" t="s">
        <v>1371</v>
      </c>
      <c r="I1272">
        <f t="shared" si="19"/>
        <v>1</v>
      </c>
      <c r="J1272" t="s">
        <v>121</v>
      </c>
      <c r="K1272" t="str" cm="1">
        <f t="array" ref="K1272">_xlfn.SWITCH(TRIM(UPPER(J1272)),
"BUSINESS", "Short Stay",
"CONFERENCE", "Medium Stay",
"VACATION", "Iong Stay",
"HOLIDAY", "Long Stay",
"V", "Leisure",
"UNKNOWN", "Unknown",
"Other")</f>
        <v>Iong Stay</v>
      </c>
    </row>
    <row r="1273" spans="1:11" x14ac:dyDescent="0.3">
      <c r="A1273" t="s">
        <v>4028</v>
      </c>
      <c r="B1273" t="s">
        <v>1714</v>
      </c>
      <c r="C1273" t="s">
        <v>174</v>
      </c>
      <c r="D1273" t="s">
        <v>1254</v>
      </c>
      <c r="E1273" t="s">
        <v>314</v>
      </c>
      <c r="F1273" t="s">
        <v>4029</v>
      </c>
      <c r="G1273" t="s">
        <v>58</v>
      </c>
      <c r="H1273" t="s">
        <v>599</v>
      </c>
      <c r="I1273">
        <f t="shared" si="19"/>
        <v>1</v>
      </c>
      <c r="J1273" t="s">
        <v>121</v>
      </c>
      <c r="K1273" t="str" cm="1">
        <f t="array" ref="K1273">_xlfn.SWITCH(TRIM(UPPER(J1273)),
"BUSINESS", "Short Stay",
"CONFERENCE", "Medium Stay",
"VACATION", "Iong Stay",
"HOLIDAY", "Long Stay",
"V", "Leisure",
"UNKNOWN", "Unknown",
"Other")</f>
        <v>Iong Stay</v>
      </c>
    </row>
    <row r="1274" spans="1:11" x14ac:dyDescent="0.3">
      <c r="A1274" t="s">
        <v>4030</v>
      </c>
      <c r="B1274" t="s">
        <v>3535</v>
      </c>
      <c r="C1274" t="s">
        <v>12</v>
      </c>
      <c r="D1274" t="s">
        <v>248</v>
      </c>
      <c r="E1274" t="s">
        <v>77</v>
      </c>
      <c r="F1274" t="s">
        <v>2176</v>
      </c>
      <c r="G1274" t="s">
        <v>51</v>
      </c>
      <c r="H1274" t="s">
        <v>1826</v>
      </c>
      <c r="I1274">
        <f t="shared" si="19"/>
        <v>3</v>
      </c>
      <c r="J1274" t="s">
        <v>44</v>
      </c>
      <c r="K1274" t="str" cm="1">
        <f t="array" ref="K1274">_xlfn.SWITCH(TRIM(UPPER(J1274)),
"BUSINESS", "Short Stay",
"CONFERENCE", "Medium Stay",
"VACATION", "Iong Stay",
"HOLIDAY", "Long Stay",
"V", "Leisure",
"UNKNOWN", "Unknown",
"Other")</f>
        <v>Other</v>
      </c>
    </row>
    <row r="1275" spans="1:11" x14ac:dyDescent="0.3">
      <c r="A1275" t="s">
        <v>4031</v>
      </c>
      <c r="B1275" t="s">
        <v>631</v>
      </c>
      <c r="C1275" t="s">
        <v>54</v>
      </c>
      <c r="D1275" t="s">
        <v>3712</v>
      </c>
      <c r="E1275" t="s">
        <v>476</v>
      </c>
      <c r="F1275" t="s">
        <v>4032</v>
      </c>
      <c r="G1275" t="s">
        <v>634</v>
      </c>
      <c r="H1275" t="s">
        <v>512</v>
      </c>
      <c r="I1275">
        <f t="shared" si="19"/>
        <v>1</v>
      </c>
      <c r="J1275" t="s">
        <v>121</v>
      </c>
      <c r="K1275" t="str" cm="1">
        <f t="array" ref="K1275">_xlfn.SWITCH(TRIM(UPPER(J1275)),
"BUSINESS", "Short Stay",
"CONFERENCE", "Medium Stay",
"VACATION", "Iong Stay",
"HOLIDAY", "Long Stay",
"V", "Leisure",
"UNKNOWN", "Unknown",
"Other")</f>
        <v>Iong Stay</v>
      </c>
    </row>
    <row r="1276" spans="1:11" x14ac:dyDescent="0.3">
      <c r="A1276" t="s">
        <v>4033</v>
      </c>
      <c r="B1276" t="s">
        <v>218</v>
      </c>
      <c r="C1276" t="s">
        <v>75</v>
      </c>
      <c r="D1276" t="s">
        <v>4034</v>
      </c>
      <c r="E1276" t="s">
        <v>430</v>
      </c>
      <c r="F1276" t="s">
        <v>4035</v>
      </c>
      <c r="G1276" t="s">
        <v>221</v>
      </c>
      <c r="H1276" t="s">
        <v>1199</v>
      </c>
      <c r="I1276">
        <f t="shared" si="19"/>
        <v>1</v>
      </c>
      <c r="J1276" t="s">
        <v>44</v>
      </c>
      <c r="K1276" t="str" cm="1">
        <f t="array" ref="K1276">_xlfn.SWITCH(TRIM(UPPER(J1276)),
"BUSINESS", "Short Stay",
"CONFERENCE", "Medium Stay",
"VACATION", "Iong Stay",
"HOLIDAY", "Long Stay",
"V", "Leisure",
"UNKNOWN", "Unknown",
"Other")</f>
        <v>Other</v>
      </c>
    </row>
    <row r="1277" spans="1:11" x14ac:dyDescent="0.3">
      <c r="A1277" t="s">
        <v>4036</v>
      </c>
      <c r="B1277" t="s">
        <v>1739</v>
      </c>
      <c r="C1277" t="s">
        <v>83</v>
      </c>
      <c r="D1277" t="s">
        <v>1892</v>
      </c>
      <c r="E1277" t="s">
        <v>40</v>
      </c>
      <c r="F1277" t="s">
        <v>3370</v>
      </c>
      <c r="G1277" t="s">
        <v>373</v>
      </c>
      <c r="H1277" t="s">
        <v>72</v>
      </c>
      <c r="I1277">
        <f t="shared" si="19"/>
        <v>1</v>
      </c>
      <c r="J1277" t="s">
        <v>44</v>
      </c>
      <c r="K1277" t="str" cm="1">
        <f t="array" ref="K1277">_xlfn.SWITCH(TRIM(UPPER(J1277)),
"BUSINESS", "Short Stay",
"CONFERENCE", "Medium Stay",
"VACATION", "Iong Stay",
"HOLIDAY", "Long Stay",
"V", "Leisure",
"UNKNOWN", "Unknown",
"Other")</f>
        <v>Other</v>
      </c>
    </row>
    <row r="1278" spans="1:11" x14ac:dyDescent="0.3">
      <c r="A1278" t="s">
        <v>4037</v>
      </c>
      <c r="B1278" t="s">
        <v>3206</v>
      </c>
      <c r="C1278" t="s">
        <v>30</v>
      </c>
      <c r="D1278" t="s">
        <v>4038</v>
      </c>
      <c r="E1278" t="s">
        <v>32</v>
      </c>
      <c r="F1278" t="s">
        <v>4039</v>
      </c>
      <c r="G1278" t="s">
        <v>416</v>
      </c>
      <c r="H1278" t="s">
        <v>1611</v>
      </c>
      <c r="I1278">
        <f t="shared" si="19"/>
        <v>2</v>
      </c>
      <c r="J1278" t="s">
        <v>121</v>
      </c>
      <c r="K1278" t="str" cm="1">
        <f t="array" ref="K1278">_xlfn.SWITCH(TRIM(UPPER(J1278)),
"BUSINESS", "Short Stay",
"CONFERENCE", "Medium Stay",
"VACATION", "Iong Stay",
"HOLIDAY", "Long Stay",
"V", "Leisure",
"UNKNOWN", "Unknown",
"Other")</f>
        <v>Iong Stay</v>
      </c>
    </row>
    <row r="1279" spans="1:11" x14ac:dyDescent="0.3">
      <c r="A1279" t="s">
        <v>4040</v>
      </c>
      <c r="B1279" t="s">
        <v>212</v>
      </c>
      <c r="C1279" t="s">
        <v>30</v>
      </c>
      <c r="D1279" t="s">
        <v>2131</v>
      </c>
      <c r="E1279" t="s">
        <v>214</v>
      </c>
      <c r="F1279" t="s">
        <v>4041</v>
      </c>
      <c r="G1279" t="s">
        <v>165</v>
      </c>
      <c r="H1279" t="s">
        <v>501</v>
      </c>
      <c r="I1279">
        <f t="shared" si="19"/>
        <v>5</v>
      </c>
      <c r="J1279" t="s">
        <v>121</v>
      </c>
      <c r="K1279" t="str" cm="1">
        <f t="array" ref="K1279">_xlfn.SWITCH(TRIM(UPPER(J1279)),
"BUSINESS", "Short Stay",
"CONFERENCE", "Medium Stay",
"VACATION", "Iong Stay",
"HOLIDAY", "Long Stay",
"V", "Leisure",
"UNKNOWN", "Unknown",
"Other")</f>
        <v>Iong Stay</v>
      </c>
    </row>
    <row r="1280" spans="1:11" x14ac:dyDescent="0.3">
      <c r="A1280" t="s">
        <v>4042</v>
      </c>
      <c r="B1280" t="s">
        <v>4043</v>
      </c>
      <c r="C1280" t="s">
        <v>54</v>
      </c>
      <c r="D1280" t="s">
        <v>1488</v>
      </c>
      <c r="E1280" t="s">
        <v>149</v>
      </c>
      <c r="F1280" t="s">
        <v>4044</v>
      </c>
      <c r="G1280" t="s">
        <v>4045</v>
      </c>
      <c r="H1280" t="s">
        <v>1204</v>
      </c>
      <c r="I1280">
        <f t="shared" si="19"/>
        <v>3</v>
      </c>
      <c r="J1280" t="s">
        <v>27</v>
      </c>
      <c r="K1280" t="str" cm="1">
        <f t="array" ref="K1280">_xlfn.SWITCH(TRIM(UPPER(J1280)),
"BUSINESS", "Short Stay",
"CONFERENCE", "Medium Stay",
"VACATION", "Iong Stay",
"HOLIDAY", "Long Stay",
"V", "Leisure",
"UNKNOWN", "Unknown",
"Other")</f>
        <v>Medium Stay</v>
      </c>
    </row>
    <row r="1281" spans="1:11" x14ac:dyDescent="0.3">
      <c r="A1281" t="s">
        <v>4046</v>
      </c>
      <c r="B1281" t="s">
        <v>617</v>
      </c>
      <c r="C1281" t="s">
        <v>54</v>
      </c>
      <c r="D1281" t="s">
        <v>1919</v>
      </c>
      <c r="E1281" t="s">
        <v>546</v>
      </c>
      <c r="F1281" t="s">
        <v>4047</v>
      </c>
      <c r="G1281" t="s">
        <v>620</v>
      </c>
      <c r="H1281" t="s">
        <v>958</v>
      </c>
      <c r="I1281">
        <f t="shared" si="19"/>
        <v>2</v>
      </c>
      <c r="J1281" t="s">
        <v>121</v>
      </c>
      <c r="K1281" t="str" cm="1">
        <f t="array" ref="K1281">_xlfn.SWITCH(TRIM(UPPER(J1281)),
"BUSINESS", "Short Stay",
"CONFERENCE", "Medium Stay",
"VACATION", "Iong Stay",
"HOLIDAY", "Long Stay",
"V", "Leisure",
"UNKNOWN", "Unknown",
"Other")</f>
        <v>Iong Stay</v>
      </c>
    </row>
    <row r="1282" spans="1:11" x14ac:dyDescent="0.3">
      <c r="A1282" t="s">
        <v>4048</v>
      </c>
      <c r="B1282" t="s">
        <v>445</v>
      </c>
      <c r="C1282" t="s">
        <v>83</v>
      </c>
      <c r="D1282" t="s">
        <v>1037</v>
      </c>
      <c r="E1282" t="s">
        <v>14</v>
      </c>
      <c r="F1282" t="s">
        <v>4049</v>
      </c>
      <c r="G1282" t="s">
        <v>448</v>
      </c>
      <c r="H1282" t="s">
        <v>191</v>
      </c>
      <c r="I1282">
        <f t="shared" si="19"/>
        <v>2</v>
      </c>
      <c r="J1282" t="s">
        <v>121</v>
      </c>
      <c r="K1282" t="str" cm="1">
        <f t="array" ref="K1282">_xlfn.SWITCH(TRIM(UPPER(J1282)),
"BUSINESS", "Short Stay",
"CONFERENCE", "Medium Stay",
"VACATION", "Iong Stay",
"HOLIDAY", "Long Stay",
"V", "Leisure",
"UNKNOWN", "Unknown",
"Other")</f>
        <v>Iong Stay</v>
      </c>
    </row>
    <row r="1283" spans="1:11" x14ac:dyDescent="0.3">
      <c r="A1283" t="s">
        <v>4050</v>
      </c>
      <c r="B1283" t="s">
        <v>341</v>
      </c>
      <c r="C1283" t="s">
        <v>30</v>
      </c>
      <c r="D1283" t="s">
        <v>2201</v>
      </c>
      <c r="E1283" t="s">
        <v>14</v>
      </c>
      <c r="F1283" t="s">
        <v>4051</v>
      </c>
      <c r="G1283" t="s">
        <v>344</v>
      </c>
      <c r="H1283" t="s">
        <v>79</v>
      </c>
      <c r="I1283">
        <f t="shared" ref="I1283:I1346" si="20">H1283-G1283</f>
        <v>1</v>
      </c>
      <c r="J1283" t="s">
        <v>44</v>
      </c>
      <c r="K1283" t="str" cm="1">
        <f t="array" ref="K1283">_xlfn.SWITCH(TRIM(UPPER(J1283)),
"BUSINESS", "Short Stay",
"CONFERENCE", "Medium Stay",
"VACATION", "Iong Stay",
"HOLIDAY", "Long Stay",
"V", "Leisure",
"UNKNOWN", "Unknown",
"Other")</f>
        <v>Other</v>
      </c>
    </row>
    <row r="1284" spans="1:11" x14ac:dyDescent="0.3">
      <c r="A1284" t="s">
        <v>4052</v>
      </c>
      <c r="B1284" t="s">
        <v>702</v>
      </c>
      <c r="C1284" t="s">
        <v>30</v>
      </c>
      <c r="D1284" t="s">
        <v>2620</v>
      </c>
      <c r="E1284" t="s">
        <v>14</v>
      </c>
      <c r="F1284" t="s">
        <v>4053</v>
      </c>
      <c r="G1284" t="s">
        <v>705</v>
      </c>
      <c r="H1284" t="s">
        <v>700</v>
      </c>
      <c r="I1284">
        <f t="shared" si="20"/>
        <v>4</v>
      </c>
      <c r="J1284" t="s">
        <v>18</v>
      </c>
      <c r="K1284" t="str" cm="1">
        <f t="array" ref="K1284">_xlfn.SWITCH(TRIM(UPPER(J1284)),
"BUSINESS", "Short Stay",
"CONFERENCE", "Medium Stay",
"VACATION", "Iong Stay",
"HOLIDAY", "Long Stay",
"V", "Leisure",
"UNKNOWN", "Unknown",
"Other")</f>
        <v>Short Stay</v>
      </c>
    </row>
    <row r="1285" spans="1:11" x14ac:dyDescent="0.3">
      <c r="A1285" t="s">
        <v>4054</v>
      </c>
      <c r="B1285" t="s">
        <v>262</v>
      </c>
      <c r="C1285" t="s">
        <v>61</v>
      </c>
      <c r="D1285" t="s">
        <v>3072</v>
      </c>
      <c r="E1285" t="s">
        <v>14</v>
      </c>
      <c r="F1285" t="s">
        <v>4055</v>
      </c>
      <c r="G1285" t="s">
        <v>265</v>
      </c>
      <c r="H1285" t="s">
        <v>473</v>
      </c>
      <c r="I1285">
        <f t="shared" si="20"/>
        <v>2</v>
      </c>
      <c r="J1285" t="s">
        <v>121</v>
      </c>
      <c r="K1285" t="str" cm="1">
        <f t="array" ref="K1285">_xlfn.SWITCH(TRIM(UPPER(J1285)),
"BUSINESS", "Short Stay",
"CONFERENCE", "Medium Stay",
"VACATION", "Iong Stay",
"HOLIDAY", "Long Stay",
"V", "Leisure",
"UNKNOWN", "Unknown",
"Other")</f>
        <v>Iong Stay</v>
      </c>
    </row>
    <row r="1286" spans="1:11" x14ac:dyDescent="0.3">
      <c r="A1286" t="s">
        <v>4056</v>
      </c>
      <c r="B1286" t="s">
        <v>960</v>
      </c>
      <c r="C1286" t="s">
        <v>97</v>
      </c>
      <c r="D1286" t="s">
        <v>1710</v>
      </c>
      <c r="E1286" t="s">
        <v>430</v>
      </c>
      <c r="F1286" t="s">
        <v>4057</v>
      </c>
      <c r="G1286" t="s">
        <v>963</v>
      </c>
      <c r="H1286" t="s">
        <v>328</v>
      </c>
      <c r="I1286">
        <f t="shared" si="20"/>
        <v>1</v>
      </c>
      <c r="J1286" t="s">
        <v>121</v>
      </c>
      <c r="K1286" t="str" cm="1">
        <f t="array" ref="K1286">_xlfn.SWITCH(TRIM(UPPER(J1286)),
"BUSINESS", "Short Stay",
"CONFERENCE", "Medium Stay",
"VACATION", "Iong Stay",
"HOLIDAY", "Long Stay",
"V", "Leisure",
"UNKNOWN", "Unknown",
"Other")</f>
        <v>Iong Stay</v>
      </c>
    </row>
    <row r="1287" spans="1:11" x14ac:dyDescent="0.3">
      <c r="A1287" t="s">
        <v>4058</v>
      </c>
      <c r="B1287" t="s">
        <v>697</v>
      </c>
      <c r="C1287" t="s">
        <v>38</v>
      </c>
      <c r="D1287" t="s">
        <v>4059</v>
      </c>
      <c r="E1287" t="s">
        <v>117</v>
      </c>
      <c r="F1287" t="s">
        <v>4060</v>
      </c>
      <c r="G1287" t="s">
        <v>700</v>
      </c>
      <c r="H1287" t="s">
        <v>593</v>
      </c>
      <c r="I1287">
        <f t="shared" si="20"/>
        <v>5</v>
      </c>
      <c r="J1287" t="s">
        <v>18</v>
      </c>
      <c r="K1287" t="str" cm="1">
        <f t="array" ref="K1287">_xlfn.SWITCH(TRIM(UPPER(J1287)),
"BUSINESS", "Short Stay",
"CONFERENCE", "Medium Stay",
"VACATION", "Iong Stay",
"HOLIDAY", "Long Stay",
"V", "Leisure",
"UNKNOWN", "Unknown",
"Other")</f>
        <v>Short Stay</v>
      </c>
    </row>
    <row r="1288" spans="1:11" x14ac:dyDescent="0.3">
      <c r="A1288" t="s">
        <v>4061</v>
      </c>
      <c r="B1288" t="s">
        <v>892</v>
      </c>
      <c r="C1288" t="s">
        <v>174</v>
      </c>
      <c r="D1288" t="s">
        <v>1873</v>
      </c>
      <c r="E1288" t="s">
        <v>48</v>
      </c>
      <c r="F1288" t="s">
        <v>4062</v>
      </c>
      <c r="G1288" t="s">
        <v>895</v>
      </c>
      <c r="H1288" t="s">
        <v>1248</v>
      </c>
      <c r="I1288">
        <f t="shared" si="20"/>
        <v>2</v>
      </c>
      <c r="J1288" t="s">
        <v>18</v>
      </c>
      <c r="K1288" t="str" cm="1">
        <f t="array" ref="K1288">_xlfn.SWITCH(TRIM(UPPER(J1288)),
"BUSINESS", "Short Stay",
"CONFERENCE", "Medium Stay",
"VACATION", "Iong Stay",
"HOLIDAY", "Long Stay",
"V", "Leisure",
"UNKNOWN", "Unknown",
"Other")</f>
        <v>Short Stay</v>
      </c>
    </row>
    <row r="1289" spans="1:11" x14ac:dyDescent="0.3">
      <c r="A1289" t="s">
        <v>4063</v>
      </c>
      <c r="B1289" t="s">
        <v>129</v>
      </c>
      <c r="C1289" t="s">
        <v>54</v>
      </c>
      <c r="D1289" t="s">
        <v>1702</v>
      </c>
      <c r="E1289" t="s">
        <v>546</v>
      </c>
      <c r="F1289" t="s">
        <v>4064</v>
      </c>
      <c r="G1289" t="s">
        <v>132</v>
      </c>
      <c r="H1289" t="s">
        <v>2516</v>
      </c>
      <c r="I1289">
        <f t="shared" si="20"/>
        <v>3</v>
      </c>
      <c r="J1289" t="s">
        <v>44</v>
      </c>
      <c r="K1289" t="str" cm="1">
        <f t="array" ref="K1289">_xlfn.SWITCH(TRIM(UPPER(J1289)),
"BUSINESS", "Short Stay",
"CONFERENCE", "Medium Stay",
"VACATION", "Iong Stay",
"HOLIDAY", "Long Stay",
"V", "Leisure",
"UNKNOWN", "Unknown",
"Other")</f>
        <v>Other</v>
      </c>
    </row>
    <row r="1290" spans="1:11" x14ac:dyDescent="0.3">
      <c r="A1290" t="s">
        <v>4065</v>
      </c>
      <c r="B1290" t="s">
        <v>141</v>
      </c>
      <c r="C1290" t="s">
        <v>12</v>
      </c>
      <c r="D1290" t="s">
        <v>1137</v>
      </c>
      <c r="E1290" t="s">
        <v>117</v>
      </c>
      <c r="F1290" t="s">
        <v>4066</v>
      </c>
      <c r="G1290" t="s">
        <v>144</v>
      </c>
      <c r="H1290" t="s">
        <v>646</v>
      </c>
      <c r="I1290">
        <f t="shared" si="20"/>
        <v>1</v>
      </c>
      <c r="J1290" t="s">
        <v>27</v>
      </c>
      <c r="K1290" t="str" cm="1">
        <f t="array" ref="K1290">_xlfn.SWITCH(TRIM(UPPER(J1290)),
"BUSINESS", "Short Stay",
"CONFERENCE", "Medium Stay",
"VACATION", "Iong Stay",
"HOLIDAY", "Long Stay",
"V", "Leisure",
"UNKNOWN", "Unknown",
"Other")</f>
        <v>Medium Stay</v>
      </c>
    </row>
    <row r="1291" spans="1:11" x14ac:dyDescent="0.3">
      <c r="A1291" t="s">
        <v>4067</v>
      </c>
      <c r="B1291" t="s">
        <v>3396</v>
      </c>
      <c r="C1291" t="s">
        <v>61</v>
      </c>
      <c r="D1291" t="s">
        <v>4068</v>
      </c>
      <c r="E1291" t="s">
        <v>63</v>
      </c>
      <c r="F1291" t="s">
        <v>4069</v>
      </c>
      <c r="G1291" t="s">
        <v>695</v>
      </c>
      <c r="H1291" t="s">
        <v>88</v>
      </c>
      <c r="I1291">
        <f t="shared" si="20"/>
        <v>1</v>
      </c>
      <c r="J1291" t="s">
        <v>44</v>
      </c>
      <c r="K1291" t="str" cm="1">
        <f t="array" ref="K1291">_xlfn.SWITCH(TRIM(UPPER(J1291)),
"BUSINESS", "Short Stay",
"CONFERENCE", "Medium Stay",
"VACATION", "Iong Stay",
"HOLIDAY", "Long Stay",
"V", "Leisure",
"UNKNOWN", "Unknown",
"Other")</f>
        <v>Other</v>
      </c>
    </row>
    <row r="1292" spans="1:11" x14ac:dyDescent="0.3">
      <c r="A1292" t="s">
        <v>4070</v>
      </c>
      <c r="B1292" t="s">
        <v>465</v>
      </c>
      <c r="C1292" t="s">
        <v>97</v>
      </c>
      <c r="D1292" t="s">
        <v>4071</v>
      </c>
      <c r="E1292" t="s">
        <v>458</v>
      </c>
      <c r="F1292" t="s">
        <v>4072</v>
      </c>
      <c r="G1292" t="s">
        <v>468</v>
      </c>
      <c r="H1292" t="s">
        <v>127</v>
      </c>
      <c r="I1292">
        <f t="shared" si="20"/>
        <v>3</v>
      </c>
      <c r="J1292" t="s">
        <v>44</v>
      </c>
      <c r="K1292" t="str" cm="1">
        <f t="array" ref="K1292">_xlfn.SWITCH(TRIM(UPPER(J1292)),
"BUSINESS", "Short Stay",
"CONFERENCE", "Medium Stay",
"VACATION", "Iong Stay",
"HOLIDAY", "Long Stay",
"V", "Leisure",
"UNKNOWN", "Unknown",
"Other")</f>
        <v>Other</v>
      </c>
    </row>
    <row r="1293" spans="1:11" x14ac:dyDescent="0.3">
      <c r="A1293" t="s">
        <v>4073</v>
      </c>
      <c r="B1293" t="s">
        <v>1855</v>
      </c>
      <c r="C1293" t="s">
        <v>75</v>
      </c>
      <c r="D1293" t="s">
        <v>4074</v>
      </c>
      <c r="E1293" t="s">
        <v>546</v>
      </c>
      <c r="F1293" t="s">
        <v>4075</v>
      </c>
      <c r="G1293" t="s">
        <v>1172</v>
      </c>
      <c r="H1293" t="s">
        <v>1007</v>
      </c>
      <c r="I1293">
        <f t="shared" si="20"/>
        <v>3</v>
      </c>
      <c r="J1293" t="s">
        <v>44</v>
      </c>
      <c r="K1293" t="str" cm="1">
        <f t="array" ref="K1293">_xlfn.SWITCH(TRIM(UPPER(J1293)),
"BUSINESS", "Short Stay",
"CONFERENCE", "Medium Stay",
"VACATION", "Iong Stay",
"HOLIDAY", "Long Stay",
"V", "Leisure",
"UNKNOWN", "Unknown",
"Other")</f>
        <v>Other</v>
      </c>
    </row>
    <row r="1294" spans="1:11" x14ac:dyDescent="0.3">
      <c r="A1294" t="s">
        <v>4076</v>
      </c>
      <c r="B1294" t="s">
        <v>1245</v>
      </c>
      <c r="C1294" t="s">
        <v>38</v>
      </c>
      <c r="D1294" t="s">
        <v>2953</v>
      </c>
      <c r="E1294" t="s">
        <v>176</v>
      </c>
      <c r="F1294" t="s">
        <v>4077</v>
      </c>
      <c r="G1294" t="s">
        <v>1248</v>
      </c>
      <c r="H1294" t="s">
        <v>568</v>
      </c>
      <c r="I1294">
        <f t="shared" si="20"/>
        <v>2</v>
      </c>
      <c r="J1294" t="s">
        <v>27</v>
      </c>
      <c r="K1294" t="str" cm="1">
        <f t="array" ref="K1294">_xlfn.SWITCH(TRIM(UPPER(J1294)),
"BUSINESS", "Short Stay",
"CONFERENCE", "Medium Stay",
"VACATION", "Iong Stay",
"HOLIDAY", "Long Stay",
"V", "Leisure",
"UNKNOWN", "Unknown",
"Other")</f>
        <v>Medium Stay</v>
      </c>
    </row>
    <row r="1295" spans="1:11" x14ac:dyDescent="0.3">
      <c r="A1295" t="s">
        <v>4078</v>
      </c>
      <c r="B1295" t="s">
        <v>1912</v>
      </c>
      <c r="C1295" t="s">
        <v>30</v>
      </c>
      <c r="D1295" t="s">
        <v>610</v>
      </c>
      <c r="E1295" t="s">
        <v>458</v>
      </c>
      <c r="F1295" t="s">
        <v>1910</v>
      </c>
      <c r="G1295" t="s">
        <v>363</v>
      </c>
      <c r="H1295" t="s">
        <v>1833</v>
      </c>
      <c r="I1295">
        <f t="shared" si="20"/>
        <v>4</v>
      </c>
      <c r="J1295" t="s">
        <v>27</v>
      </c>
      <c r="K1295" t="str" cm="1">
        <f t="array" ref="K1295">_xlfn.SWITCH(TRIM(UPPER(J1295)),
"BUSINESS", "Short Stay",
"CONFERENCE", "Medium Stay",
"VACATION", "Iong Stay",
"HOLIDAY", "Long Stay",
"V", "Leisure",
"UNKNOWN", "Unknown",
"Other")</f>
        <v>Medium Stay</v>
      </c>
    </row>
    <row r="1296" spans="1:11" x14ac:dyDescent="0.3">
      <c r="A1296" t="s">
        <v>4079</v>
      </c>
      <c r="B1296" t="s">
        <v>960</v>
      </c>
      <c r="C1296" t="s">
        <v>38</v>
      </c>
      <c r="D1296" t="s">
        <v>2233</v>
      </c>
      <c r="E1296" t="s">
        <v>48</v>
      </c>
      <c r="F1296" t="s">
        <v>4080</v>
      </c>
      <c r="G1296" t="s">
        <v>963</v>
      </c>
      <c r="H1296" t="s">
        <v>328</v>
      </c>
      <c r="I1296">
        <f t="shared" si="20"/>
        <v>1</v>
      </c>
      <c r="J1296" t="s">
        <v>18</v>
      </c>
      <c r="K1296" t="str" cm="1">
        <f t="array" ref="K1296">_xlfn.SWITCH(TRIM(UPPER(J1296)),
"BUSINESS", "Short Stay",
"CONFERENCE", "Medium Stay",
"VACATION", "Iong Stay",
"HOLIDAY", "Long Stay",
"V", "Leisure",
"UNKNOWN", "Unknown",
"Other")</f>
        <v>Short Stay</v>
      </c>
    </row>
    <row r="1297" spans="1:11" x14ac:dyDescent="0.3">
      <c r="A1297" t="s">
        <v>4081</v>
      </c>
      <c r="B1297" t="s">
        <v>3009</v>
      </c>
      <c r="C1297" t="s">
        <v>83</v>
      </c>
      <c r="D1297" t="s">
        <v>1618</v>
      </c>
      <c r="E1297" t="s">
        <v>476</v>
      </c>
      <c r="F1297" t="s">
        <v>890</v>
      </c>
      <c r="G1297" t="s">
        <v>839</v>
      </c>
      <c r="H1297" t="s">
        <v>2677</v>
      </c>
      <c r="I1297">
        <f t="shared" si="20"/>
        <v>1</v>
      </c>
      <c r="J1297" t="s">
        <v>121</v>
      </c>
      <c r="K1297" t="str" cm="1">
        <f t="array" ref="K1297">_xlfn.SWITCH(TRIM(UPPER(J1297)),
"BUSINESS", "Short Stay",
"CONFERENCE", "Medium Stay",
"VACATION", "Iong Stay",
"HOLIDAY", "Long Stay",
"V", "Leisure",
"UNKNOWN", "Unknown",
"Other")</f>
        <v>Iong Stay</v>
      </c>
    </row>
    <row r="1298" spans="1:11" x14ac:dyDescent="0.3">
      <c r="A1298" t="s">
        <v>4082</v>
      </c>
      <c r="B1298" t="s">
        <v>746</v>
      </c>
      <c r="C1298" t="s">
        <v>54</v>
      </c>
      <c r="D1298" t="s">
        <v>897</v>
      </c>
      <c r="E1298" t="s">
        <v>314</v>
      </c>
      <c r="F1298" t="s">
        <v>4083</v>
      </c>
      <c r="G1298" t="s">
        <v>749</v>
      </c>
      <c r="H1298" t="s">
        <v>946</v>
      </c>
      <c r="I1298">
        <f t="shared" si="20"/>
        <v>2</v>
      </c>
      <c r="J1298" t="s">
        <v>18</v>
      </c>
      <c r="K1298" t="str" cm="1">
        <f t="array" ref="K1298">_xlfn.SWITCH(TRIM(UPPER(J1298)),
"BUSINESS", "Short Stay",
"CONFERENCE", "Medium Stay",
"VACATION", "Iong Stay",
"HOLIDAY", "Long Stay",
"V", "Leisure",
"UNKNOWN", "Unknown",
"Other")</f>
        <v>Short Stay</v>
      </c>
    </row>
    <row r="1299" spans="1:11" x14ac:dyDescent="0.3">
      <c r="A1299" t="s">
        <v>4084</v>
      </c>
      <c r="B1299" t="s">
        <v>2935</v>
      </c>
      <c r="C1299" t="s">
        <v>12</v>
      </c>
      <c r="D1299" t="s">
        <v>4085</v>
      </c>
      <c r="E1299" t="s">
        <v>14</v>
      </c>
      <c r="F1299" t="s">
        <v>4086</v>
      </c>
      <c r="G1299" t="s">
        <v>2840</v>
      </c>
      <c r="H1299" t="s">
        <v>983</v>
      </c>
      <c r="I1299">
        <f t="shared" si="20"/>
        <v>2</v>
      </c>
      <c r="J1299" t="s">
        <v>121</v>
      </c>
      <c r="K1299" t="str" cm="1">
        <f t="array" ref="K1299">_xlfn.SWITCH(TRIM(UPPER(J1299)),
"BUSINESS", "Short Stay",
"CONFERENCE", "Medium Stay",
"VACATION", "Iong Stay",
"HOLIDAY", "Long Stay",
"V", "Leisure",
"UNKNOWN", "Unknown",
"Other")</f>
        <v>Iong Stay</v>
      </c>
    </row>
    <row r="1300" spans="1:11" x14ac:dyDescent="0.3">
      <c r="A1300" t="s">
        <v>4087</v>
      </c>
      <c r="B1300" t="s">
        <v>2711</v>
      </c>
      <c r="C1300" t="s">
        <v>30</v>
      </c>
      <c r="D1300" t="s">
        <v>747</v>
      </c>
      <c r="E1300" t="s">
        <v>546</v>
      </c>
      <c r="F1300" t="s">
        <v>4088</v>
      </c>
      <c r="G1300" t="s">
        <v>222</v>
      </c>
      <c r="H1300" t="s">
        <v>919</v>
      </c>
      <c r="I1300">
        <f t="shared" si="20"/>
        <v>2</v>
      </c>
      <c r="J1300" t="s">
        <v>121</v>
      </c>
      <c r="K1300" t="str" cm="1">
        <f t="array" ref="K1300">_xlfn.SWITCH(TRIM(UPPER(J1300)),
"BUSINESS", "Short Stay",
"CONFERENCE", "Medium Stay",
"VACATION", "Iong Stay",
"HOLIDAY", "Long Stay",
"V", "Leisure",
"UNKNOWN", "Unknown",
"Other")</f>
        <v>Iong Stay</v>
      </c>
    </row>
    <row r="1301" spans="1:11" x14ac:dyDescent="0.3">
      <c r="A1301" t="s">
        <v>4089</v>
      </c>
      <c r="B1301" t="s">
        <v>2051</v>
      </c>
      <c r="C1301" t="s">
        <v>54</v>
      </c>
      <c r="D1301" t="s">
        <v>1435</v>
      </c>
      <c r="E1301" t="s">
        <v>48</v>
      </c>
      <c r="F1301" t="s">
        <v>4090</v>
      </c>
      <c r="G1301" t="s">
        <v>1559</v>
      </c>
      <c r="H1301" t="s">
        <v>373</v>
      </c>
      <c r="I1301">
        <f t="shared" si="20"/>
        <v>4</v>
      </c>
      <c r="J1301" t="s">
        <v>18</v>
      </c>
      <c r="K1301" t="str" cm="1">
        <f t="array" ref="K1301">_xlfn.SWITCH(TRIM(UPPER(J1301)),
"BUSINESS", "Short Stay",
"CONFERENCE", "Medium Stay",
"VACATION", "Iong Stay",
"HOLIDAY", "Long Stay",
"V", "Leisure",
"UNKNOWN", "Unknown",
"Other")</f>
        <v>Short Stay</v>
      </c>
    </row>
    <row r="1302" spans="1:11" x14ac:dyDescent="0.3">
      <c r="A1302" t="s">
        <v>4091</v>
      </c>
      <c r="B1302" t="s">
        <v>1656</v>
      </c>
      <c r="C1302" t="s">
        <v>174</v>
      </c>
      <c r="D1302" t="s">
        <v>2058</v>
      </c>
      <c r="E1302" t="s">
        <v>314</v>
      </c>
      <c r="F1302" t="s">
        <v>4092</v>
      </c>
      <c r="G1302" t="s">
        <v>1659</v>
      </c>
      <c r="H1302" t="s">
        <v>244</v>
      </c>
      <c r="I1302">
        <f t="shared" si="20"/>
        <v>3</v>
      </c>
      <c r="J1302" t="s">
        <v>18</v>
      </c>
      <c r="K1302" t="str" cm="1">
        <f t="array" ref="K1302">_xlfn.SWITCH(TRIM(UPPER(J1302)),
"BUSINESS", "Short Stay",
"CONFERENCE", "Medium Stay",
"VACATION", "Iong Stay",
"HOLIDAY", "Long Stay",
"V", "Leisure",
"UNKNOWN", "Unknown",
"Other")</f>
        <v>Short Stay</v>
      </c>
    </row>
    <row r="1303" spans="1:11" x14ac:dyDescent="0.3">
      <c r="A1303" t="s">
        <v>4093</v>
      </c>
      <c r="B1303" t="s">
        <v>20</v>
      </c>
      <c r="C1303" t="s">
        <v>97</v>
      </c>
      <c r="D1303" t="s">
        <v>2817</v>
      </c>
      <c r="E1303" t="s">
        <v>201</v>
      </c>
      <c r="F1303" t="s">
        <v>4094</v>
      </c>
      <c r="G1303" t="s">
        <v>25</v>
      </c>
      <c r="H1303" t="s">
        <v>112</v>
      </c>
      <c r="I1303">
        <f t="shared" si="20"/>
        <v>4</v>
      </c>
      <c r="J1303" t="s">
        <v>18</v>
      </c>
      <c r="K1303" t="str" cm="1">
        <f t="array" ref="K1303">_xlfn.SWITCH(TRIM(UPPER(J1303)),
"BUSINESS", "Short Stay",
"CONFERENCE", "Medium Stay",
"VACATION", "Iong Stay",
"HOLIDAY", "Long Stay",
"V", "Leisure",
"UNKNOWN", "Unknown",
"Other")</f>
        <v>Short Stay</v>
      </c>
    </row>
    <row r="1304" spans="1:11" x14ac:dyDescent="0.3">
      <c r="A1304" t="s">
        <v>4095</v>
      </c>
      <c r="B1304" t="s">
        <v>2531</v>
      </c>
      <c r="C1304" t="s">
        <v>75</v>
      </c>
      <c r="D1304" t="s">
        <v>1398</v>
      </c>
      <c r="E1304" t="s">
        <v>458</v>
      </c>
      <c r="F1304" t="s">
        <v>4096</v>
      </c>
      <c r="G1304" t="s">
        <v>1986</v>
      </c>
      <c r="H1304" t="s">
        <v>604</v>
      </c>
      <c r="I1304">
        <f t="shared" si="20"/>
        <v>4</v>
      </c>
      <c r="J1304" t="s">
        <v>18</v>
      </c>
      <c r="K1304" t="str" cm="1">
        <f t="array" ref="K1304">_xlfn.SWITCH(TRIM(UPPER(J1304)),
"BUSINESS", "Short Stay",
"CONFERENCE", "Medium Stay",
"VACATION", "Iong Stay",
"HOLIDAY", "Long Stay",
"V", "Leisure",
"UNKNOWN", "Unknown",
"Other")</f>
        <v>Short Stay</v>
      </c>
    </row>
    <row r="1305" spans="1:11" x14ac:dyDescent="0.3">
      <c r="A1305" t="s">
        <v>4097</v>
      </c>
      <c r="B1305" t="s">
        <v>1178</v>
      </c>
      <c r="C1305" t="s">
        <v>54</v>
      </c>
      <c r="D1305" t="s">
        <v>3809</v>
      </c>
      <c r="E1305" t="s">
        <v>214</v>
      </c>
      <c r="F1305" t="s">
        <v>4098</v>
      </c>
      <c r="G1305" t="s">
        <v>1181</v>
      </c>
      <c r="H1305" t="s">
        <v>971</v>
      </c>
      <c r="I1305">
        <f t="shared" si="20"/>
        <v>3</v>
      </c>
      <c r="J1305" t="s">
        <v>44</v>
      </c>
      <c r="K1305" t="str" cm="1">
        <f t="array" ref="K1305">_xlfn.SWITCH(TRIM(UPPER(J1305)),
"BUSINESS", "Short Stay",
"CONFERENCE", "Medium Stay",
"VACATION", "Iong Stay",
"HOLIDAY", "Long Stay",
"V", "Leisure",
"UNKNOWN", "Unknown",
"Other")</f>
        <v>Other</v>
      </c>
    </row>
    <row r="1306" spans="1:11" x14ac:dyDescent="0.3">
      <c r="A1306" t="s">
        <v>4099</v>
      </c>
      <c r="B1306" t="s">
        <v>2257</v>
      </c>
      <c r="C1306" t="s">
        <v>83</v>
      </c>
      <c r="D1306" t="s">
        <v>2657</v>
      </c>
      <c r="E1306" t="s">
        <v>32</v>
      </c>
      <c r="F1306" t="s">
        <v>337</v>
      </c>
      <c r="G1306" t="s">
        <v>753</v>
      </c>
      <c r="H1306" t="s">
        <v>1225</v>
      </c>
      <c r="I1306">
        <f t="shared" si="20"/>
        <v>4</v>
      </c>
      <c r="J1306" t="s">
        <v>27</v>
      </c>
      <c r="K1306" t="str" cm="1">
        <f t="array" ref="K1306">_xlfn.SWITCH(TRIM(UPPER(J1306)),
"BUSINESS", "Short Stay",
"CONFERENCE", "Medium Stay",
"VACATION", "Iong Stay",
"HOLIDAY", "Long Stay",
"V", "Leisure",
"UNKNOWN", "Unknown",
"Other")</f>
        <v>Medium Stay</v>
      </c>
    </row>
    <row r="1307" spans="1:11" x14ac:dyDescent="0.3">
      <c r="A1307" t="s">
        <v>4100</v>
      </c>
      <c r="B1307" t="s">
        <v>682</v>
      </c>
      <c r="C1307" t="s">
        <v>75</v>
      </c>
      <c r="D1307" t="s">
        <v>471</v>
      </c>
      <c r="E1307" t="s">
        <v>63</v>
      </c>
      <c r="F1307" t="s">
        <v>4101</v>
      </c>
      <c r="G1307" t="s">
        <v>685</v>
      </c>
      <c r="H1307" t="s">
        <v>1256</v>
      </c>
      <c r="I1307">
        <f t="shared" si="20"/>
        <v>3</v>
      </c>
      <c r="J1307" t="s">
        <v>27</v>
      </c>
      <c r="K1307" t="str" cm="1">
        <f t="array" ref="K1307">_xlfn.SWITCH(TRIM(UPPER(J1307)),
"BUSINESS", "Short Stay",
"CONFERENCE", "Medium Stay",
"VACATION", "Iong Stay",
"HOLIDAY", "Long Stay",
"V", "Leisure",
"UNKNOWN", "Unknown",
"Other")</f>
        <v>Medium Stay</v>
      </c>
    </row>
    <row r="1308" spans="1:11" x14ac:dyDescent="0.3">
      <c r="A1308" t="s">
        <v>4102</v>
      </c>
      <c r="B1308" t="s">
        <v>498</v>
      </c>
      <c r="C1308" t="s">
        <v>61</v>
      </c>
      <c r="D1308" t="s">
        <v>742</v>
      </c>
      <c r="E1308" t="s">
        <v>476</v>
      </c>
      <c r="F1308" t="s">
        <v>4103</v>
      </c>
      <c r="G1308" t="s">
        <v>501</v>
      </c>
      <c r="H1308" t="s">
        <v>3220</v>
      </c>
      <c r="I1308">
        <f t="shared" si="20"/>
        <v>3</v>
      </c>
      <c r="J1308" t="s">
        <v>121</v>
      </c>
      <c r="K1308" t="str" cm="1">
        <f t="array" ref="K1308">_xlfn.SWITCH(TRIM(UPPER(J1308)),
"BUSINESS", "Short Stay",
"CONFERENCE", "Medium Stay",
"VACATION", "Iong Stay",
"HOLIDAY", "Long Stay",
"V", "Leisure",
"UNKNOWN", "Unknown",
"Other")</f>
        <v>Iong Stay</v>
      </c>
    </row>
    <row r="1309" spans="1:11" x14ac:dyDescent="0.3">
      <c r="A1309" t="s">
        <v>4104</v>
      </c>
      <c r="B1309" t="s">
        <v>2457</v>
      </c>
      <c r="C1309" t="s">
        <v>38</v>
      </c>
      <c r="D1309" t="s">
        <v>1409</v>
      </c>
      <c r="E1309" t="s">
        <v>77</v>
      </c>
      <c r="F1309" t="s">
        <v>4105</v>
      </c>
      <c r="G1309" t="s">
        <v>460</v>
      </c>
      <c r="H1309" t="s">
        <v>34</v>
      </c>
      <c r="I1309">
        <f t="shared" si="20"/>
        <v>3</v>
      </c>
      <c r="J1309" t="s">
        <v>44</v>
      </c>
      <c r="K1309" t="str" cm="1">
        <f t="array" ref="K1309">_xlfn.SWITCH(TRIM(UPPER(J1309)),
"BUSINESS", "Short Stay",
"CONFERENCE", "Medium Stay",
"VACATION", "Iong Stay",
"HOLIDAY", "Long Stay",
"V", "Leisure",
"UNKNOWN", "Unknown",
"Other")</f>
        <v>Other</v>
      </c>
    </row>
    <row r="1310" spans="1:11" x14ac:dyDescent="0.3">
      <c r="A1310" t="s">
        <v>4106</v>
      </c>
      <c r="B1310" t="s">
        <v>359</v>
      </c>
      <c r="C1310" t="s">
        <v>21</v>
      </c>
      <c r="D1310" t="s">
        <v>493</v>
      </c>
      <c r="E1310" t="s">
        <v>85</v>
      </c>
      <c r="F1310" t="s">
        <v>4107</v>
      </c>
      <c r="G1310" t="s">
        <v>362</v>
      </c>
      <c r="H1310" t="s">
        <v>989</v>
      </c>
      <c r="I1310">
        <f t="shared" si="20"/>
        <v>2</v>
      </c>
      <c r="J1310" t="s">
        <v>121</v>
      </c>
      <c r="K1310" t="str" cm="1">
        <f t="array" ref="K1310">_xlfn.SWITCH(TRIM(UPPER(J1310)),
"BUSINESS", "Short Stay",
"CONFERENCE", "Medium Stay",
"VACATION", "Iong Stay",
"HOLIDAY", "Long Stay",
"V", "Leisure",
"UNKNOWN", "Unknown",
"Other")</f>
        <v>Iong Stay</v>
      </c>
    </row>
    <row r="1311" spans="1:11" x14ac:dyDescent="0.3">
      <c r="A1311" t="s">
        <v>4108</v>
      </c>
      <c r="B1311" t="s">
        <v>1510</v>
      </c>
      <c r="C1311" t="s">
        <v>83</v>
      </c>
      <c r="D1311" t="s">
        <v>4109</v>
      </c>
      <c r="E1311" t="s">
        <v>546</v>
      </c>
      <c r="F1311" t="s">
        <v>4110</v>
      </c>
      <c r="G1311" t="s">
        <v>101</v>
      </c>
      <c r="H1311" t="s">
        <v>621</v>
      </c>
      <c r="I1311">
        <f t="shared" si="20"/>
        <v>4</v>
      </c>
      <c r="J1311" t="s">
        <v>44</v>
      </c>
      <c r="K1311" t="str" cm="1">
        <f t="array" ref="K1311">_xlfn.SWITCH(TRIM(UPPER(J1311)),
"BUSINESS", "Short Stay",
"CONFERENCE", "Medium Stay",
"VACATION", "Iong Stay",
"HOLIDAY", "Long Stay",
"V", "Leisure",
"UNKNOWN", "Unknown",
"Other")</f>
        <v>Other</v>
      </c>
    </row>
    <row r="1312" spans="1:11" x14ac:dyDescent="0.3">
      <c r="A1312" t="s">
        <v>4111</v>
      </c>
      <c r="B1312" t="s">
        <v>2395</v>
      </c>
      <c r="C1312" t="s">
        <v>83</v>
      </c>
      <c r="D1312" t="s">
        <v>1569</v>
      </c>
      <c r="E1312" t="s">
        <v>149</v>
      </c>
      <c r="F1312" t="s">
        <v>1081</v>
      </c>
      <c r="G1312" t="s">
        <v>2398</v>
      </c>
      <c r="H1312" t="s">
        <v>1035</v>
      </c>
      <c r="I1312">
        <f t="shared" si="20"/>
        <v>3</v>
      </c>
      <c r="J1312" t="s">
        <v>18</v>
      </c>
      <c r="K1312" t="str" cm="1">
        <f t="array" ref="K1312">_xlfn.SWITCH(TRIM(UPPER(J1312)),
"BUSINESS", "Short Stay",
"CONFERENCE", "Medium Stay",
"VACATION", "Iong Stay",
"HOLIDAY", "Long Stay",
"V", "Leisure",
"UNKNOWN", "Unknown",
"Other")</f>
        <v>Short Stay</v>
      </c>
    </row>
    <row r="1313" spans="1:11" x14ac:dyDescent="0.3">
      <c r="A1313" t="s">
        <v>4112</v>
      </c>
      <c r="B1313" t="s">
        <v>353</v>
      </c>
      <c r="C1313" t="s">
        <v>174</v>
      </c>
      <c r="D1313" t="s">
        <v>4085</v>
      </c>
      <c r="E1313" t="s">
        <v>14</v>
      </c>
      <c r="F1313" t="s">
        <v>4113</v>
      </c>
      <c r="G1313" t="s">
        <v>356</v>
      </c>
      <c r="H1313" t="s">
        <v>1670</v>
      </c>
      <c r="I1313">
        <f t="shared" si="20"/>
        <v>1</v>
      </c>
      <c r="J1313" t="s">
        <v>18</v>
      </c>
      <c r="K1313" t="str" cm="1">
        <f t="array" ref="K1313">_xlfn.SWITCH(TRIM(UPPER(J1313)),
"BUSINESS", "Short Stay",
"CONFERENCE", "Medium Stay",
"VACATION", "Iong Stay",
"HOLIDAY", "Long Stay",
"V", "Leisure",
"UNKNOWN", "Unknown",
"Other")</f>
        <v>Short Stay</v>
      </c>
    </row>
    <row r="1314" spans="1:11" x14ac:dyDescent="0.3">
      <c r="A1314" t="s">
        <v>4114</v>
      </c>
      <c r="B1314" t="s">
        <v>2929</v>
      </c>
      <c r="C1314" t="s">
        <v>30</v>
      </c>
      <c r="D1314" t="s">
        <v>4115</v>
      </c>
      <c r="E1314" t="s">
        <v>214</v>
      </c>
      <c r="F1314" t="s">
        <v>3546</v>
      </c>
      <c r="G1314" t="s">
        <v>245</v>
      </c>
      <c r="H1314" t="s">
        <v>812</v>
      </c>
      <c r="I1314">
        <f t="shared" si="20"/>
        <v>3</v>
      </c>
      <c r="J1314" t="s">
        <v>18</v>
      </c>
      <c r="K1314" t="str" cm="1">
        <f t="array" ref="K1314">_xlfn.SWITCH(TRIM(UPPER(J1314)),
"BUSINESS", "Short Stay",
"CONFERENCE", "Medium Stay",
"VACATION", "Iong Stay",
"HOLIDAY", "Long Stay",
"V", "Leisure",
"UNKNOWN", "Unknown",
"Other")</f>
        <v>Short Stay</v>
      </c>
    </row>
    <row r="1315" spans="1:11" x14ac:dyDescent="0.3">
      <c r="A1315" t="s">
        <v>4116</v>
      </c>
      <c r="B1315" t="s">
        <v>728</v>
      </c>
      <c r="C1315" t="s">
        <v>61</v>
      </c>
      <c r="D1315" t="s">
        <v>4117</v>
      </c>
      <c r="E1315" t="s">
        <v>48</v>
      </c>
      <c r="F1315" t="s">
        <v>4118</v>
      </c>
      <c r="G1315" t="s">
        <v>730</v>
      </c>
      <c r="H1315" t="s">
        <v>731</v>
      </c>
      <c r="I1315">
        <f t="shared" si="20"/>
        <v>3</v>
      </c>
      <c r="J1315" t="s">
        <v>18</v>
      </c>
      <c r="K1315" t="str" cm="1">
        <f t="array" ref="K1315">_xlfn.SWITCH(TRIM(UPPER(J1315)),
"BUSINESS", "Short Stay",
"CONFERENCE", "Medium Stay",
"VACATION", "Iong Stay",
"HOLIDAY", "Long Stay",
"V", "Leisure",
"UNKNOWN", "Unknown",
"Other")</f>
        <v>Short Stay</v>
      </c>
    </row>
    <row r="1316" spans="1:11" x14ac:dyDescent="0.3">
      <c r="A1316" t="s">
        <v>4119</v>
      </c>
      <c r="B1316" t="s">
        <v>60</v>
      </c>
      <c r="C1316" t="s">
        <v>38</v>
      </c>
      <c r="D1316" t="s">
        <v>1702</v>
      </c>
      <c r="E1316" t="s">
        <v>77</v>
      </c>
      <c r="F1316" t="s">
        <v>3530</v>
      </c>
      <c r="G1316" t="s">
        <v>65</v>
      </c>
      <c r="H1316" t="s">
        <v>16</v>
      </c>
      <c r="I1316">
        <f t="shared" si="20"/>
        <v>4</v>
      </c>
      <c r="J1316" t="s">
        <v>121</v>
      </c>
      <c r="K1316" t="str" cm="1">
        <f t="array" ref="K1316">_xlfn.SWITCH(TRIM(UPPER(J1316)),
"BUSINESS", "Short Stay",
"CONFERENCE", "Medium Stay",
"VACATION", "Iong Stay",
"HOLIDAY", "Long Stay",
"V", "Leisure",
"UNKNOWN", "Unknown",
"Other")</f>
        <v>Iong Stay</v>
      </c>
    </row>
    <row r="1317" spans="1:11" x14ac:dyDescent="0.3">
      <c r="A1317" t="s">
        <v>4120</v>
      </c>
      <c r="B1317" t="s">
        <v>2935</v>
      </c>
      <c r="C1317" t="s">
        <v>174</v>
      </c>
      <c r="D1317" t="s">
        <v>2087</v>
      </c>
      <c r="E1317" t="s">
        <v>40</v>
      </c>
      <c r="F1317" t="s">
        <v>4121</v>
      </c>
      <c r="G1317" t="s">
        <v>2840</v>
      </c>
      <c r="H1317" t="s">
        <v>2398</v>
      </c>
      <c r="I1317">
        <f t="shared" si="20"/>
        <v>5</v>
      </c>
      <c r="J1317" t="s">
        <v>27</v>
      </c>
      <c r="K1317" t="str" cm="1">
        <f t="array" ref="K1317">_xlfn.SWITCH(TRIM(UPPER(J1317)),
"BUSINESS", "Short Stay",
"CONFERENCE", "Medium Stay",
"VACATION", "Iong Stay",
"HOLIDAY", "Long Stay",
"V", "Leisure",
"UNKNOWN", "Unknown",
"Other")</f>
        <v>Medium Stay</v>
      </c>
    </row>
    <row r="1318" spans="1:11" x14ac:dyDescent="0.3">
      <c r="A1318" t="s">
        <v>4122</v>
      </c>
      <c r="B1318" t="s">
        <v>968</v>
      </c>
      <c r="C1318" t="s">
        <v>38</v>
      </c>
      <c r="D1318" t="s">
        <v>3481</v>
      </c>
      <c r="E1318" t="s">
        <v>14</v>
      </c>
      <c r="F1318" t="s">
        <v>4123</v>
      </c>
      <c r="G1318" t="s">
        <v>971</v>
      </c>
      <c r="H1318" t="s">
        <v>844</v>
      </c>
      <c r="I1318">
        <f t="shared" si="20"/>
        <v>1</v>
      </c>
      <c r="J1318" t="s">
        <v>121</v>
      </c>
      <c r="K1318" t="str" cm="1">
        <f t="array" ref="K1318">_xlfn.SWITCH(TRIM(UPPER(J1318)),
"BUSINESS", "Short Stay",
"CONFERENCE", "Medium Stay",
"VACATION", "Iong Stay",
"HOLIDAY", "Long Stay",
"V", "Leisure",
"UNKNOWN", "Unknown",
"Other")</f>
        <v>Iong Stay</v>
      </c>
    </row>
    <row r="1319" spans="1:11" x14ac:dyDescent="0.3">
      <c r="A1319" t="s">
        <v>4124</v>
      </c>
      <c r="B1319" t="s">
        <v>380</v>
      </c>
      <c r="C1319" t="s">
        <v>12</v>
      </c>
      <c r="D1319" t="s">
        <v>2143</v>
      </c>
      <c r="E1319" t="s">
        <v>176</v>
      </c>
      <c r="F1319" t="s">
        <v>4125</v>
      </c>
      <c r="G1319" t="s">
        <v>383</v>
      </c>
      <c r="H1319" t="s">
        <v>196</v>
      </c>
      <c r="I1319">
        <f t="shared" si="20"/>
        <v>2</v>
      </c>
      <c r="J1319" t="s">
        <v>27</v>
      </c>
      <c r="K1319" t="str" cm="1">
        <f t="array" ref="K1319">_xlfn.SWITCH(TRIM(UPPER(J1319)),
"BUSINESS", "Short Stay",
"CONFERENCE", "Medium Stay",
"VACATION", "Iong Stay",
"HOLIDAY", "Long Stay",
"V", "Leisure",
"UNKNOWN", "Unknown",
"Other")</f>
        <v>Medium Stay</v>
      </c>
    </row>
    <row r="1320" spans="1:11" x14ac:dyDescent="0.3">
      <c r="A1320" t="s">
        <v>4126</v>
      </c>
      <c r="B1320" t="s">
        <v>3174</v>
      </c>
      <c r="C1320" t="s">
        <v>61</v>
      </c>
      <c r="D1320" t="s">
        <v>977</v>
      </c>
      <c r="E1320" t="s">
        <v>14</v>
      </c>
      <c r="F1320" t="s">
        <v>1431</v>
      </c>
      <c r="G1320" t="s">
        <v>1407</v>
      </c>
      <c r="H1320" t="s">
        <v>780</v>
      </c>
      <c r="I1320">
        <f t="shared" si="20"/>
        <v>3</v>
      </c>
      <c r="J1320" t="s">
        <v>44</v>
      </c>
      <c r="K1320" t="str" cm="1">
        <f t="array" ref="K1320">_xlfn.SWITCH(TRIM(UPPER(J1320)),
"BUSINESS", "Short Stay",
"CONFERENCE", "Medium Stay",
"VACATION", "Iong Stay",
"HOLIDAY", "Long Stay",
"V", "Leisure",
"UNKNOWN", "Unknown",
"Other")</f>
        <v>Other</v>
      </c>
    </row>
    <row r="1321" spans="1:11" x14ac:dyDescent="0.3">
      <c r="A1321" t="s">
        <v>4127</v>
      </c>
      <c r="B1321" t="s">
        <v>697</v>
      </c>
      <c r="C1321" t="s">
        <v>61</v>
      </c>
      <c r="D1321" t="s">
        <v>2486</v>
      </c>
      <c r="E1321" t="s">
        <v>476</v>
      </c>
      <c r="F1321" t="s">
        <v>4128</v>
      </c>
      <c r="G1321" t="s">
        <v>700</v>
      </c>
      <c r="H1321" t="s">
        <v>133</v>
      </c>
      <c r="I1321">
        <f t="shared" si="20"/>
        <v>2</v>
      </c>
      <c r="J1321" t="s">
        <v>27</v>
      </c>
      <c r="K1321" t="str" cm="1">
        <f t="array" ref="K1321">_xlfn.SWITCH(TRIM(UPPER(J1321)),
"BUSINESS", "Short Stay",
"CONFERENCE", "Medium Stay",
"VACATION", "Iong Stay",
"HOLIDAY", "Long Stay",
"V", "Leisure",
"UNKNOWN", "Unknown",
"Other")</f>
        <v>Medium Stay</v>
      </c>
    </row>
    <row r="1322" spans="1:11" x14ac:dyDescent="0.3">
      <c r="A1322" t="s">
        <v>4129</v>
      </c>
      <c r="B1322" t="s">
        <v>3182</v>
      </c>
      <c r="C1322" t="s">
        <v>174</v>
      </c>
      <c r="D1322" t="s">
        <v>1258</v>
      </c>
      <c r="E1322" t="s">
        <v>546</v>
      </c>
      <c r="F1322" t="s">
        <v>4130</v>
      </c>
      <c r="G1322" t="s">
        <v>351</v>
      </c>
      <c r="H1322" t="s">
        <v>1234</v>
      </c>
      <c r="I1322">
        <f t="shared" si="20"/>
        <v>3</v>
      </c>
      <c r="J1322" t="s">
        <v>44</v>
      </c>
      <c r="K1322" t="str" cm="1">
        <f t="array" ref="K1322">_xlfn.SWITCH(TRIM(UPPER(J1322)),
"BUSINESS", "Short Stay",
"CONFERENCE", "Medium Stay",
"VACATION", "Iong Stay",
"HOLIDAY", "Long Stay",
"V", "Leisure",
"UNKNOWN", "Unknown",
"Other")</f>
        <v>Other</v>
      </c>
    </row>
    <row r="1323" spans="1:11" x14ac:dyDescent="0.3">
      <c r="A1323" t="s">
        <v>4131</v>
      </c>
      <c r="B1323" t="s">
        <v>294</v>
      </c>
      <c r="C1323" t="s">
        <v>38</v>
      </c>
      <c r="D1323" t="s">
        <v>2883</v>
      </c>
      <c r="E1323" t="s">
        <v>69</v>
      </c>
      <c r="F1323" t="s">
        <v>4132</v>
      </c>
      <c r="G1323" t="s">
        <v>297</v>
      </c>
      <c r="H1323" t="s">
        <v>691</v>
      </c>
      <c r="I1323">
        <f t="shared" si="20"/>
        <v>4</v>
      </c>
      <c r="J1323" t="s">
        <v>18</v>
      </c>
      <c r="K1323" t="str" cm="1">
        <f t="array" ref="K1323">_xlfn.SWITCH(TRIM(UPPER(J1323)),
"BUSINESS", "Short Stay",
"CONFERENCE", "Medium Stay",
"VACATION", "Iong Stay",
"HOLIDAY", "Long Stay",
"V", "Leisure",
"UNKNOWN", "Unknown",
"Other")</f>
        <v>Short Stay</v>
      </c>
    </row>
    <row r="1324" spans="1:11" x14ac:dyDescent="0.3">
      <c r="A1324" t="s">
        <v>4133</v>
      </c>
      <c r="B1324" t="s">
        <v>212</v>
      </c>
      <c r="C1324" t="s">
        <v>174</v>
      </c>
      <c r="D1324" t="s">
        <v>1618</v>
      </c>
      <c r="E1324" t="s">
        <v>85</v>
      </c>
      <c r="F1324" t="s">
        <v>4134</v>
      </c>
      <c r="G1324" t="s">
        <v>165</v>
      </c>
      <c r="H1324" t="s">
        <v>216</v>
      </c>
      <c r="I1324">
        <f t="shared" si="20"/>
        <v>1</v>
      </c>
      <c r="J1324" t="s">
        <v>121</v>
      </c>
      <c r="K1324" t="str" cm="1">
        <f t="array" ref="K1324">_xlfn.SWITCH(TRIM(UPPER(J1324)),
"BUSINESS", "Short Stay",
"CONFERENCE", "Medium Stay",
"VACATION", "Iong Stay",
"HOLIDAY", "Long Stay",
"V", "Leisure",
"UNKNOWN", "Unknown",
"Other")</f>
        <v>Iong Stay</v>
      </c>
    </row>
    <row r="1325" spans="1:11" x14ac:dyDescent="0.3">
      <c r="A1325" t="s">
        <v>4135</v>
      </c>
      <c r="B1325" t="s">
        <v>241</v>
      </c>
      <c r="C1325" t="s">
        <v>12</v>
      </c>
      <c r="D1325" t="s">
        <v>4136</v>
      </c>
      <c r="E1325" t="s">
        <v>40</v>
      </c>
      <c r="F1325" t="s">
        <v>4137</v>
      </c>
      <c r="G1325" t="s">
        <v>244</v>
      </c>
      <c r="H1325" t="s">
        <v>1053</v>
      </c>
      <c r="I1325">
        <f t="shared" si="20"/>
        <v>3</v>
      </c>
      <c r="J1325" t="s">
        <v>18</v>
      </c>
      <c r="K1325" t="str" cm="1">
        <f t="array" ref="K1325">_xlfn.SWITCH(TRIM(UPPER(J1325)),
"BUSINESS", "Short Stay",
"CONFERENCE", "Medium Stay",
"VACATION", "Iong Stay",
"HOLIDAY", "Long Stay",
"V", "Leisure",
"UNKNOWN", "Unknown",
"Other")</f>
        <v>Short Stay</v>
      </c>
    </row>
    <row r="1326" spans="1:11" x14ac:dyDescent="0.3">
      <c r="A1326" t="s">
        <v>4138</v>
      </c>
      <c r="B1326" t="s">
        <v>777</v>
      </c>
      <c r="C1326" t="s">
        <v>61</v>
      </c>
      <c r="D1326" t="s">
        <v>1664</v>
      </c>
      <c r="E1326" t="s">
        <v>176</v>
      </c>
      <c r="F1326" t="s">
        <v>4139</v>
      </c>
      <c r="G1326" t="s">
        <v>780</v>
      </c>
      <c r="H1326" t="s">
        <v>1035</v>
      </c>
      <c r="I1326">
        <f t="shared" si="20"/>
        <v>2</v>
      </c>
      <c r="J1326" t="s">
        <v>44</v>
      </c>
      <c r="K1326" t="str" cm="1">
        <f t="array" ref="K1326">_xlfn.SWITCH(TRIM(UPPER(J1326)),
"BUSINESS", "Short Stay",
"CONFERENCE", "Medium Stay",
"VACATION", "Iong Stay",
"HOLIDAY", "Long Stay",
"V", "Leisure",
"UNKNOWN", "Unknown",
"Other")</f>
        <v>Other</v>
      </c>
    </row>
    <row r="1327" spans="1:11" x14ac:dyDescent="0.3">
      <c r="A1327" t="s">
        <v>4140</v>
      </c>
      <c r="B1327" t="s">
        <v>4141</v>
      </c>
      <c r="C1327" t="s">
        <v>21</v>
      </c>
      <c r="D1327" t="s">
        <v>4142</v>
      </c>
      <c r="E1327" t="s">
        <v>156</v>
      </c>
      <c r="F1327" t="s">
        <v>4143</v>
      </c>
      <c r="G1327" t="s">
        <v>1894</v>
      </c>
      <c r="H1327" t="s">
        <v>79</v>
      </c>
      <c r="I1327">
        <f t="shared" si="20"/>
        <v>3</v>
      </c>
      <c r="J1327" t="s">
        <v>44</v>
      </c>
      <c r="K1327" t="str" cm="1">
        <f t="array" ref="K1327">_xlfn.SWITCH(TRIM(UPPER(J1327)),
"BUSINESS", "Short Stay",
"CONFERENCE", "Medium Stay",
"VACATION", "Iong Stay",
"HOLIDAY", "Long Stay",
"V", "Leisure",
"UNKNOWN", "Unknown",
"Other")</f>
        <v>Other</v>
      </c>
    </row>
    <row r="1328" spans="1:11" x14ac:dyDescent="0.3">
      <c r="A1328" t="s">
        <v>4144</v>
      </c>
      <c r="B1328" t="s">
        <v>257</v>
      </c>
      <c r="C1328" t="s">
        <v>54</v>
      </c>
      <c r="D1328" t="s">
        <v>4145</v>
      </c>
      <c r="E1328" t="s">
        <v>156</v>
      </c>
      <c r="F1328" t="s">
        <v>4146</v>
      </c>
      <c r="G1328" t="s">
        <v>260</v>
      </c>
      <c r="H1328" t="s">
        <v>1768</v>
      </c>
      <c r="I1328">
        <f t="shared" si="20"/>
        <v>1</v>
      </c>
      <c r="J1328" t="s">
        <v>18</v>
      </c>
      <c r="K1328" t="str" cm="1">
        <f t="array" ref="K1328">_xlfn.SWITCH(TRIM(UPPER(J1328)),
"BUSINESS", "Short Stay",
"CONFERENCE", "Medium Stay",
"VACATION", "Iong Stay",
"HOLIDAY", "Long Stay",
"V", "Leisure",
"UNKNOWN", "Unknown",
"Other")</f>
        <v>Short Stay</v>
      </c>
    </row>
    <row r="1329" spans="1:11" x14ac:dyDescent="0.3">
      <c r="A1329" t="s">
        <v>4147</v>
      </c>
      <c r="B1329" t="s">
        <v>504</v>
      </c>
      <c r="C1329" t="s">
        <v>75</v>
      </c>
      <c r="D1329" t="s">
        <v>3709</v>
      </c>
      <c r="E1329" t="s">
        <v>32</v>
      </c>
      <c r="F1329" t="s">
        <v>1546</v>
      </c>
      <c r="G1329" t="s">
        <v>289</v>
      </c>
      <c r="H1329" t="s">
        <v>94</v>
      </c>
      <c r="I1329">
        <f t="shared" si="20"/>
        <v>2</v>
      </c>
      <c r="J1329" t="s">
        <v>27</v>
      </c>
      <c r="K1329" t="str" cm="1">
        <f t="array" ref="K1329">_xlfn.SWITCH(TRIM(UPPER(J1329)),
"BUSINESS", "Short Stay",
"CONFERENCE", "Medium Stay",
"VACATION", "Iong Stay",
"HOLIDAY", "Long Stay",
"V", "Leisure",
"UNKNOWN", "Unknown",
"Other")</f>
        <v>Medium Stay</v>
      </c>
    </row>
    <row r="1330" spans="1:11" x14ac:dyDescent="0.3">
      <c r="A1330" t="s">
        <v>4148</v>
      </c>
      <c r="B1330" t="s">
        <v>135</v>
      </c>
      <c r="C1330" t="s">
        <v>54</v>
      </c>
      <c r="D1330" t="s">
        <v>4149</v>
      </c>
      <c r="E1330" t="s">
        <v>63</v>
      </c>
      <c r="F1330" t="s">
        <v>4150</v>
      </c>
      <c r="G1330" t="s">
        <v>138</v>
      </c>
      <c r="H1330" t="s">
        <v>1048</v>
      </c>
      <c r="I1330">
        <f t="shared" si="20"/>
        <v>1</v>
      </c>
      <c r="J1330" t="s">
        <v>121</v>
      </c>
      <c r="K1330" t="str" cm="1">
        <f t="array" ref="K1330">_xlfn.SWITCH(TRIM(UPPER(J1330)),
"BUSINESS", "Short Stay",
"CONFERENCE", "Medium Stay",
"VACATION", "Iong Stay",
"HOLIDAY", "Long Stay",
"V", "Leisure",
"UNKNOWN", "Unknown",
"Other")</f>
        <v>Iong Stay</v>
      </c>
    </row>
    <row r="1331" spans="1:11" x14ac:dyDescent="0.3">
      <c r="A1331" t="s">
        <v>4151</v>
      </c>
      <c r="B1331" t="s">
        <v>818</v>
      </c>
      <c r="C1331" t="s">
        <v>61</v>
      </c>
      <c r="D1331" t="s">
        <v>953</v>
      </c>
      <c r="E1331" t="s">
        <v>149</v>
      </c>
      <c r="F1331" t="s">
        <v>4152</v>
      </c>
      <c r="G1331" t="s">
        <v>821</v>
      </c>
      <c r="H1331" t="s">
        <v>563</v>
      </c>
      <c r="I1331">
        <f t="shared" si="20"/>
        <v>3</v>
      </c>
      <c r="J1331" t="s">
        <v>18</v>
      </c>
      <c r="K1331" t="str" cm="1">
        <f t="array" ref="K1331">_xlfn.SWITCH(TRIM(UPPER(J1331)),
"BUSINESS", "Short Stay",
"CONFERENCE", "Medium Stay",
"VACATION", "Iong Stay",
"HOLIDAY", "Long Stay",
"V", "Leisure",
"UNKNOWN", "Unknown",
"Other")</f>
        <v>Short Stay</v>
      </c>
    </row>
    <row r="1332" spans="1:11" x14ac:dyDescent="0.3">
      <c r="A1332" t="s">
        <v>4153</v>
      </c>
      <c r="B1332" t="s">
        <v>1643</v>
      </c>
      <c r="C1332" t="s">
        <v>61</v>
      </c>
      <c r="D1332" t="s">
        <v>1476</v>
      </c>
      <c r="E1332" t="s">
        <v>32</v>
      </c>
      <c r="F1332" t="s">
        <v>4154</v>
      </c>
      <c r="G1332" t="s">
        <v>1646</v>
      </c>
      <c r="H1332" t="s">
        <v>663</v>
      </c>
      <c r="I1332">
        <f t="shared" si="20"/>
        <v>2</v>
      </c>
      <c r="J1332" t="s">
        <v>27</v>
      </c>
      <c r="K1332" t="str" cm="1">
        <f t="array" ref="K1332">_xlfn.SWITCH(TRIM(UPPER(J1332)),
"BUSINESS", "Short Stay",
"CONFERENCE", "Medium Stay",
"VACATION", "Iong Stay",
"HOLIDAY", "Long Stay",
"V", "Leisure",
"UNKNOWN", "Unknown",
"Other")</f>
        <v>Medium Stay</v>
      </c>
    </row>
    <row r="1333" spans="1:11" x14ac:dyDescent="0.3">
      <c r="A1333" t="s">
        <v>4155</v>
      </c>
      <c r="B1333" t="s">
        <v>2764</v>
      </c>
      <c r="C1333" t="s">
        <v>21</v>
      </c>
      <c r="D1333" t="s">
        <v>3846</v>
      </c>
      <c r="E1333" t="s">
        <v>314</v>
      </c>
      <c r="F1333" t="s">
        <v>4156</v>
      </c>
      <c r="G1333" t="s">
        <v>1058</v>
      </c>
      <c r="H1333" t="s">
        <v>2767</v>
      </c>
      <c r="I1333">
        <f t="shared" si="20"/>
        <v>4</v>
      </c>
      <c r="J1333" t="s">
        <v>121</v>
      </c>
      <c r="K1333" t="str" cm="1">
        <f t="array" ref="K1333">_xlfn.SWITCH(TRIM(UPPER(J1333)),
"BUSINESS", "Short Stay",
"CONFERENCE", "Medium Stay",
"VACATION", "Iong Stay",
"HOLIDAY", "Long Stay",
"V", "Leisure",
"UNKNOWN", "Unknown",
"Other")</f>
        <v>Iong Stay</v>
      </c>
    </row>
    <row r="1334" spans="1:11" x14ac:dyDescent="0.3">
      <c r="A1334" t="s">
        <v>4157</v>
      </c>
      <c r="B1334" t="s">
        <v>2200</v>
      </c>
      <c r="C1334" t="s">
        <v>97</v>
      </c>
      <c r="D1334" t="s">
        <v>2329</v>
      </c>
      <c r="E1334" t="s">
        <v>476</v>
      </c>
      <c r="F1334" t="s">
        <v>4158</v>
      </c>
      <c r="G1334" t="s">
        <v>120</v>
      </c>
      <c r="H1334" t="s">
        <v>3547</v>
      </c>
      <c r="I1334">
        <f t="shared" si="20"/>
        <v>4</v>
      </c>
      <c r="J1334" t="s">
        <v>27</v>
      </c>
      <c r="K1334" t="str" cm="1">
        <f t="array" ref="K1334">_xlfn.SWITCH(TRIM(UPPER(J1334)),
"BUSINESS", "Short Stay",
"CONFERENCE", "Medium Stay",
"VACATION", "Iong Stay",
"HOLIDAY", "Long Stay",
"V", "Leisure",
"UNKNOWN", "Unknown",
"Other")</f>
        <v>Medium Stay</v>
      </c>
    </row>
    <row r="1335" spans="1:11" x14ac:dyDescent="0.3">
      <c r="A1335" t="s">
        <v>4159</v>
      </c>
      <c r="B1335" t="s">
        <v>1368</v>
      </c>
      <c r="C1335" t="s">
        <v>75</v>
      </c>
      <c r="D1335" t="s">
        <v>366</v>
      </c>
      <c r="E1335" t="s">
        <v>214</v>
      </c>
      <c r="F1335" t="s">
        <v>4160</v>
      </c>
      <c r="G1335" t="s">
        <v>941</v>
      </c>
      <c r="H1335" t="s">
        <v>1371</v>
      </c>
      <c r="I1335">
        <f t="shared" si="20"/>
        <v>4</v>
      </c>
      <c r="J1335" t="s">
        <v>121</v>
      </c>
      <c r="K1335" t="str" cm="1">
        <f t="array" ref="K1335">_xlfn.SWITCH(TRIM(UPPER(J1335)),
"BUSINESS", "Short Stay",
"CONFERENCE", "Medium Stay",
"VACATION", "Iong Stay",
"HOLIDAY", "Long Stay",
"V", "Leisure",
"UNKNOWN", "Unknown",
"Other")</f>
        <v>Iong Stay</v>
      </c>
    </row>
    <row r="1336" spans="1:11" x14ac:dyDescent="0.3">
      <c r="A1336" t="s">
        <v>4161</v>
      </c>
      <c r="B1336" t="s">
        <v>1487</v>
      </c>
      <c r="C1336" t="s">
        <v>75</v>
      </c>
      <c r="D1336" t="s">
        <v>4162</v>
      </c>
      <c r="E1336" t="s">
        <v>69</v>
      </c>
      <c r="F1336" t="s">
        <v>4163</v>
      </c>
      <c r="G1336" t="s">
        <v>438</v>
      </c>
      <c r="H1336" t="s">
        <v>895</v>
      </c>
      <c r="I1336">
        <f t="shared" si="20"/>
        <v>3</v>
      </c>
      <c r="J1336" t="s">
        <v>27</v>
      </c>
      <c r="K1336" t="str" cm="1">
        <f t="array" ref="K1336">_xlfn.SWITCH(TRIM(UPPER(J1336)),
"BUSINESS", "Short Stay",
"CONFERENCE", "Medium Stay",
"VACATION", "Iong Stay",
"HOLIDAY", "Long Stay",
"V", "Leisure",
"UNKNOWN", "Unknown",
"Other")</f>
        <v>Medium Stay</v>
      </c>
    </row>
    <row r="1337" spans="1:11" x14ac:dyDescent="0.3">
      <c r="A1337" t="s">
        <v>4164</v>
      </c>
      <c r="B1337" t="s">
        <v>1338</v>
      </c>
      <c r="C1337" t="s">
        <v>174</v>
      </c>
      <c r="D1337" t="s">
        <v>4165</v>
      </c>
      <c r="E1337" t="s">
        <v>14</v>
      </c>
      <c r="F1337" t="s">
        <v>4166</v>
      </c>
      <c r="G1337" t="s">
        <v>171</v>
      </c>
      <c r="H1337" t="s">
        <v>416</v>
      </c>
      <c r="I1337">
        <f t="shared" si="20"/>
        <v>1</v>
      </c>
      <c r="J1337" t="s">
        <v>44</v>
      </c>
      <c r="K1337" t="str" cm="1">
        <f t="array" ref="K1337">_xlfn.SWITCH(TRIM(UPPER(J1337)),
"BUSINESS", "Short Stay",
"CONFERENCE", "Medium Stay",
"VACATION", "Iong Stay",
"HOLIDAY", "Long Stay",
"V", "Leisure",
"UNKNOWN", "Unknown",
"Other")</f>
        <v>Other</v>
      </c>
    </row>
    <row r="1338" spans="1:11" x14ac:dyDescent="0.3">
      <c r="A1338" t="s">
        <v>4167</v>
      </c>
      <c r="B1338" t="s">
        <v>1253</v>
      </c>
      <c r="C1338" t="s">
        <v>12</v>
      </c>
      <c r="D1338" t="s">
        <v>1306</v>
      </c>
      <c r="E1338" t="s">
        <v>69</v>
      </c>
      <c r="F1338" t="s">
        <v>4168</v>
      </c>
      <c r="G1338" t="s">
        <v>1256</v>
      </c>
      <c r="H1338" t="s">
        <v>1285</v>
      </c>
      <c r="I1338">
        <f t="shared" si="20"/>
        <v>3</v>
      </c>
      <c r="J1338" t="s">
        <v>27</v>
      </c>
      <c r="K1338" t="str" cm="1">
        <f t="array" ref="K1338">_xlfn.SWITCH(TRIM(UPPER(J1338)),
"BUSINESS", "Short Stay",
"CONFERENCE", "Medium Stay",
"VACATION", "Iong Stay",
"HOLIDAY", "Long Stay",
"V", "Leisure",
"UNKNOWN", "Unknown",
"Other")</f>
        <v>Medium Stay</v>
      </c>
    </row>
    <row r="1339" spans="1:11" x14ac:dyDescent="0.3">
      <c r="A1339" t="s">
        <v>4169</v>
      </c>
      <c r="B1339" t="s">
        <v>1510</v>
      </c>
      <c r="C1339" t="s">
        <v>83</v>
      </c>
      <c r="D1339" t="s">
        <v>1845</v>
      </c>
      <c r="E1339" t="s">
        <v>117</v>
      </c>
      <c r="F1339" t="s">
        <v>4170</v>
      </c>
      <c r="G1339" t="s">
        <v>101</v>
      </c>
      <c r="H1339" t="s">
        <v>621</v>
      </c>
      <c r="I1339">
        <f t="shared" si="20"/>
        <v>4</v>
      </c>
      <c r="J1339" t="s">
        <v>27</v>
      </c>
      <c r="K1339" t="str" cm="1">
        <f t="array" ref="K1339">_xlfn.SWITCH(TRIM(UPPER(J1339)),
"BUSINESS", "Short Stay",
"CONFERENCE", "Medium Stay",
"VACATION", "Iong Stay",
"HOLIDAY", "Long Stay",
"V", "Leisure",
"UNKNOWN", "Unknown",
"Other")</f>
        <v>Medium Stay</v>
      </c>
    </row>
    <row r="1340" spans="1:11" x14ac:dyDescent="0.3">
      <c r="A1340" t="s">
        <v>4171</v>
      </c>
      <c r="B1340" t="s">
        <v>2335</v>
      </c>
      <c r="C1340" t="s">
        <v>174</v>
      </c>
      <c r="D1340" t="s">
        <v>1103</v>
      </c>
      <c r="E1340" t="s">
        <v>156</v>
      </c>
      <c r="F1340" t="s">
        <v>4172</v>
      </c>
      <c r="G1340" t="s">
        <v>1826</v>
      </c>
      <c r="H1340" t="s">
        <v>159</v>
      </c>
      <c r="I1340">
        <f t="shared" si="20"/>
        <v>3</v>
      </c>
      <c r="J1340" t="s">
        <v>18</v>
      </c>
      <c r="K1340" t="str" cm="1">
        <f t="array" ref="K1340">_xlfn.SWITCH(TRIM(UPPER(J1340)),
"BUSINESS", "Short Stay",
"CONFERENCE", "Medium Stay",
"VACATION", "Iong Stay",
"HOLIDAY", "Long Stay",
"V", "Leisure",
"UNKNOWN", "Unknown",
"Other")</f>
        <v>Short Stay</v>
      </c>
    </row>
    <row r="1341" spans="1:11" x14ac:dyDescent="0.3">
      <c r="A1341" t="s">
        <v>4173</v>
      </c>
      <c r="B1341" t="s">
        <v>2142</v>
      </c>
      <c r="C1341" t="s">
        <v>174</v>
      </c>
      <c r="D1341" t="s">
        <v>4174</v>
      </c>
      <c r="E1341" t="s">
        <v>69</v>
      </c>
      <c r="F1341" t="s">
        <v>4175</v>
      </c>
      <c r="G1341" t="s">
        <v>999</v>
      </c>
      <c r="H1341" t="s">
        <v>1763</v>
      </c>
      <c r="I1341">
        <f t="shared" si="20"/>
        <v>4</v>
      </c>
      <c r="J1341" t="s">
        <v>121</v>
      </c>
      <c r="K1341" t="str" cm="1">
        <f t="array" ref="K1341">_xlfn.SWITCH(TRIM(UPPER(J1341)),
"BUSINESS", "Short Stay",
"CONFERENCE", "Medium Stay",
"VACATION", "Iong Stay",
"HOLIDAY", "Long Stay",
"V", "Leisure",
"UNKNOWN", "Unknown",
"Other")</f>
        <v>Iong Stay</v>
      </c>
    </row>
    <row r="1342" spans="1:11" x14ac:dyDescent="0.3">
      <c r="A1342" t="s">
        <v>4176</v>
      </c>
      <c r="B1342" t="s">
        <v>900</v>
      </c>
      <c r="C1342" t="s">
        <v>21</v>
      </c>
      <c r="D1342" t="s">
        <v>3190</v>
      </c>
      <c r="E1342" t="s">
        <v>214</v>
      </c>
      <c r="F1342" t="s">
        <v>4177</v>
      </c>
      <c r="G1342" t="s">
        <v>903</v>
      </c>
      <c r="H1342" t="s">
        <v>304</v>
      </c>
      <c r="I1342">
        <f t="shared" si="20"/>
        <v>1</v>
      </c>
      <c r="J1342" t="s">
        <v>18</v>
      </c>
      <c r="K1342" t="str" cm="1">
        <f t="array" ref="K1342">_xlfn.SWITCH(TRIM(UPPER(J1342)),
"BUSINESS", "Short Stay",
"CONFERENCE", "Medium Stay",
"VACATION", "Iong Stay",
"HOLIDAY", "Long Stay",
"V", "Leisure",
"UNKNOWN", "Unknown",
"Other")</f>
        <v>Short Stay</v>
      </c>
    </row>
    <row r="1343" spans="1:11" x14ac:dyDescent="0.3">
      <c r="A1343" t="s">
        <v>4178</v>
      </c>
      <c r="B1343" t="s">
        <v>395</v>
      </c>
      <c r="C1343" t="s">
        <v>30</v>
      </c>
      <c r="D1343" t="s">
        <v>1811</v>
      </c>
      <c r="E1343" t="s">
        <v>201</v>
      </c>
      <c r="F1343" t="s">
        <v>4179</v>
      </c>
      <c r="G1343" t="s">
        <v>398</v>
      </c>
      <c r="H1343" t="s">
        <v>844</v>
      </c>
      <c r="I1343">
        <f t="shared" si="20"/>
        <v>3</v>
      </c>
      <c r="J1343" t="s">
        <v>18</v>
      </c>
      <c r="K1343" t="str" cm="1">
        <f t="array" ref="K1343">_xlfn.SWITCH(TRIM(UPPER(J1343)),
"BUSINESS", "Short Stay",
"CONFERENCE", "Medium Stay",
"VACATION", "Iong Stay",
"HOLIDAY", "Long Stay",
"V", "Leisure",
"UNKNOWN", "Unknown",
"Other")</f>
        <v>Short Stay</v>
      </c>
    </row>
    <row r="1344" spans="1:11" x14ac:dyDescent="0.3">
      <c r="A1344" t="s">
        <v>4180</v>
      </c>
      <c r="B1344" t="s">
        <v>1502</v>
      </c>
      <c r="C1344" t="s">
        <v>61</v>
      </c>
      <c r="D1344" t="s">
        <v>499</v>
      </c>
      <c r="E1344" t="s">
        <v>458</v>
      </c>
      <c r="F1344" t="s">
        <v>4181</v>
      </c>
      <c r="G1344" t="s">
        <v>1505</v>
      </c>
      <c r="H1344" t="s">
        <v>1763</v>
      </c>
      <c r="I1344">
        <f t="shared" si="20"/>
        <v>2</v>
      </c>
      <c r="J1344" t="s">
        <v>18</v>
      </c>
      <c r="K1344" t="str" cm="1">
        <f t="array" ref="K1344">_xlfn.SWITCH(TRIM(UPPER(J1344)),
"BUSINESS", "Short Stay",
"CONFERENCE", "Medium Stay",
"VACATION", "Iong Stay",
"HOLIDAY", "Long Stay",
"V", "Leisure",
"UNKNOWN", "Unknown",
"Other")</f>
        <v>Short Stay</v>
      </c>
    </row>
    <row r="1345" spans="1:11" x14ac:dyDescent="0.3">
      <c r="A1345" t="s">
        <v>4182</v>
      </c>
      <c r="B1345" t="s">
        <v>1799</v>
      </c>
      <c r="C1345" t="s">
        <v>38</v>
      </c>
      <c r="D1345" t="s">
        <v>1369</v>
      </c>
      <c r="E1345" t="s">
        <v>314</v>
      </c>
      <c r="F1345" t="s">
        <v>4183</v>
      </c>
      <c r="G1345" t="s">
        <v>1125</v>
      </c>
      <c r="H1345" t="s">
        <v>1894</v>
      </c>
      <c r="I1345">
        <f t="shared" si="20"/>
        <v>3</v>
      </c>
      <c r="J1345" t="s">
        <v>27</v>
      </c>
      <c r="K1345" t="str" cm="1">
        <f t="array" ref="K1345">_xlfn.SWITCH(TRIM(UPPER(J1345)),
"BUSINESS", "Short Stay",
"CONFERENCE", "Medium Stay",
"VACATION", "Iong Stay",
"HOLIDAY", "Long Stay",
"V", "Leisure",
"UNKNOWN", "Unknown",
"Other")</f>
        <v>Medium Stay</v>
      </c>
    </row>
    <row r="1346" spans="1:11" x14ac:dyDescent="0.3">
      <c r="A1346" t="s">
        <v>4184</v>
      </c>
      <c r="B1346" t="s">
        <v>520</v>
      </c>
      <c r="C1346" t="s">
        <v>54</v>
      </c>
      <c r="D1346" t="s">
        <v>3130</v>
      </c>
      <c r="E1346" t="s">
        <v>149</v>
      </c>
      <c r="F1346" t="s">
        <v>4185</v>
      </c>
      <c r="G1346" t="s">
        <v>523</v>
      </c>
      <c r="H1346" t="s">
        <v>1296</v>
      </c>
      <c r="I1346">
        <f t="shared" si="20"/>
        <v>3</v>
      </c>
      <c r="J1346" t="s">
        <v>44</v>
      </c>
      <c r="K1346" t="str" cm="1">
        <f t="array" ref="K1346">_xlfn.SWITCH(TRIM(UPPER(J1346)),
"BUSINESS", "Short Stay",
"CONFERENCE", "Medium Stay",
"VACATION", "Iong Stay",
"HOLIDAY", "Long Stay",
"V", "Leisure",
"UNKNOWN", "Unknown",
"Other")</f>
        <v>Other</v>
      </c>
    </row>
    <row r="1347" spans="1:11" x14ac:dyDescent="0.3">
      <c r="A1347" t="s">
        <v>4186</v>
      </c>
      <c r="B1347" t="s">
        <v>4141</v>
      </c>
      <c r="C1347" t="s">
        <v>38</v>
      </c>
      <c r="D1347" t="s">
        <v>3422</v>
      </c>
      <c r="E1347" t="s">
        <v>430</v>
      </c>
      <c r="F1347" t="s">
        <v>4187</v>
      </c>
      <c r="G1347" t="s">
        <v>1894</v>
      </c>
      <c r="H1347" t="s">
        <v>344</v>
      </c>
      <c r="I1347">
        <f t="shared" ref="I1347:I1410" si="21">H1347-G1347</f>
        <v>2</v>
      </c>
      <c r="J1347" t="s">
        <v>18</v>
      </c>
      <c r="K1347" t="str" cm="1">
        <f t="array" ref="K1347">_xlfn.SWITCH(TRIM(UPPER(J1347)),
"BUSINESS", "Short Stay",
"CONFERENCE", "Medium Stay",
"VACATION", "Iong Stay",
"HOLIDAY", "Long Stay",
"V", "Leisure",
"UNKNOWN", "Unknown",
"Other")</f>
        <v>Short Stay</v>
      </c>
    </row>
    <row r="1348" spans="1:11" x14ac:dyDescent="0.3">
      <c r="A1348" t="s">
        <v>4188</v>
      </c>
      <c r="B1348" t="s">
        <v>3973</v>
      </c>
      <c r="C1348" t="s">
        <v>21</v>
      </c>
      <c r="D1348" t="s">
        <v>828</v>
      </c>
      <c r="E1348" t="s">
        <v>48</v>
      </c>
      <c r="F1348" t="s">
        <v>4189</v>
      </c>
      <c r="G1348" t="s">
        <v>1109</v>
      </c>
      <c r="H1348" t="s">
        <v>758</v>
      </c>
      <c r="I1348">
        <f t="shared" si="21"/>
        <v>4</v>
      </c>
      <c r="J1348" t="s">
        <v>18</v>
      </c>
      <c r="K1348" t="str" cm="1">
        <f t="array" ref="K1348">_xlfn.SWITCH(TRIM(UPPER(J1348)),
"BUSINESS", "Short Stay",
"CONFERENCE", "Medium Stay",
"VACATION", "Iong Stay",
"HOLIDAY", "Long Stay",
"V", "Leisure",
"UNKNOWN", "Unknown",
"Other")</f>
        <v>Short Stay</v>
      </c>
    </row>
    <row r="1349" spans="1:11" x14ac:dyDescent="0.3">
      <c r="A1349" t="s">
        <v>4190</v>
      </c>
      <c r="B1349" t="s">
        <v>1667</v>
      </c>
      <c r="C1349" t="s">
        <v>30</v>
      </c>
      <c r="D1349" t="s">
        <v>2982</v>
      </c>
      <c r="E1349" t="s">
        <v>77</v>
      </c>
      <c r="F1349" t="s">
        <v>4191</v>
      </c>
      <c r="G1349" t="s">
        <v>1670</v>
      </c>
      <c r="H1349" t="s">
        <v>705</v>
      </c>
      <c r="I1349">
        <f t="shared" si="21"/>
        <v>4</v>
      </c>
      <c r="J1349" t="s">
        <v>18</v>
      </c>
      <c r="K1349" t="str" cm="1">
        <f t="array" ref="K1349">_xlfn.SWITCH(TRIM(UPPER(J1349)),
"BUSINESS", "Short Stay",
"CONFERENCE", "Medium Stay",
"VACATION", "Iong Stay",
"HOLIDAY", "Long Stay",
"V", "Leisure",
"UNKNOWN", "Unknown",
"Other")</f>
        <v>Short Stay</v>
      </c>
    </row>
    <row r="1350" spans="1:11" x14ac:dyDescent="0.3">
      <c r="A1350" t="s">
        <v>4192</v>
      </c>
      <c r="B1350" t="s">
        <v>2572</v>
      </c>
      <c r="C1350" t="s">
        <v>38</v>
      </c>
      <c r="D1350" t="s">
        <v>1193</v>
      </c>
      <c r="E1350" t="s">
        <v>476</v>
      </c>
      <c r="F1350" t="s">
        <v>4193</v>
      </c>
      <c r="G1350" t="s">
        <v>1121</v>
      </c>
      <c r="H1350" t="s">
        <v>277</v>
      </c>
      <c r="I1350">
        <f t="shared" si="21"/>
        <v>5</v>
      </c>
      <c r="J1350" t="s">
        <v>27</v>
      </c>
      <c r="K1350" t="str" cm="1">
        <f t="array" ref="K1350">_xlfn.SWITCH(TRIM(UPPER(J1350)),
"BUSINESS", "Short Stay",
"CONFERENCE", "Medium Stay",
"VACATION", "Iong Stay",
"HOLIDAY", "Long Stay",
"V", "Leisure",
"UNKNOWN", "Unknown",
"Other")</f>
        <v>Medium Stay</v>
      </c>
    </row>
    <row r="1351" spans="1:11" x14ac:dyDescent="0.3">
      <c r="A1351" t="s">
        <v>4194</v>
      </c>
      <c r="B1351" t="s">
        <v>2437</v>
      </c>
      <c r="C1351" t="s">
        <v>21</v>
      </c>
      <c r="D1351" t="s">
        <v>1423</v>
      </c>
      <c r="E1351" t="s">
        <v>77</v>
      </c>
      <c r="F1351" t="s">
        <v>4195</v>
      </c>
      <c r="G1351" t="s">
        <v>2094</v>
      </c>
      <c r="H1351" t="s">
        <v>368</v>
      </c>
      <c r="I1351">
        <f t="shared" si="21"/>
        <v>1</v>
      </c>
      <c r="J1351" t="s">
        <v>44</v>
      </c>
      <c r="K1351" t="str" cm="1">
        <f t="array" ref="K1351">_xlfn.SWITCH(TRIM(UPPER(J1351)),
"BUSINESS", "Short Stay",
"CONFERENCE", "Medium Stay",
"VACATION", "Iong Stay",
"HOLIDAY", "Long Stay",
"V", "Leisure",
"UNKNOWN", "Unknown",
"Other")</f>
        <v>Other</v>
      </c>
    </row>
    <row r="1352" spans="1:11" x14ac:dyDescent="0.3">
      <c r="A1352" t="s">
        <v>4196</v>
      </c>
      <c r="B1352" t="s">
        <v>556</v>
      </c>
      <c r="C1352" t="s">
        <v>97</v>
      </c>
      <c r="D1352" t="s">
        <v>2344</v>
      </c>
      <c r="E1352" t="s">
        <v>149</v>
      </c>
      <c r="F1352" t="s">
        <v>4197</v>
      </c>
      <c r="G1352" t="s">
        <v>559</v>
      </c>
      <c r="H1352" t="s">
        <v>16</v>
      </c>
      <c r="I1352">
        <f t="shared" si="21"/>
        <v>5</v>
      </c>
      <c r="J1352" t="s">
        <v>18</v>
      </c>
      <c r="K1352" t="str" cm="1">
        <f t="array" ref="K1352">_xlfn.SWITCH(TRIM(UPPER(J1352)),
"BUSINESS", "Short Stay",
"CONFERENCE", "Medium Stay",
"VACATION", "Iong Stay",
"HOLIDAY", "Long Stay",
"V", "Leisure",
"UNKNOWN", "Unknown",
"Other")</f>
        <v>Short Stay</v>
      </c>
    </row>
    <row r="1353" spans="1:11" x14ac:dyDescent="0.3">
      <c r="A1353" t="s">
        <v>4198</v>
      </c>
      <c r="B1353" t="s">
        <v>2109</v>
      </c>
      <c r="C1353" t="s">
        <v>54</v>
      </c>
      <c r="D1353" t="s">
        <v>4199</v>
      </c>
      <c r="E1353" t="s">
        <v>40</v>
      </c>
      <c r="F1353" t="s">
        <v>4200</v>
      </c>
      <c r="G1353" t="s">
        <v>139</v>
      </c>
      <c r="H1353" t="s">
        <v>383</v>
      </c>
      <c r="I1353">
        <f t="shared" si="21"/>
        <v>2</v>
      </c>
      <c r="J1353" t="s">
        <v>121</v>
      </c>
      <c r="K1353" t="str" cm="1">
        <f t="array" ref="K1353">_xlfn.SWITCH(TRIM(UPPER(J1353)),
"BUSINESS", "Short Stay",
"CONFERENCE", "Medium Stay",
"VACATION", "Iong Stay",
"HOLIDAY", "Long Stay",
"V", "Leisure",
"UNKNOWN", "Unknown",
"Other")</f>
        <v>Iong Stay</v>
      </c>
    </row>
    <row r="1354" spans="1:11" x14ac:dyDescent="0.3">
      <c r="A1354" t="s">
        <v>4201</v>
      </c>
      <c r="B1354" t="s">
        <v>708</v>
      </c>
      <c r="C1354" t="s">
        <v>97</v>
      </c>
      <c r="D1354" t="s">
        <v>1791</v>
      </c>
      <c r="E1354" t="s">
        <v>176</v>
      </c>
      <c r="F1354" t="s">
        <v>4202</v>
      </c>
      <c r="G1354" t="s">
        <v>658</v>
      </c>
      <c r="H1354" t="s">
        <v>583</v>
      </c>
      <c r="I1354">
        <f t="shared" si="21"/>
        <v>1</v>
      </c>
      <c r="J1354" t="s">
        <v>27</v>
      </c>
      <c r="K1354" t="str" cm="1">
        <f t="array" ref="K1354">_xlfn.SWITCH(TRIM(UPPER(J1354)),
"BUSINESS", "Short Stay",
"CONFERENCE", "Medium Stay",
"VACATION", "Iong Stay",
"HOLIDAY", "Long Stay",
"V", "Leisure",
"UNKNOWN", "Unknown",
"Other")</f>
        <v>Medium Stay</v>
      </c>
    </row>
    <row r="1355" spans="1:11" x14ac:dyDescent="0.3">
      <c r="A1355" t="s">
        <v>4203</v>
      </c>
      <c r="B1355" t="s">
        <v>1855</v>
      </c>
      <c r="C1355" t="s">
        <v>83</v>
      </c>
      <c r="D1355" t="s">
        <v>3838</v>
      </c>
      <c r="E1355" t="s">
        <v>117</v>
      </c>
      <c r="F1355" t="s">
        <v>4204</v>
      </c>
      <c r="G1355" t="s">
        <v>1172</v>
      </c>
      <c r="H1355" t="s">
        <v>1696</v>
      </c>
      <c r="I1355">
        <f t="shared" si="21"/>
        <v>5</v>
      </c>
      <c r="J1355" t="s">
        <v>44</v>
      </c>
      <c r="K1355" t="str" cm="1">
        <f t="array" ref="K1355">_xlfn.SWITCH(TRIM(UPPER(J1355)),
"BUSINESS", "Short Stay",
"CONFERENCE", "Medium Stay",
"VACATION", "Iong Stay",
"HOLIDAY", "Long Stay",
"V", "Leisure",
"UNKNOWN", "Unknown",
"Other")</f>
        <v>Other</v>
      </c>
    </row>
    <row r="1356" spans="1:11" x14ac:dyDescent="0.3">
      <c r="A1356" t="s">
        <v>4205</v>
      </c>
      <c r="B1356" t="s">
        <v>3046</v>
      </c>
      <c r="C1356" t="s">
        <v>97</v>
      </c>
      <c r="D1356" t="s">
        <v>4206</v>
      </c>
      <c r="E1356" t="s">
        <v>149</v>
      </c>
      <c r="F1356" t="s">
        <v>4207</v>
      </c>
      <c r="G1356" t="s">
        <v>1589</v>
      </c>
      <c r="H1356" t="s">
        <v>797</v>
      </c>
      <c r="I1356">
        <f t="shared" si="21"/>
        <v>2</v>
      </c>
      <c r="J1356" t="s">
        <v>27</v>
      </c>
      <c r="K1356" t="str" cm="1">
        <f t="array" ref="K1356">_xlfn.SWITCH(TRIM(UPPER(J1356)),
"BUSINESS", "Short Stay",
"CONFERENCE", "Medium Stay",
"VACATION", "Iong Stay",
"HOLIDAY", "Long Stay",
"V", "Leisure",
"UNKNOWN", "Unknown",
"Other")</f>
        <v>Medium Stay</v>
      </c>
    </row>
    <row r="1357" spans="1:11" x14ac:dyDescent="0.3">
      <c r="A1357" t="s">
        <v>4208</v>
      </c>
      <c r="B1357" t="s">
        <v>187</v>
      </c>
      <c r="C1357" t="s">
        <v>21</v>
      </c>
      <c r="D1357" t="s">
        <v>1393</v>
      </c>
      <c r="E1357" t="s">
        <v>40</v>
      </c>
      <c r="F1357" t="s">
        <v>4209</v>
      </c>
      <c r="G1357" t="s">
        <v>190</v>
      </c>
      <c r="H1357" t="s">
        <v>100</v>
      </c>
      <c r="I1357">
        <f t="shared" si="21"/>
        <v>2</v>
      </c>
      <c r="J1357" t="s">
        <v>27</v>
      </c>
      <c r="K1357" t="str" cm="1">
        <f t="array" ref="K1357">_xlfn.SWITCH(TRIM(UPPER(J1357)),
"BUSINESS", "Short Stay",
"CONFERENCE", "Medium Stay",
"VACATION", "Iong Stay",
"HOLIDAY", "Long Stay",
"V", "Leisure",
"UNKNOWN", "Unknown",
"Other")</f>
        <v>Medium Stay</v>
      </c>
    </row>
    <row r="1358" spans="1:11" x14ac:dyDescent="0.3">
      <c r="A1358" t="s">
        <v>4210</v>
      </c>
      <c r="B1358" t="s">
        <v>3966</v>
      </c>
      <c r="C1358" t="s">
        <v>12</v>
      </c>
      <c r="D1358" t="s">
        <v>3771</v>
      </c>
      <c r="E1358" t="s">
        <v>14</v>
      </c>
      <c r="F1358" t="s">
        <v>4211</v>
      </c>
      <c r="G1358" t="s">
        <v>145</v>
      </c>
      <c r="H1358" t="s">
        <v>725</v>
      </c>
      <c r="I1358">
        <f t="shared" si="21"/>
        <v>1</v>
      </c>
      <c r="J1358" t="s">
        <v>121</v>
      </c>
      <c r="K1358" t="str" cm="1">
        <f t="array" ref="K1358">_xlfn.SWITCH(TRIM(UPPER(J1358)),
"BUSINESS", "Short Stay",
"CONFERENCE", "Medium Stay",
"VACATION", "Iong Stay",
"HOLIDAY", "Long Stay",
"V", "Leisure",
"UNKNOWN", "Unknown",
"Other")</f>
        <v>Iong Stay</v>
      </c>
    </row>
    <row r="1359" spans="1:11" x14ac:dyDescent="0.3">
      <c r="A1359" t="s">
        <v>4212</v>
      </c>
      <c r="B1359" t="s">
        <v>1017</v>
      </c>
      <c r="C1359" t="s">
        <v>97</v>
      </c>
      <c r="D1359" t="s">
        <v>1258</v>
      </c>
      <c r="E1359" t="s">
        <v>430</v>
      </c>
      <c r="F1359" t="s">
        <v>4213</v>
      </c>
      <c r="G1359" t="s">
        <v>1020</v>
      </c>
      <c r="H1359" t="s">
        <v>304</v>
      </c>
      <c r="I1359">
        <f t="shared" si="21"/>
        <v>5</v>
      </c>
      <c r="J1359" t="s">
        <v>27</v>
      </c>
      <c r="K1359" t="str" cm="1">
        <f t="array" ref="K1359">_xlfn.SWITCH(TRIM(UPPER(J1359)),
"BUSINESS", "Short Stay",
"CONFERENCE", "Medium Stay",
"VACATION", "Iong Stay",
"HOLIDAY", "Long Stay",
"V", "Leisure",
"UNKNOWN", "Unknown",
"Other")</f>
        <v>Medium Stay</v>
      </c>
    </row>
    <row r="1360" spans="1:11" x14ac:dyDescent="0.3">
      <c r="A1360" t="s">
        <v>4214</v>
      </c>
      <c r="B1360" t="s">
        <v>1102</v>
      </c>
      <c r="C1360" t="s">
        <v>174</v>
      </c>
      <c r="D1360" t="s">
        <v>810</v>
      </c>
      <c r="E1360" t="s">
        <v>23</v>
      </c>
      <c r="F1360" t="s">
        <v>4215</v>
      </c>
      <c r="G1360" t="s">
        <v>1105</v>
      </c>
      <c r="H1360" t="s">
        <v>1260</v>
      </c>
      <c r="I1360">
        <f t="shared" si="21"/>
        <v>2</v>
      </c>
      <c r="J1360" t="s">
        <v>18</v>
      </c>
      <c r="K1360" t="str" cm="1">
        <f t="array" ref="K1360">_xlfn.SWITCH(TRIM(UPPER(J1360)),
"BUSINESS", "Short Stay",
"CONFERENCE", "Medium Stay",
"VACATION", "Iong Stay",
"HOLIDAY", "Long Stay",
"V", "Leisure",
"UNKNOWN", "Unknown",
"Other")</f>
        <v>Short Stay</v>
      </c>
    </row>
    <row r="1361" spans="1:11" x14ac:dyDescent="0.3">
      <c r="A1361" t="s">
        <v>4216</v>
      </c>
      <c r="B1361" t="s">
        <v>1451</v>
      </c>
      <c r="C1361" t="s">
        <v>12</v>
      </c>
      <c r="D1361" t="s">
        <v>1749</v>
      </c>
      <c r="E1361" t="s">
        <v>14</v>
      </c>
      <c r="F1361" t="s">
        <v>4217</v>
      </c>
      <c r="G1361" t="s">
        <v>615</v>
      </c>
      <c r="H1361" t="s">
        <v>1078</v>
      </c>
      <c r="I1361">
        <f t="shared" si="21"/>
        <v>4</v>
      </c>
      <c r="J1361" t="s">
        <v>27</v>
      </c>
      <c r="K1361" t="str" cm="1">
        <f t="array" ref="K1361">_xlfn.SWITCH(TRIM(UPPER(J1361)),
"BUSINESS", "Short Stay",
"CONFERENCE", "Medium Stay",
"VACATION", "Iong Stay",
"HOLIDAY", "Long Stay",
"V", "Leisure",
"UNKNOWN", "Unknown",
"Other")</f>
        <v>Medium Stay</v>
      </c>
    </row>
    <row r="1362" spans="1:11" x14ac:dyDescent="0.3">
      <c r="A1362" t="s">
        <v>4218</v>
      </c>
      <c r="B1362" t="s">
        <v>799</v>
      </c>
      <c r="C1362" t="s">
        <v>174</v>
      </c>
      <c r="D1362" t="s">
        <v>4219</v>
      </c>
      <c r="E1362" t="s">
        <v>149</v>
      </c>
      <c r="F1362" t="s">
        <v>4220</v>
      </c>
      <c r="G1362" t="s">
        <v>802</v>
      </c>
      <c r="H1362" t="s">
        <v>803</v>
      </c>
      <c r="I1362">
        <f t="shared" si="21"/>
        <v>4</v>
      </c>
      <c r="J1362" t="s">
        <v>121</v>
      </c>
      <c r="K1362" t="str" cm="1">
        <f t="array" ref="K1362">_xlfn.SWITCH(TRIM(UPPER(J1362)),
"BUSINESS", "Short Stay",
"CONFERENCE", "Medium Stay",
"VACATION", "Iong Stay",
"HOLIDAY", "Long Stay",
"V", "Leisure",
"UNKNOWN", "Unknown",
"Other")</f>
        <v>Iong Stay</v>
      </c>
    </row>
    <row r="1363" spans="1:11" x14ac:dyDescent="0.3">
      <c r="A1363" t="s">
        <v>4221</v>
      </c>
      <c r="B1363" t="s">
        <v>375</v>
      </c>
      <c r="C1363" t="s">
        <v>83</v>
      </c>
      <c r="D1363" t="s">
        <v>1423</v>
      </c>
      <c r="E1363" t="s">
        <v>201</v>
      </c>
      <c r="F1363" t="s">
        <v>4222</v>
      </c>
      <c r="G1363" t="s">
        <v>377</v>
      </c>
      <c r="H1363" t="s">
        <v>839</v>
      </c>
      <c r="I1363">
        <f t="shared" si="21"/>
        <v>2</v>
      </c>
      <c r="J1363" t="s">
        <v>27</v>
      </c>
      <c r="K1363" t="str" cm="1">
        <f t="array" ref="K1363">_xlfn.SWITCH(TRIM(UPPER(J1363)),
"BUSINESS", "Short Stay",
"CONFERENCE", "Medium Stay",
"VACATION", "Iong Stay",
"HOLIDAY", "Long Stay",
"V", "Leisure",
"UNKNOWN", "Unknown",
"Other")</f>
        <v>Medium Stay</v>
      </c>
    </row>
    <row r="1364" spans="1:11" x14ac:dyDescent="0.3">
      <c r="A1364" t="s">
        <v>4223</v>
      </c>
      <c r="B1364" t="s">
        <v>3174</v>
      </c>
      <c r="C1364" t="s">
        <v>83</v>
      </c>
      <c r="D1364" t="s">
        <v>4224</v>
      </c>
      <c r="E1364" t="s">
        <v>176</v>
      </c>
      <c r="F1364" t="s">
        <v>4225</v>
      </c>
      <c r="G1364" t="s">
        <v>1407</v>
      </c>
      <c r="H1364" t="s">
        <v>2398</v>
      </c>
      <c r="I1364">
        <f t="shared" si="21"/>
        <v>2</v>
      </c>
      <c r="J1364" t="s">
        <v>44</v>
      </c>
      <c r="K1364" t="str" cm="1">
        <f t="array" ref="K1364">_xlfn.SWITCH(TRIM(UPPER(J1364)),
"BUSINESS", "Short Stay",
"CONFERENCE", "Medium Stay",
"VACATION", "Iong Stay",
"HOLIDAY", "Long Stay",
"V", "Leisure",
"UNKNOWN", "Unknown",
"Other")</f>
        <v>Other</v>
      </c>
    </row>
    <row r="1365" spans="1:11" x14ac:dyDescent="0.3">
      <c r="A1365" t="s">
        <v>4226</v>
      </c>
      <c r="B1365" t="s">
        <v>1156</v>
      </c>
      <c r="C1365" t="s">
        <v>54</v>
      </c>
      <c r="D1365" t="s">
        <v>1766</v>
      </c>
      <c r="E1365" t="s">
        <v>77</v>
      </c>
      <c r="F1365" t="s">
        <v>4227</v>
      </c>
      <c r="G1365" t="s">
        <v>1159</v>
      </c>
      <c r="H1365" t="s">
        <v>277</v>
      </c>
      <c r="I1365">
        <f t="shared" si="21"/>
        <v>3</v>
      </c>
      <c r="J1365" t="s">
        <v>44</v>
      </c>
      <c r="K1365" t="str" cm="1">
        <f t="array" ref="K1365">_xlfn.SWITCH(TRIM(UPPER(J1365)),
"BUSINESS", "Short Stay",
"CONFERENCE", "Medium Stay",
"VACATION", "Iong Stay",
"HOLIDAY", "Long Stay",
"V", "Leisure",
"UNKNOWN", "Unknown",
"Other")</f>
        <v>Other</v>
      </c>
    </row>
    <row r="1366" spans="1:11" x14ac:dyDescent="0.3">
      <c r="A1366" t="s">
        <v>4228</v>
      </c>
      <c r="B1366" t="s">
        <v>2328</v>
      </c>
      <c r="C1366" t="s">
        <v>12</v>
      </c>
      <c r="D1366" t="s">
        <v>258</v>
      </c>
      <c r="E1366" t="s">
        <v>430</v>
      </c>
      <c r="F1366" t="s">
        <v>4229</v>
      </c>
      <c r="G1366" t="s">
        <v>533</v>
      </c>
      <c r="H1366" t="s">
        <v>524</v>
      </c>
      <c r="I1366">
        <f t="shared" si="21"/>
        <v>4</v>
      </c>
      <c r="J1366" t="s">
        <v>27</v>
      </c>
      <c r="K1366" t="str" cm="1">
        <f t="array" ref="K1366">_xlfn.SWITCH(TRIM(UPPER(J1366)),
"BUSINESS", "Short Stay",
"CONFERENCE", "Medium Stay",
"VACATION", "Iong Stay",
"HOLIDAY", "Long Stay",
"V", "Leisure",
"UNKNOWN", "Unknown",
"Other")</f>
        <v>Medium Stay</v>
      </c>
    </row>
    <row r="1367" spans="1:11" x14ac:dyDescent="0.3">
      <c r="A1367" t="s">
        <v>4230</v>
      </c>
      <c r="B1367" t="s">
        <v>943</v>
      </c>
      <c r="C1367" t="s">
        <v>97</v>
      </c>
      <c r="D1367" t="s">
        <v>4231</v>
      </c>
      <c r="E1367" t="s">
        <v>14</v>
      </c>
      <c r="F1367" t="s">
        <v>4232</v>
      </c>
      <c r="G1367" t="s">
        <v>339</v>
      </c>
      <c r="H1367" t="s">
        <v>404</v>
      </c>
      <c r="I1367">
        <f t="shared" si="21"/>
        <v>3</v>
      </c>
      <c r="J1367" t="s">
        <v>27</v>
      </c>
      <c r="K1367" t="str" cm="1">
        <f t="array" ref="K1367">_xlfn.SWITCH(TRIM(UPPER(J1367)),
"BUSINESS", "Short Stay",
"CONFERENCE", "Medium Stay",
"VACATION", "Iong Stay",
"HOLIDAY", "Long Stay",
"V", "Leisure",
"UNKNOWN", "Unknown",
"Other")</f>
        <v>Medium Stay</v>
      </c>
    </row>
    <row r="1368" spans="1:11" x14ac:dyDescent="0.3">
      <c r="A1368" t="s">
        <v>4233</v>
      </c>
      <c r="B1368" t="s">
        <v>273</v>
      </c>
      <c r="C1368" t="s">
        <v>61</v>
      </c>
      <c r="D1368" t="s">
        <v>182</v>
      </c>
      <c r="E1368" t="s">
        <v>23</v>
      </c>
      <c r="F1368" t="s">
        <v>4234</v>
      </c>
      <c r="G1368" t="s">
        <v>276</v>
      </c>
      <c r="H1368" t="s">
        <v>277</v>
      </c>
      <c r="I1368">
        <f t="shared" si="21"/>
        <v>1</v>
      </c>
      <c r="J1368" t="s">
        <v>27</v>
      </c>
      <c r="K1368" t="str" cm="1">
        <f t="array" ref="K1368">_xlfn.SWITCH(TRIM(UPPER(J1368)),
"BUSINESS", "Short Stay",
"CONFERENCE", "Medium Stay",
"VACATION", "Iong Stay",
"HOLIDAY", "Long Stay",
"V", "Leisure",
"UNKNOWN", "Unknown",
"Other")</f>
        <v>Medium Stay</v>
      </c>
    </row>
    <row r="1369" spans="1:11" x14ac:dyDescent="0.3">
      <c r="A1369" t="s">
        <v>4235</v>
      </c>
      <c r="B1369" t="s">
        <v>2707</v>
      </c>
      <c r="C1369" t="s">
        <v>30</v>
      </c>
      <c r="D1369" t="s">
        <v>4236</v>
      </c>
      <c r="E1369" t="s">
        <v>85</v>
      </c>
      <c r="F1369" t="s">
        <v>4237</v>
      </c>
      <c r="G1369" t="s">
        <v>216</v>
      </c>
      <c r="H1369" t="s">
        <v>409</v>
      </c>
      <c r="I1369">
        <f t="shared" si="21"/>
        <v>1</v>
      </c>
      <c r="J1369" t="s">
        <v>27</v>
      </c>
      <c r="K1369" t="str" cm="1">
        <f t="array" ref="K1369">_xlfn.SWITCH(TRIM(UPPER(J1369)),
"BUSINESS", "Short Stay",
"CONFERENCE", "Medium Stay",
"VACATION", "Iong Stay",
"HOLIDAY", "Long Stay",
"V", "Leisure",
"UNKNOWN", "Unknown",
"Other")</f>
        <v>Medium Stay</v>
      </c>
    </row>
    <row r="1370" spans="1:11" x14ac:dyDescent="0.3">
      <c r="A1370" t="s">
        <v>4238</v>
      </c>
      <c r="B1370" t="s">
        <v>1216</v>
      </c>
      <c r="C1370" t="s">
        <v>61</v>
      </c>
      <c r="D1370" t="s">
        <v>4239</v>
      </c>
      <c r="E1370" t="s">
        <v>430</v>
      </c>
      <c r="F1370" t="s">
        <v>4240</v>
      </c>
      <c r="G1370" t="s">
        <v>1219</v>
      </c>
      <c r="H1370" t="s">
        <v>1020</v>
      </c>
      <c r="I1370">
        <f t="shared" si="21"/>
        <v>2</v>
      </c>
      <c r="J1370" t="s">
        <v>18</v>
      </c>
      <c r="K1370" t="str" cm="1">
        <f t="array" ref="K1370">_xlfn.SWITCH(TRIM(UPPER(J1370)),
"BUSINESS", "Short Stay",
"CONFERENCE", "Medium Stay",
"VACATION", "Iong Stay",
"HOLIDAY", "Long Stay",
"V", "Leisure",
"UNKNOWN", "Unknown",
"Other")</f>
        <v>Short Stay</v>
      </c>
    </row>
    <row r="1371" spans="1:11" x14ac:dyDescent="0.3">
      <c r="A1371" t="s">
        <v>4241</v>
      </c>
      <c r="B1371" t="s">
        <v>1323</v>
      </c>
      <c r="C1371" t="s">
        <v>61</v>
      </c>
      <c r="D1371" t="s">
        <v>2758</v>
      </c>
      <c r="E1371" t="s">
        <v>63</v>
      </c>
      <c r="F1371" t="s">
        <v>4242</v>
      </c>
      <c r="G1371" t="s">
        <v>1326</v>
      </c>
      <c r="H1371" t="s">
        <v>369</v>
      </c>
      <c r="I1371">
        <f t="shared" si="21"/>
        <v>3</v>
      </c>
      <c r="J1371" t="s">
        <v>18</v>
      </c>
      <c r="K1371" t="str" cm="1">
        <f t="array" ref="K1371">_xlfn.SWITCH(TRIM(UPPER(J1371)),
"BUSINESS", "Short Stay",
"CONFERENCE", "Medium Stay",
"VACATION", "Iong Stay",
"HOLIDAY", "Long Stay",
"V", "Leisure",
"UNKNOWN", "Unknown",
"Other")</f>
        <v>Short Stay</v>
      </c>
    </row>
    <row r="1372" spans="1:11" x14ac:dyDescent="0.3">
      <c r="A1372" t="s">
        <v>4243</v>
      </c>
      <c r="B1372" t="s">
        <v>375</v>
      </c>
      <c r="C1372" t="s">
        <v>97</v>
      </c>
      <c r="D1372" t="s">
        <v>3603</v>
      </c>
      <c r="E1372" t="s">
        <v>214</v>
      </c>
      <c r="F1372" t="s">
        <v>1188</v>
      </c>
      <c r="G1372" t="s">
        <v>377</v>
      </c>
      <c r="H1372" t="s">
        <v>2677</v>
      </c>
      <c r="I1372">
        <f t="shared" si="21"/>
        <v>3</v>
      </c>
      <c r="J1372" t="s">
        <v>44</v>
      </c>
      <c r="K1372" t="str" cm="1">
        <f t="array" ref="K1372">_xlfn.SWITCH(TRIM(UPPER(J1372)),
"BUSINESS", "Short Stay",
"CONFERENCE", "Medium Stay",
"VACATION", "Iong Stay",
"HOLIDAY", "Long Stay",
"V", "Leisure",
"UNKNOWN", "Unknown",
"Other")</f>
        <v>Other</v>
      </c>
    </row>
    <row r="1373" spans="1:11" x14ac:dyDescent="0.3">
      <c r="A1373" t="s">
        <v>4244</v>
      </c>
      <c r="B1373" t="s">
        <v>341</v>
      </c>
      <c r="C1373" t="s">
        <v>12</v>
      </c>
      <c r="D1373" t="s">
        <v>4245</v>
      </c>
      <c r="E1373" t="s">
        <v>314</v>
      </c>
      <c r="F1373" t="s">
        <v>4246</v>
      </c>
      <c r="G1373" t="s">
        <v>344</v>
      </c>
      <c r="H1373" t="s">
        <v>79</v>
      </c>
      <c r="I1373">
        <f t="shared" si="21"/>
        <v>1</v>
      </c>
      <c r="J1373" t="s">
        <v>44</v>
      </c>
      <c r="K1373" t="str" cm="1">
        <f t="array" ref="K1373">_xlfn.SWITCH(TRIM(UPPER(J1373)),
"BUSINESS", "Short Stay",
"CONFERENCE", "Medium Stay",
"VACATION", "Iong Stay",
"HOLIDAY", "Long Stay",
"V", "Leisure",
"UNKNOWN", "Unknown",
"Other")</f>
        <v>Other</v>
      </c>
    </row>
    <row r="1374" spans="1:11" x14ac:dyDescent="0.3">
      <c r="A1374" t="s">
        <v>4247</v>
      </c>
      <c r="B1374" t="s">
        <v>2190</v>
      </c>
      <c r="C1374" t="s">
        <v>75</v>
      </c>
      <c r="D1374" t="s">
        <v>4248</v>
      </c>
      <c r="E1374" t="s">
        <v>149</v>
      </c>
      <c r="F1374" t="s">
        <v>4249</v>
      </c>
      <c r="G1374" t="s">
        <v>1471</v>
      </c>
      <c r="H1374" t="s">
        <v>725</v>
      </c>
      <c r="I1374">
        <f t="shared" si="21"/>
        <v>5</v>
      </c>
      <c r="J1374" t="s">
        <v>121</v>
      </c>
      <c r="K1374" t="str" cm="1">
        <f t="array" ref="K1374">_xlfn.SWITCH(TRIM(UPPER(J1374)),
"BUSINESS", "Short Stay",
"CONFERENCE", "Medium Stay",
"VACATION", "Iong Stay",
"HOLIDAY", "Long Stay",
"V", "Leisure",
"UNKNOWN", "Unknown",
"Other")</f>
        <v>Iong Stay</v>
      </c>
    </row>
    <row r="1375" spans="1:11" x14ac:dyDescent="0.3">
      <c r="A1375" t="s">
        <v>4250</v>
      </c>
      <c r="B1375" t="s">
        <v>858</v>
      </c>
      <c r="C1375" t="s">
        <v>12</v>
      </c>
      <c r="D1375" t="s">
        <v>2578</v>
      </c>
      <c r="E1375" t="s">
        <v>314</v>
      </c>
      <c r="F1375" t="s">
        <v>4251</v>
      </c>
      <c r="G1375" t="s">
        <v>861</v>
      </c>
      <c r="H1375" t="s">
        <v>244</v>
      </c>
      <c r="I1375">
        <f t="shared" si="21"/>
        <v>4</v>
      </c>
      <c r="J1375" t="s">
        <v>121</v>
      </c>
      <c r="K1375" t="str" cm="1">
        <f t="array" ref="K1375">_xlfn.SWITCH(TRIM(UPPER(J1375)),
"BUSINESS", "Short Stay",
"CONFERENCE", "Medium Stay",
"VACATION", "Iong Stay",
"HOLIDAY", "Long Stay",
"V", "Leisure",
"UNKNOWN", "Unknown",
"Other")</f>
        <v>Iong Stay</v>
      </c>
    </row>
    <row r="1376" spans="1:11" x14ac:dyDescent="0.3">
      <c r="A1376" t="s">
        <v>4252</v>
      </c>
      <c r="B1376" t="s">
        <v>1323</v>
      </c>
      <c r="C1376" t="s">
        <v>12</v>
      </c>
      <c r="D1376" t="s">
        <v>2886</v>
      </c>
      <c r="E1376" t="s">
        <v>214</v>
      </c>
      <c r="F1376" t="s">
        <v>4253</v>
      </c>
      <c r="G1376" t="s">
        <v>1326</v>
      </c>
      <c r="H1376" t="s">
        <v>93</v>
      </c>
      <c r="I1376">
        <f t="shared" si="21"/>
        <v>5</v>
      </c>
      <c r="J1376" t="s">
        <v>27</v>
      </c>
      <c r="K1376" t="str" cm="1">
        <f t="array" ref="K1376">_xlfn.SWITCH(TRIM(UPPER(J1376)),
"BUSINESS", "Short Stay",
"CONFERENCE", "Medium Stay",
"VACATION", "Iong Stay",
"HOLIDAY", "Long Stay",
"V", "Leisure",
"UNKNOWN", "Unknown",
"Other")</f>
        <v>Medium Stay</v>
      </c>
    </row>
    <row r="1377" spans="1:11" x14ac:dyDescent="0.3">
      <c r="A1377" t="s">
        <v>4254</v>
      </c>
      <c r="B1377" t="s">
        <v>11</v>
      </c>
      <c r="C1377" t="s">
        <v>75</v>
      </c>
      <c r="D1377" t="s">
        <v>4255</v>
      </c>
      <c r="E1377" t="s">
        <v>63</v>
      </c>
      <c r="F1377" t="s">
        <v>4256</v>
      </c>
      <c r="G1377" t="s">
        <v>16</v>
      </c>
      <c r="H1377" t="s">
        <v>1160</v>
      </c>
      <c r="I1377">
        <f t="shared" si="21"/>
        <v>3</v>
      </c>
      <c r="J1377" t="s">
        <v>121</v>
      </c>
      <c r="K1377" t="str" cm="1">
        <f t="array" ref="K1377">_xlfn.SWITCH(TRIM(UPPER(J1377)),
"BUSINESS", "Short Stay",
"CONFERENCE", "Medium Stay",
"VACATION", "Iong Stay",
"HOLIDAY", "Long Stay",
"V", "Leisure",
"UNKNOWN", "Unknown",
"Other")</f>
        <v>Iong Stay</v>
      </c>
    </row>
    <row r="1378" spans="1:11" x14ac:dyDescent="0.3">
      <c r="A1378" t="s">
        <v>4257</v>
      </c>
      <c r="B1378" t="s">
        <v>465</v>
      </c>
      <c r="C1378" t="s">
        <v>97</v>
      </c>
      <c r="D1378" t="s">
        <v>3949</v>
      </c>
      <c r="E1378" t="s">
        <v>32</v>
      </c>
      <c r="F1378" t="s">
        <v>4258</v>
      </c>
      <c r="G1378" t="s">
        <v>468</v>
      </c>
      <c r="H1378" t="s">
        <v>1956</v>
      </c>
      <c r="I1378">
        <f t="shared" si="21"/>
        <v>1</v>
      </c>
      <c r="J1378" t="s">
        <v>18</v>
      </c>
      <c r="K1378" t="str" cm="1">
        <f t="array" ref="K1378">_xlfn.SWITCH(TRIM(UPPER(J1378)),
"BUSINESS", "Short Stay",
"CONFERENCE", "Medium Stay",
"VACATION", "Iong Stay",
"HOLIDAY", "Long Stay",
"V", "Leisure",
"UNKNOWN", "Unknown",
"Other")</f>
        <v>Short Stay</v>
      </c>
    </row>
    <row r="1379" spans="1:11" x14ac:dyDescent="0.3">
      <c r="A1379" t="s">
        <v>4259</v>
      </c>
      <c r="B1379" t="s">
        <v>530</v>
      </c>
      <c r="C1379" t="s">
        <v>12</v>
      </c>
      <c r="D1379" t="s">
        <v>4260</v>
      </c>
      <c r="E1379" t="s">
        <v>476</v>
      </c>
      <c r="F1379" t="s">
        <v>4261</v>
      </c>
      <c r="G1379" t="s">
        <v>512</v>
      </c>
      <c r="H1379" t="s">
        <v>635</v>
      </c>
      <c r="I1379">
        <f t="shared" si="21"/>
        <v>3</v>
      </c>
      <c r="J1379" t="s">
        <v>44</v>
      </c>
      <c r="K1379" t="str" cm="1">
        <f t="array" ref="K1379">_xlfn.SWITCH(TRIM(UPPER(J1379)),
"BUSINESS", "Short Stay",
"CONFERENCE", "Medium Stay",
"VACATION", "Iong Stay",
"HOLIDAY", "Long Stay",
"V", "Leisure",
"UNKNOWN", "Unknown",
"Other")</f>
        <v>Other</v>
      </c>
    </row>
    <row r="1380" spans="1:11" x14ac:dyDescent="0.3">
      <c r="A1380" t="s">
        <v>4262</v>
      </c>
      <c r="B1380" t="s">
        <v>688</v>
      </c>
      <c r="C1380" t="s">
        <v>54</v>
      </c>
      <c r="D1380" t="s">
        <v>301</v>
      </c>
      <c r="E1380" t="s">
        <v>40</v>
      </c>
      <c r="F1380" t="s">
        <v>4263</v>
      </c>
      <c r="G1380" t="s">
        <v>298</v>
      </c>
      <c r="H1380" t="s">
        <v>221</v>
      </c>
      <c r="I1380">
        <f t="shared" si="21"/>
        <v>3</v>
      </c>
      <c r="J1380" t="s">
        <v>121</v>
      </c>
      <c r="K1380" t="str" cm="1">
        <f t="array" ref="K1380">_xlfn.SWITCH(TRIM(UPPER(J1380)),
"BUSINESS", "Short Stay",
"CONFERENCE", "Medium Stay",
"VACATION", "Iong Stay",
"HOLIDAY", "Long Stay",
"V", "Leisure",
"UNKNOWN", "Unknown",
"Other")</f>
        <v>Iong Stay</v>
      </c>
    </row>
    <row r="1381" spans="1:11" x14ac:dyDescent="0.3">
      <c r="A1381" t="s">
        <v>4264</v>
      </c>
      <c r="B1381" t="s">
        <v>1661</v>
      </c>
      <c r="C1381" t="s">
        <v>97</v>
      </c>
      <c r="D1381" t="s">
        <v>871</v>
      </c>
      <c r="E1381" t="s">
        <v>117</v>
      </c>
      <c r="F1381" t="s">
        <v>4265</v>
      </c>
      <c r="G1381" t="s">
        <v>946</v>
      </c>
      <c r="H1381" t="s">
        <v>1020</v>
      </c>
      <c r="I1381">
        <f t="shared" si="21"/>
        <v>3</v>
      </c>
      <c r="J1381" t="s">
        <v>18</v>
      </c>
      <c r="K1381" t="str" cm="1">
        <f t="array" ref="K1381">_xlfn.SWITCH(TRIM(UPPER(J1381)),
"BUSINESS", "Short Stay",
"CONFERENCE", "Medium Stay",
"VACATION", "Iong Stay",
"HOLIDAY", "Long Stay",
"V", "Leisure",
"UNKNOWN", "Unknown",
"Other")</f>
        <v>Short Stay</v>
      </c>
    </row>
    <row r="1382" spans="1:11" x14ac:dyDescent="0.3">
      <c r="A1382" t="s">
        <v>4266</v>
      </c>
      <c r="B1382" t="s">
        <v>247</v>
      </c>
      <c r="C1382" t="s">
        <v>21</v>
      </c>
      <c r="D1382" t="s">
        <v>2288</v>
      </c>
      <c r="E1382" t="s">
        <v>314</v>
      </c>
      <c r="F1382" t="s">
        <v>4267</v>
      </c>
      <c r="G1382" t="s">
        <v>250</v>
      </c>
      <c r="H1382" t="s">
        <v>572</v>
      </c>
      <c r="I1382">
        <f t="shared" si="21"/>
        <v>5</v>
      </c>
      <c r="J1382" t="s">
        <v>27</v>
      </c>
      <c r="K1382" t="str" cm="1">
        <f t="array" ref="K1382">_xlfn.SWITCH(TRIM(UPPER(J1382)),
"BUSINESS", "Short Stay",
"CONFERENCE", "Medium Stay",
"VACATION", "Iong Stay",
"HOLIDAY", "Long Stay",
"V", "Leisure",
"UNKNOWN", "Unknown",
"Other")</f>
        <v>Medium Stay</v>
      </c>
    </row>
    <row r="1383" spans="1:11" x14ac:dyDescent="0.3">
      <c r="A1383" t="s">
        <v>4268</v>
      </c>
      <c r="B1383" t="s">
        <v>1916</v>
      </c>
      <c r="C1383" t="s">
        <v>97</v>
      </c>
      <c r="D1383" t="s">
        <v>116</v>
      </c>
      <c r="E1383" t="s">
        <v>149</v>
      </c>
      <c r="F1383" t="s">
        <v>4269</v>
      </c>
      <c r="G1383" t="s">
        <v>691</v>
      </c>
      <c r="H1383" t="s">
        <v>1304</v>
      </c>
      <c r="I1383">
        <f t="shared" si="21"/>
        <v>5</v>
      </c>
      <c r="J1383" t="s">
        <v>27</v>
      </c>
      <c r="K1383" t="str" cm="1">
        <f t="array" ref="K1383">_xlfn.SWITCH(TRIM(UPPER(J1383)),
"BUSINESS", "Short Stay",
"CONFERENCE", "Medium Stay",
"VACATION", "Iong Stay",
"HOLIDAY", "Long Stay",
"V", "Leisure",
"UNKNOWN", "Unknown",
"Other")</f>
        <v>Medium Stay</v>
      </c>
    </row>
    <row r="1384" spans="1:11" x14ac:dyDescent="0.3">
      <c r="A1384" t="s">
        <v>4270</v>
      </c>
      <c r="B1384" t="s">
        <v>1045</v>
      </c>
      <c r="C1384" t="s">
        <v>21</v>
      </c>
      <c r="D1384" t="s">
        <v>965</v>
      </c>
      <c r="E1384" t="s">
        <v>32</v>
      </c>
      <c r="F1384" t="s">
        <v>4271</v>
      </c>
      <c r="G1384" t="s">
        <v>1048</v>
      </c>
      <c r="H1384" t="s">
        <v>139</v>
      </c>
      <c r="I1384">
        <f t="shared" si="21"/>
        <v>3</v>
      </c>
      <c r="J1384" t="s">
        <v>44</v>
      </c>
      <c r="K1384" t="str" cm="1">
        <f t="array" ref="K1384">_xlfn.SWITCH(TRIM(UPPER(J1384)),
"BUSINESS", "Short Stay",
"CONFERENCE", "Medium Stay",
"VACATION", "Iong Stay",
"HOLIDAY", "Long Stay",
"V", "Leisure",
"UNKNOWN", "Unknown",
"Other")</f>
        <v>Other</v>
      </c>
    </row>
    <row r="1385" spans="1:11" x14ac:dyDescent="0.3">
      <c r="A1385" t="s">
        <v>4272</v>
      </c>
      <c r="B1385" t="s">
        <v>161</v>
      </c>
      <c r="C1385" t="s">
        <v>83</v>
      </c>
      <c r="D1385" t="s">
        <v>4273</v>
      </c>
      <c r="E1385" t="s">
        <v>77</v>
      </c>
      <c r="F1385" t="s">
        <v>4274</v>
      </c>
      <c r="G1385" t="s">
        <v>164</v>
      </c>
      <c r="H1385" t="s">
        <v>913</v>
      </c>
      <c r="I1385">
        <f t="shared" si="21"/>
        <v>3</v>
      </c>
      <c r="J1385" t="s">
        <v>18</v>
      </c>
      <c r="K1385" t="str" cm="1">
        <f t="array" ref="K1385">_xlfn.SWITCH(TRIM(UPPER(J1385)),
"BUSINESS", "Short Stay",
"CONFERENCE", "Medium Stay",
"VACATION", "Iong Stay",
"HOLIDAY", "Long Stay",
"V", "Leisure",
"UNKNOWN", "Unknown",
"Other")</f>
        <v>Short Stay</v>
      </c>
    </row>
    <row r="1386" spans="1:11" x14ac:dyDescent="0.3">
      <c r="A1386" t="s">
        <v>4275</v>
      </c>
      <c r="B1386" t="s">
        <v>4276</v>
      </c>
      <c r="C1386" t="s">
        <v>30</v>
      </c>
      <c r="D1386" t="s">
        <v>2067</v>
      </c>
      <c r="E1386" t="s">
        <v>476</v>
      </c>
      <c r="F1386" t="s">
        <v>4277</v>
      </c>
      <c r="G1386" t="s">
        <v>1712</v>
      </c>
      <c r="H1386" t="s">
        <v>1326</v>
      </c>
      <c r="I1386">
        <f t="shared" si="21"/>
        <v>5</v>
      </c>
      <c r="J1386" t="s">
        <v>121</v>
      </c>
      <c r="K1386" t="str" cm="1">
        <f t="array" ref="K1386">_xlfn.SWITCH(TRIM(UPPER(J1386)),
"BUSINESS", "Short Stay",
"CONFERENCE", "Medium Stay",
"VACATION", "Iong Stay",
"HOLIDAY", "Long Stay",
"V", "Leisure",
"UNKNOWN", "Unknown",
"Other")</f>
        <v>Iong Stay</v>
      </c>
    </row>
    <row r="1387" spans="1:11" x14ac:dyDescent="0.3">
      <c r="A1387" t="s">
        <v>4278</v>
      </c>
      <c r="B1387" t="s">
        <v>1606</v>
      </c>
      <c r="C1387" t="s">
        <v>83</v>
      </c>
      <c r="D1387" t="s">
        <v>842</v>
      </c>
      <c r="E1387" t="s">
        <v>40</v>
      </c>
      <c r="F1387" t="s">
        <v>4279</v>
      </c>
      <c r="G1387" t="s">
        <v>524</v>
      </c>
      <c r="H1387" t="s">
        <v>1363</v>
      </c>
      <c r="I1387">
        <f t="shared" si="21"/>
        <v>1</v>
      </c>
      <c r="J1387" t="s">
        <v>44</v>
      </c>
      <c r="K1387" t="str" cm="1">
        <f t="array" ref="K1387">_xlfn.SWITCH(TRIM(UPPER(J1387)),
"BUSINESS", "Short Stay",
"CONFERENCE", "Medium Stay",
"VACATION", "Iong Stay",
"HOLIDAY", "Long Stay",
"V", "Leisure",
"UNKNOWN", "Unknown",
"Other")</f>
        <v>Other</v>
      </c>
    </row>
    <row r="1388" spans="1:11" x14ac:dyDescent="0.3">
      <c r="A1388" t="s">
        <v>4280</v>
      </c>
      <c r="B1388" t="s">
        <v>1902</v>
      </c>
      <c r="C1388" t="s">
        <v>12</v>
      </c>
      <c r="D1388" t="s">
        <v>4281</v>
      </c>
      <c r="E1388" t="s">
        <v>63</v>
      </c>
      <c r="F1388" t="s">
        <v>4282</v>
      </c>
      <c r="G1388" t="s">
        <v>1905</v>
      </c>
      <c r="H1388" t="s">
        <v>1559</v>
      </c>
      <c r="I1388">
        <f t="shared" si="21"/>
        <v>5</v>
      </c>
      <c r="J1388" t="s">
        <v>121</v>
      </c>
      <c r="K1388" t="str" cm="1">
        <f t="array" ref="K1388">_xlfn.SWITCH(TRIM(UPPER(J1388)),
"BUSINESS", "Short Stay",
"CONFERENCE", "Medium Stay",
"VACATION", "Iong Stay",
"HOLIDAY", "Long Stay",
"V", "Leisure",
"UNKNOWN", "Unknown",
"Other")</f>
        <v>Iong Stay</v>
      </c>
    </row>
    <row r="1389" spans="1:11" x14ac:dyDescent="0.3">
      <c r="A1389" t="s">
        <v>4283</v>
      </c>
      <c r="B1389" t="s">
        <v>181</v>
      </c>
      <c r="C1389" t="s">
        <v>30</v>
      </c>
      <c r="D1389" t="s">
        <v>1270</v>
      </c>
      <c r="E1389" t="s">
        <v>176</v>
      </c>
      <c r="F1389" t="s">
        <v>4284</v>
      </c>
      <c r="G1389" t="s">
        <v>184</v>
      </c>
      <c r="H1389" t="s">
        <v>1575</v>
      </c>
      <c r="I1389">
        <f t="shared" si="21"/>
        <v>2</v>
      </c>
      <c r="J1389" t="s">
        <v>18</v>
      </c>
      <c r="K1389" t="str" cm="1">
        <f t="array" ref="K1389">_xlfn.SWITCH(TRIM(UPPER(J1389)),
"BUSINESS", "Short Stay",
"CONFERENCE", "Medium Stay",
"VACATION", "Iong Stay",
"HOLIDAY", "Long Stay",
"V", "Leisure",
"UNKNOWN", "Unknown",
"Other")</f>
        <v>Short Stay</v>
      </c>
    </row>
    <row r="1390" spans="1:11" x14ac:dyDescent="0.3">
      <c r="A1390" t="s">
        <v>4285</v>
      </c>
      <c r="B1390" t="s">
        <v>1162</v>
      </c>
      <c r="C1390" t="s">
        <v>12</v>
      </c>
      <c r="D1390" t="s">
        <v>4286</v>
      </c>
      <c r="E1390" t="s">
        <v>214</v>
      </c>
      <c r="F1390" t="s">
        <v>4287</v>
      </c>
      <c r="G1390" t="s">
        <v>1164</v>
      </c>
      <c r="H1390" t="s">
        <v>1159</v>
      </c>
      <c r="I1390">
        <f t="shared" si="21"/>
        <v>1</v>
      </c>
      <c r="J1390" t="s">
        <v>44</v>
      </c>
      <c r="K1390" t="str" cm="1">
        <f t="array" ref="K1390">_xlfn.SWITCH(TRIM(UPPER(J1390)),
"BUSINESS", "Short Stay",
"CONFERENCE", "Medium Stay",
"VACATION", "Iong Stay",
"HOLIDAY", "Long Stay",
"V", "Leisure",
"UNKNOWN", "Unknown",
"Other")</f>
        <v>Other</v>
      </c>
    </row>
    <row r="1391" spans="1:11" x14ac:dyDescent="0.3">
      <c r="A1391" t="s">
        <v>4288</v>
      </c>
      <c r="B1391" t="s">
        <v>755</v>
      </c>
      <c r="C1391" t="s">
        <v>38</v>
      </c>
      <c r="D1391" t="s">
        <v>4289</v>
      </c>
      <c r="E1391" t="s">
        <v>69</v>
      </c>
      <c r="F1391" t="s">
        <v>4290</v>
      </c>
      <c r="G1391" t="s">
        <v>758</v>
      </c>
      <c r="H1391" t="s">
        <v>2628</v>
      </c>
      <c r="I1391">
        <f t="shared" si="21"/>
        <v>3</v>
      </c>
      <c r="J1391" t="s">
        <v>18</v>
      </c>
      <c r="K1391" t="str" cm="1">
        <f t="array" ref="K1391">_xlfn.SWITCH(TRIM(UPPER(J1391)),
"BUSINESS", "Short Stay",
"CONFERENCE", "Medium Stay",
"VACATION", "Iong Stay",
"HOLIDAY", "Long Stay",
"V", "Leisure",
"UNKNOWN", "Unknown",
"Other")</f>
        <v>Short Stay</v>
      </c>
    </row>
    <row r="1392" spans="1:11" x14ac:dyDescent="0.3">
      <c r="A1392" t="s">
        <v>4291</v>
      </c>
      <c r="B1392" t="s">
        <v>1338</v>
      </c>
      <c r="C1392" t="s">
        <v>61</v>
      </c>
      <c r="D1392" t="s">
        <v>1283</v>
      </c>
      <c r="E1392" t="s">
        <v>63</v>
      </c>
      <c r="F1392" t="s">
        <v>4292</v>
      </c>
      <c r="G1392" t="s">
        <v>171</v>
      </c>
      <c r="H1392" t="s">
        <v>1125</v>
      </c>
      <c r="I1392">
        <f t="shared" si="21"/>
        <v>2</v>
      </c>
      <c r="J1392" t="s">
        <v>121</v>
      </c>
      <c r="K1392" t="str" cm="1">
        <f t="array" ref="K1392">_xlfn.SWITCH(TRIM(UPPER(J1392)),
"BUSINESS", "Short Stay",
"CONFERENCE", "Medium Stay",
"VACATION", "Iong Stay",
"HOLIDAY", "Long Stay",
"V", "Leisure",
"UNKNOWN", "Unknown",
"Other")</f>
        <v>Iong Stay</v>
      </c>
    </row>
    <row r="1393" spans="1:11" x14ac:dyDescent="0.3">
      <c r="A1393" t="s">
        <v>4293</v>
      </c>
      <c r="B1393" t="s">
        <v>565</v>
      </c>
      <c r="C1393" t="s">
        <v>38</v>
      </c>
      <c r="D1393" t="s">
        <v>2236</v>
      </c>
      <c r="E1393" t="s">
        <v>201</v>
      </c>
      <c r="F1393" t="s">
        <v>4294</v>
      </c>
      <c r="G1393" t="s">
        <v>568</v>
      </c>
      <c r="H1393" t="s">
        <v>1085</v>
      </c>
      <c r="I1393">
        <f t="shared" si="21"/>
        <v>5</v>
      </c>
      <c r="J1393" t="s">
        <v>18</v>
      </c>
      <c r="K1393" t="str" cm="1">
        <f t="array" ref="K1393">_xlfn.SWITCH(TRIM(UPPER(J1393)),
"BUSINESS", "Short Stay",
"CONFERENCE", "Medium Stay",
"VACATION", "Iong Stay",
"HOLIDAY", "Long Stay",
"V", "Leisure",
"UNKNOWN", "Unknown",
"Other")</f>
        <v>Short Stay</v>
      </c>
    </row>
    <row r="1394" spans="1:11" x14ac:dyDescent="0.3">
      <c r="A1394" t="s">
        <v>4295</v>
      </c>
      <c r="B1394" t="s">
        <v>1071</v>
      </c>
      <c r="C1394" t="s">
        <v>174</v>
      </c>
      <c r="D1394" t="s">
        <v>2040</v>
      </c>
      <c r="E1394" t="s">
        <v>63</v>
      </c>
      <c r="F1394" t="s">
        <v>3110</v>
      </c>
      <c r="G1394" t="s">
        <v>1073</v>
      </c>
      <c r="H1394" t="s">
        <v>25</v>
      </c>
      <c r="I1394">
        <f t="shared" si="21"/>
        <v>3</v>
      </c>
      <c r="J1394" t="s">
        <v>27</v>
      </c>
      <c r="K1394" t="str" cm="1">
        <f t="array" ref="K1394">_xlfn.SWITCH(TRIM(UPPER(J1394)),
"BUSINESS", "Short Stay",
"CONFERENCE", "Medium Stay",
"VACATION", "Iong Stay",
"HOLIDAY", "Long Stay",
"V", "Leisure",
"UNKNOWN", "Unknown",
"Other")</f>
        <v>Medium Stay</v>
      </c>
    </row>
    <row r="1395" spans="1:11" x14ac:dyDescent="0.3">
      <c r="A1395" t="s">
        <v>4296</v>
      </c>
      <c r="B1395" t="s">
        <v>306</v>
      </c>
      <c r="C1395" t="s">
        <v>38</v>
      </c>
      <c r="D1395" t="s">
        <v>1592</v>
      </c>
      <c r="E1395" t="s">
        <v>14</v>
      </c>
      <c r="F1395" t="s">
        <v>4297</v>
      </c>
      <c r="G1395" t="s">
        <v>309</v>
      </c>
      <c r="H1395" t="s">
        <v>735</v>
      </c>
      <c r="I1395">
        <f t="shared" si="21"/>
        <v>1</v>
      </c>
      <c r="J1395" t="s">
        <v>18</v>
      </c>
      <c r="K1395" t="str" cm="1">
        <f t="array" ref="K1395">_xlfn.SWITCH(TRIM(UPPER(J1395)),
"BUSINESS", "Short Stay",
"CONFERENCE", "Medium Stay",
"VACATION", "Iong Stay",
"HOLIDAY", "Long Stay",
"V", "Leisure",
"UNKNOWN", "Unknown",
"Other")</f>
        <v>Short Stay</v>
      </c>
    </row>
    <row r="1396" spans="1:11" x14ac:dyDescent="0.3">
      <c r="A1396" t="s">
        <v>4298</v>
      </c>
      <c r="B1396" t="s">
        <v>4043</v>
      </c>
      <c r="C1396" t="s">
        <v>30</v>
      </c>
      <c r="D1396" t="s">
        <v>3497</v>
      </c>
      <c r="E1396" t="s">
        <v>201</v>
      </c>
      <c r="F1396" t="s">
        <v>4299</v>
      </c>
      <c r="G1396" t="s">
        <v>4045</v>
      </c>
      <c r="H1396" t="s">
        <v>908</v>
      </c>
      <c r="I1396">
        <f t="shared" si="21"/>
        <v>1</v>
      </c>
      <c r="J1396" t="s">
        <v>44</v>
      </c>
      <c r="K1396" t="str" cm="1">
        <f t="array" ref="K1396">_xlfn.SWITCH(TRIM(UPPER(J1396)),
"BUSINESS", "Short Stay",
"CONFERENCE", "Medium Stay",
"VACATION", "Iong Stay",
"HOLIDAY", "Long Stay",
"V", "Leisure",
"UNKNOWN", "Unknown",
"Other")</f>
        <v>Other</v>
      </c>
    </row>
    <row r="1397" spans="1:11" x14ac:dyDescent="0.3">
      <c r="A1397" t="s">
        <v>4300</v>
      </c>
      <c r="B1397" t="s">
        <v>2509</v>
      </c>
      <c r="C1397" t="s">
        <v>61</v>
      </c>
      <c r="D1397" t="s">
        <v>2475</v>
      </c>
      <c r="E1397" t="s">
        <v>63</v>
      </c>
      <c r="F1397" t="s">
        <v>4301</v>
      </c>
      <c r="G1397" t="s">
        <v>1862</v>
      </c>
      <c r="H1397" t="s">
        <v>1759</v>
      </c>
      <c r="I1397">
        <f t="shared" si="21"/>
        <v>5</v>
      </c>
      <c r="J1397" t="s">
        <v>18</v>
      </c>
      <c r="K1397" t="str" cm="1">
        <f t="array" ref="K1397">_xlfn.SWITCH(TRIM(UPPER(J1397)),
"BUSINESS", "Short Stay",
"CONFERENCE", "Medium Stay",
"VACATION", "Iong Stay",
"HOLIDAY", "Long Stay",
"V", "Leisure",
"UNKNOWN", "Unknown",
"Other")</f>
        <v>Short Stay</v>
      </c>
    </row>
    <row r="1398" spans="1:11" x14ac:dyDescent="0.3">
      <c r="A1398" t="s">
        <v>4302</v>
      </c>
      <c r="B1398" t="s">
        <v>2356</v>
      </c>
      <c r="C1398" t="s">
        <v>38</v>
      </c>
      <c r="D1398" t="s">
        <v>956</v>
      </c>
      <c r="E1398" t="s">
        <v>201</v>
      </c>
      <c r="F1398" t="s">
        <v>4303</v>
      </c>
      <c r="G1398" t="s">
        <v>856</v>
      </c>
      <c r="H1398" t="s">
        <v>501</v>
      </c>
      <c r="I1398">
        <f t="shared" si="21"/>
        <v>2</v>
      </c>
      <c r="J1398" t="s">
        <v>44</v>
      </c>
      <c r="K1398" t="str" cm="1">
        <f t="array" ref="K1398">_xlfn.SWITCH(TRIM(UPPER(J1398)),
"BUSINESS", "Short Stay",
"CONFERENCE", "Medium Stay",
"VACATION", "Iong Stay",
"HOLIDAY", "Long Stay",
"V", "Leisure",
"UNKNOWN", "Unknown",
"Other")</f>
        <v>Other</v>
      </c>
    </row>
    <row r="1399" spans="1:11" x14ac:dyDescent="0.3">
      <c r="A1399" t="s">
        <v>4304</v>
      </c>
      <c r="B1399" t="s">
        <v>3210</v>
      </c>
      <c r="C1399" t="s">
        <v>97</v>
      </c>
      <c r="D1399" t="s">
        <v>3403</v>
      </c>
      <c r="E1399" t="s">
        <v>156</v>
      </c>
      <c r="F1399" t="s">
        <v>4305</v>
      </c>
      <c r="G1399" t="s">
        <v>1260</v>
      </c>
      <c r="H1399" t="s">
        <v>179</v>
      </c>
      <c r="I1399">
        <f t="shared" si="21"/>
        <v>2</v>
      </c>
      <c r="J1399" t="s">
        <v>27</v>
      </c>
      <c r="K1399" t="str" cm="1">
        <f t="array" ref="K1399">_xlfn.SWITCH(TRIM(UPPER(J1399)),
"BUSINESS", "Short Stay",
"CONFERENCE", "Medium Stay",
"VACATION", "Iong Stay",
"HOLIDAY", "Long Stay",
"V", "Leisure",
"UNKNOWN", "Unknown",
"Other")</f>
        <v>Medium Stay</v>
      </c>
    </row>
    <row r="1400" spans="1:11" x14ac:dyDescent="0.3">
      <c r="A1400" t="s">
        <v>4306</v>
      </c>
      <c r="B1400" t="s">
        <v>1761</v>
      </c>
      <c r="C1400" t="s">
        <v>54</v>
      </c>
      <c r="D1400" t="s">
        <v>2805</v>
      </c>
      <c r="E1400" t="s">
        <v>23</v>
      </c>
      <c r="F1400" t="s">
        <v>4307</v>
      </c>
      <c r="G1400" t="s">
        <v>1763</v>
      </c>
      <c r="H1400" t="s">
        <v>2777</v>
      </c>
      <c r="I1400">
        <f t="shared" si="21"/>
        <v>2</v>
      </c>
      <c r="J1400" t="s">
        <v>44</v>
      </c>
      <c r="K1400" t="str" cm="1">
        <f t="array" ref="K1400">_xlfn.SWITCH(TRIM(UPPER(J1400)),
"BUSINESS", "Short Stay",
"CONFERENCE", "Medium Stay",
"VACATION", "Iong Stay",
"HOLIDAY", "Long Stay",
"V", "Leisure",
"UNKNOWN", "Unknown",
"Other")</f>
        <v>Other</v>
      </c>
    </row>
    <row r="1401" spans="1:11" x14ac:dyDescent="0.3">
      <c r="A1401" t="s">
        <v>4308</v>
      </c>
      <c r="B1401" t="s">
        <v>353</v>
      </c>
      <c r="C1401" t="s">
        <v>30</v>
      </c>
      <c r="D1401" t="s">
        <v>3514</v>
      </c>
      <c r="E1401" t="s">
        <v>214</v>
      </c>
      <c r="F1401" t="s">
        <v>4309</v>
      </c>
      <c r="G1401" t="s">
        <v>356</v>
      </c>
      <c r="H1401" t="s">
        <v>357</v>
      </c>
      <c r="I1401">
        <f t="shared" si="21"/>
        <v>3</v>
      </c>
      <c r="J1401" t="s">
        <v>121</v>
      </c>
      <c r="K1401" t="str" cm="1">
        <f t="array" ref="K1401">_xlfn.SWITCH(TRIM(UPPER(J1401)),
"BUSINESS", "Short Stay",
"CONFERENCE", "Medium Stay",
"VACATION", "Iong Stay",
"HOLIDAY", "Long Stay",
"V", "Leisure",
"UNKNOWN", "Unknown",
"Other")</f>
        <v>Iong Stay</v>
      </c>
    </row>
    <row r="1402" spans="1:11" x14ac:dyDescent="0.3">
      <c r="A1402" t="s">
        <v>4310</v>
      </c>
      <c r="B1402" t="s">
        <v>835</v>
      </c>
      <c r="C1402" t="s">
        <v>75</v>
      </c>
      <c r="D1402" t="s">
        <v>542</v>
      </c>
      <c r="E1402" t="s">
        <v>201</v>
      </c>
      <c r="F1402" t="s">
        <v>4311</v>
      </c>
      <c r="G1402" t="s">
        <v>838</v>
      </c>
      <c r="H1402" t="s">
        <v>2677</v>
      </c>
      <c r="I1402">
        <f t="shared" si="21"/>
        <v>4</v>
      </c>
      <c r="J1402" t="s">
        <v>27</v>
      </c>
      <c r="K1402" t="str" cm="1">
        <f t="array" ref="K1402">_xlfn.SWITCH(TRIM(UPPER(J1402)),
"BUSINESS", "Short Stay",
"CONFERENCE", "Medium Stay",
"VACATION", "Iong Stay",
"HOLIDAY", "Long Stay",
"V", "Leisure",
"UNKNOWN", "Unknown",
"Other")</f>
        <v>Medium Stay</v>
      </c>
    </row>
    <row r="1403" spans="1:11" x14ac:dyDescent="0.3">
      <c r="A1403" t="s">
        <v>4312</v>
      </c>
      <c r="B1403" t="s">
        <v>3396</v>
      </c>
      <c r="C1403" t="s">
        <v>97</v>
      </c>
      <c r="D1403" t="s">
        <v>4313</v>
      </c>
      <c r="E1403" t="s">
        <v>476</v>
      </c>
      <c r="F1403" t="s">
        <v>2243</v>
      </c>
      <c r="G1403" t="s">
        <v>695</v>
      </c>
      <c r="H1403" t="s">
        <v>316</v>
      </c>
      <c r="I1403">
        <f t="shared" si="21"/>
        <v>3</v>
      </c>
      <c r="J1403" t="s">
        <v>18</v>
      </c>
      <c r="K1403" t="str" cm="1">
        <f t="array" ref="K1403">_xlfn.SWITCH(TRIM(UPPER(J1403)),
"BUSINESS", "Short Stay",
"CONFERENCE", "Medium Stay",
"VACATION", "Iong Stay",
"HOLIDAY", "Long Stay",
"V", "Leisure",
"UNKNOWN", "Unknown",
"Other")</f>
        <v>Short Stay</v>
      </c>
    </row>
    <row r="1404" spans="1:11" x14ac:dyDescent="0.3">
      <c r="A1404" t="s">
        <v>4314</v>
      </c>
      <c r="B1404" t="s">
        <v>173</v>
      </c>
      <c r="C1404" t="s">
        <v>174</v>
      </c>
      <c r="D1404" t="s">
        <v>4315</v>
      </c>
      <c r="E1404" t="s">
        <v>430</v>
      </c>
      <c r="F1404" t="s">
        <v>4316</v>
      </c>
      <c r="G1404" t="s">
        <v>178</v>
      </c>
      <c r="H1404" t="s">
        <v>1260</v>
      </c>
      <c r="I1404">
        <f t="shared" si="21"/>
        <v>3</v>
      </c>
      <c r="J1404" t="s">
        <v>27</v>
      </c>
      <c r="K1404" t="str" cm="1">
        <f t="array" ref="K1404">_xlfn.SWITCH(TRIM(UPPER(J1404)),
"BUSINESS", "Short Stay",
"CONFERENCE", "Medium Stay",
"VACATION", "Iong Stay",
"HOLIDAY", "Long Stay",
"V", "Leisure",
"UNKNOWN", "Unknown",
"Other")</f>
        <v>Medium Stay</v>
      </c>
    </row>
    <row r="1405" spans="1:11" x14ac:dyDescent="0.3">
      <c r="A1405" t="s">
        <v>4317</v>
      </c>
      <c r="B1405" t="s">
        <v>1942</v>
      </c>
      <c r="C1405" t="s">
        <v>75</v>
      </c>
      <c r="D1405" t="s">
        <v>2784</v>
      </c>
      <c r="E1405" t="s">
        <v>476</v>
      </c>
      <c r="F1405" t="s">
        <v>4318</v>
      </c>
      <c r="G1405" t="s">
        <v>1696</v>
      </c>
      <c r="H1405" t="s">
        <v>769</v>
      </c>
      <c r="I1405">
        <f t="shared" si="21"/>
        <v>1</v>
      </c>
      <c r="J1405" t="s">
        <v>18</v>
      </c>
      <c r="K1405" t="str" cm="1">
        <f t="array" ref="K1405">_xlfn.SWITCH(TRIM(UPPER(J1405)),
"BUSINESS", "Short Stay",
"CONFERENCE", "Medium Stay",
"VACATION", "Iong Stay",
"HOLIDAY", "Long Stay",
"V", "Leisure",
"UNKNOWN", "Unknown",
"Other")</f>
        <v>Short Stay</v>
      </c>
    </row>
    <row r="1406" spans="1:11" x14ac:dyDescent="0.3">
      <c r="A1406" t="s">
        <v>4319</v>
      </c>
      <c r="B1406" t="s">
        <v>2109</v>
      </c>
      <c r="C1406" t="s">
        <v>21</v>
      </c>
      <c r="D1406" t="s">
        <v>2403</v>
      </c>
      <c r="E1406" t="s">
        <v>32</v>
      </c>
      <c r="F1406" t="s">
        <v>4320</v>
      </c>
      <c r="G1406" t="s">
        <v>139</v>
      </c>
      <c r="H1406" t="s">
        <v>196</v>
      </c>
      <c r="I1406">
        <f t="shared" si="21"/>
        <v>4</v>
      </c>
      <c r="J1406" t="s">
        <v>18</v>
      </c>
      <c r="K1406" t="str" cm="1">
        <f t="array" ref="K1406">_xlfn.SWITCH(TRIM(UPPER(J1406)),
"BUSINESS", "Short Stay",
"CONFERENCE", "Medium Stay",
"VACATION", "Iong Stay",
"HOLIDAY", "Long Stay",
"V", "Leisure",
"UNKNOWN", "Unknown",
"Other")</f>
        <v>Short Stay</v>
      </c>
    </row>
    <row r="1407" spans="1:11" x14ac:dyDescent="0.3">
      <c r="A1407" t="s">
        <v>4321</v>
      </c>
      <c r="B1407" t="s">
        <v>580</v>
      </c>
      <c r="C1407" t="s">
        <v>30</v>
      </c>
      <c r="D1407" t="s">
        <v>4239</v>
      </c>
      <c r="E1407" t="s">
        <v>85</v>
      </c>
      <c r="F1407" t="s">
        <v>4322</v>
      </c>
      <c r="G1407" t="s">
        <v>583</v>
      </c>
      <c r="H1407" t="s">
        <v>139</v>
      </c>
      <c r="I1407">
        <f t="shared" si="21"/>
        <v>5</v>
      </c>
      <c r="J1407" t="s">
        <v>18</v>
      </c>
      <c r="K1407" t="str" cm="1">
        <f t="array" ref="K1407">_xlfn.SWITCH(TRIM(UPPER(J1407)),
"BUSINESS", "Short Stay",
"CONFERENCE", "Medium Stay",
"VACATION", "Iong Stay",
"HOLIDAY", "Long Stay",
"V", "Leisure",
"UNKNOWN", "Unknown",
"Other")</f>
        <v>Short Stay</v>
      </c>
    </row>
    <row r="1408" spans="1:11" x14ac:dyDescent="0.3">
      <c r="A1408" t="s">
        <v>4323</v>
      </c>
      <c r="B1408" t="s">
        <v>550</v>
      </c>
      <c r="C1408" t="s">
        <v>83</v>
      </c>
      <c r="D1408" t="s">
        <v>2848</v>
      </c>
      <c r="E1408" t="s">
        <v>117</v>
      </c>
      <c r="F1408" t="s">
        <v>4324</v>
      </c>
      <c r="G1408" t="s">
        <v>553</v>
      </c>
      <c r="H1408" t="s">
        <v>1861</v>
      </c>
      <c r="I1408">
        <f t="shared" si="21"/>
        <v>3</v>
      </c>
      <c r="J1408" t="s">
        <v>44</v>
      </c>
      <c r="K1408" t="str" cm="1">
        <f t="array" ref="K1408">_xlfn.SWITCH(TRIM(UPPER(J1408)),
"BUSINESS", "Short Stay",
"CONFERENCE", "Medium Stay",
"VACATION", "Iong Stay",
"HOLIDAY", "Long Stay",
"V", "Leisure",
"UNKNOWN", "Unknown",
"Other")</f>
        <v>Other</v>
      </c>
    </row>
    <row r="1409" spans="1:11" x14ac:dyDescent="0.3">
      <c r="A1409" t="s">
        <v>4325</v>
      </c>
      <c r="B1409" t="s">
        <v>1701</v>
      </c>
      <c r="C1409" t="s">
        <v>75</v>
      </c>
      <c r="D1409" t="s">
        <v>2817</v>
      </c>
      <c r="E1409" t="s">
        <v>214</v>
      </c>
      <c r="F1409" t="s">
        <v>4326</v>
      </c>
      <c r="G1409" t="s">
        <v>1395</v>
      </c>
      <c r="H1409" t="s">
        <v>1285</v>
      </c>
      <c r="I1409">
        <f t="shared" si="21"/>
        <v>5</v>
      </c>
      <c r="J1409" t="s">
        <v>27</v>
      </c>
      <c r="K1409" t="str" cm="1">
        <f t="array" ref="K1409">_xlfn.SWITCH(TRIM(UPPER(J1409)),
"BUSINESS", "Short Stay",
"CONFERENCE", "Medium Stay",
"VACATION", "Iong Stay",
"HOLIDAY", "Long Stay",
"V", "Leisure",
"UNKNOWN", "Unknown",
"Other")</f>
        <v>Medium Stay</v>
      </c>
    </row>
    <row r="1410" spans="1:11" x14ac:dyDescent="0.3">
      <c r="A1410" t="s">
        <v>4327</v>
      </c>
      <c r="B1410" t="s">
        <v>1318</v>
      </c>
      <c r="C1410" t="s">
        <v>61</v>
      </c>
      <c r="D1410" t="s">
        <v>475</v>
      </c>
      <c r="E1410" t="s">
        <v>69</v>
      </c>
      <c r="F1410" t="s">
        <v>4328</v>
      </c>
      <c r="G1410" t="s">
        <v>989</v>
      </c>
      <c r="H1410" t="s">
        <v>1268</v>
      </c>
      <c r="I1410">
        <f t="shared" si="21"/>
        <v>4</v>
      </c>
      <c r="J1410" t="s">
        <v>121</v>
      </c>
      <c r="K1410" t="str" cm="1">
        <f t="array" ref="K1410">_xlfn.SWITCH(TRIM(UPPER(J1410)),
"BUSINESS", "Short Stay",
"CONFERENCE", "Medium Stay",
"VACATION", "Iong Stay",
"HOLIDAY", "Long Stay",
"V", "Leisure",
"UNKNOWN", "Unknown",
"Other")</f>
        <v>Iong Stay</v>
      </c>
    </row>
    <row r="1411" spans="1:11" x14ac:dyDescent="0.3">
      <c r="A1411" t="s">
        <v>4329</v>
      </c>
      <c r="B1411" t="s">
        <v>1765</v>
      </c>
      <c r="C1411" t="s">
        <v>38</v>
      </c>
      <c r="D1411" t="s">
        <v>4330</v>
      </c>
      <c r="E1411" t="s">
        <v>430</v>
      </c>
      <c r="F1411" t="s">
        <v>4331</v>
      </c>
      <c r="G1411" t="s">
        <v>1768</v>
      </c>
      <c r="H1411" t="s">
        <v>1555</v>
      </c>
      <c r="I1411">
        <f t="shared" ref="I1411:I1474" si="22">H1411-G1411</f>
        <v>2</v>
      </c>
      <c r="J1411" t="s">
        <v>44</v>
      </c>
      <c r="K1411" t="str" cm="1">
        <f t="array" ref="K1411">_xlfn.SWITCH(TRIM(UPPER(J1411)),
"BUSINESS", "Short Stay",
"CONFERENCE", "Medium Stay",
"VACATION", "Iong Stay",
"HOLIDAY", "Long Stay",
"V", "Leisure",
"UNKNOWN", "Unknown",
"Other")</f>
        <v>Other</v>
      </c>
    </row>
    <row r="1412" spans="1:11" x14ac:dyDescent="0.3">
      <c r="A1412" t="s">
        <v>4332</v>
      </c>
      <c r="B1412" t="s">
        <v>154</v>
      </c>
      <c r="C1412" t="s">
        <v>21</v>
      </c>
      <c r="D1412" t="s">
        <v>3529</v>
      </c>
      <c r="E1412" t="s">
        <v>314</v>
      </c>
      <c r="F1412" t="s">
        <v>4333</v>
      </c>
      <c r="G1412" t="s">
        <v>158</v>
      </c>
      <c r="H1412" t="s">
        <v>1768</v>
      </c>
      <c r="I1412">
        <f t="shared" si="22"/>
        <v>3</v>
      </c>
      <c r="J1412" t="s">
        <v>18</v>
      </c>
      <c r="K1412" t="str" cm="1">
        <f t="array" ref="K1412">_xlfn.SWITCH(TRIM(UPPER(J1412)),
"BUSINESS", "Short Stay",
"CONFERENCE", "Medium Stay",
"VACATION", "Iong Stay",
"HOLIDAY", "Long Stay",
"V", "Leisure",
"UNKNOWN", "Unknown",
"Other")</f>
        <v>Short Stay</v>
      </c>
    </row>
    <row r="1413" spans="1:11" x14ac:dyDescent="0.3">
      <c r="A1413" t="s">
        <v>4334</v>
      </c>
      <c r="B1413" t="s">
        <v>199</v>
      </c>
      <c r="C1413" t="s">
        <v>61</v>
      </c>
      <c r="D1413" t="s">
        <v>230</v>
      </c>
      <c r="E1413" t="s">
        <v>85</v>
      </c>
      <c r="F1413" t="s">
        <v>4335</v>
      </c>
      <c r="G1413" t="s">
        <v>203</v>
      </c>
      <c r="H1413" t="s">
        <v>599</v>
      </c>
      <c r="I1413">
        <f t="shared" si="22"/>
        <v>2</v>
      </c>
      <c r="J1413" t="s">
        <v>44</v>
      </c>
      <c r="K1413" t="str" cm="1">
        <f t="array" ref="K1413">_xlfn.SWITCH(TRIM(UPPER(J1413)),
"BUSINESS", "Short Stay",
"CONFERENCE", "Medium Stay",
"VACATION", "Iong Stay",
"HOLIDAY", "Long Stay",
"V", "Leisure",
"UNKNOWN", "Unknown",
"Other")</f>
        <v>Other</v>
      </c>
    </row>
    <row r="1414" spans="1:11" x14ac:dyDescent="0.3">
      <c r="A1414" t="s">
        <v>4336</v>
      </c>
      <c r="B1414" t="s">
        <v>212</v>
      </c>
      <c r="C1414" t="s">
        <v>61</v>
      </c>
      <c r="D1414" t="s">
        <v>1103</v>
      </c>
      <c r="E1414" t="s">
        <v>476</v>
      </c>
      <c r="F1414" t="s">
        <v>4337</v>
      </c>
      <c r="G1414" t="s">
        <v>165</v>
      </c>
      <c r="H1414" t="s">
        <v>410</v>
      </c>
      <c r="I1414">
        <f t="shared" si="22"/>
        <v>4</v>
      </c>
      <c r="J1414" t="s">
        <v>121</v>
      </c>
      <c r="K1414" t="str" cm="1">
        <f t="array" ref="K1414">_xlfn.SWITCH(TRIM(UPPER(J1414)),
"BUSINESS", "Short Stay",
"CONFERENCE", "Medium Stay",
"VACATION", "Iong Stay",
"HOLIDAY", "Long Stay",
"V", "Leisure",
"UNKNOWN", "Unknown",
"Other")</f>
        <v>Iong Stay</v>
      </c>
    </row>
    <row r="1415" spans="1:11" x14ac:dyDescent="0.3">
      <c r="A1415" t="s">
        <v>4338</v>
      </c>
      <c r="B1415" t="s">
        <v>498</v>
      </c>
      <c r="C1415" t="s">
        <v>97</v>
      </c>
      <c r="D1415" t="s">
        <v>2963</v>
      </c>
      <c r="E1415" t="s">
        <v>77</v>
      </c>
      <c r="F1415" t="s">
        <v>4339</v>
      </c>
      <c r="G1415" t="s">
        <v>501</v>
      </c>
      <c r="H1415" t="s">
        <v>3220</v>
      </c>
      <c r="I1415">
        <f t="shared" si="22"/>
        <v>3</v>
      </c>
      <c r="J1415" t="s">
        <v>44</v>
      </c>
      <c r="K1415" t="str" cm="1">
        <f t="array" ref="K1415">_xlfn.SWITCH(TRIM(UPPER(J1415)),
"BUSINESS", "Short Stay",
"CONFERENCE", "Medium Stay",
"VACATION", "Iong Stay",
"HOLIDAY", "Long Stay",
"V", "Leisure",
"UNKNOWN", "Unknown",
"Other")</f>
        <v>Other</v>
      </c>
    </row>
    <row r="1416" spans="1:11" x14ac:dyDescent="0.3">
      <c r="A1416" t="s">
        <v>4340</v>
      </c>
      <c r="B1416" t="s">
        <v>1714</v>
      </c>
      <c r="C1416" t="s">
        <v>97</v>
      </c>
      <c r="D1416" t="s">
        <v>1579</v>
      </c>
      <c r="E1416" t="s">
        <v>48</v>
      </c>
      <c r="F1416" t="s">
        <v>4341</v>
      </c>
      <c r="G1416" t="s">
        <v>58</v>
      </c>
      <c r="H1416" t="s">
        <v>600</v>
      </c>
      <c r="I1416">
        <f t="shared" si="22"/>
        <v>2</v>
      </c>
      <c r="J1416" t="s">
        <v>44</v>
      </c>
      <c r="K1416" t="str" cm="1">
        <f t="array" ref="K1416">_xlfn.SWITCH(TRIM(UPPER(J1416)),
"BUSINESS", "Short Stay",
"CONFERENCE", "Medium Stay",
"VACATION", "Iong Stay",
"HOLIDAY", "Long Stay",
"V", "Leisure",
"UNKNOWN", "Unknown",
"Other")</f>
        <v>Other</v>
      </c>
    </row>
    <row r="1417" spans="1:11" x14ac:dyDescent="0.3">
      <c r="A1417" t="s">
        <v>4342</v>
      </c>
      <c r="B1417" t="s">
        <v>755</v>
      </c>
      <c r="C1417" t="s">
        <v>54</v>
      </c>
      <c r="D1417" t="s">
        <v>4343</v>
      </c>
      <c r="E1417" t="s">
        <v>201</v>
      </c>
      <c r="F1417" t="s">
        <v>2939</v>
      </c>
      <c r="G1417" t="s">
        <v>758</v>
      </c>
      <c r="H1417" t="s">
        <v>802</v>
      </c>
      <c r="I1417">
        <f t="shared" si="22"/>
        <v>1</v>
      </c>
      <c r="J1417" t="s">
        <v>27</v>
      </c>
      <c r="K1417" t="str" cm="1">
        <f t="array" ref="K1417">_xlfn.SWITCH(TRIM(UPPER(J1417)),
"BUSINESS", "Short Stay",
"CONFERENCE", "Medium Stay",
"VACATION", "Iong Stay",
"HOLIDAY", "Long Stay",
"V", "Leisure",
"UNKNOWN", "Unknown",
"Other")</f>
        <v>Medium Stay</v>
      </c>
    </row>
    <row r="1418" spans="1:11" x14ac:dyDescent="0.3">
      <c r="A1418" t="s">
        <v>4344</v>
      </c>
      <c r="B1418" t="s">
        <v>1572</v>
      </c>
      <c r="C1418" t="s">
        <v>75</v>
      </c>
      <c r="D1418" t="s">
        <v>98</v>
      </c>
      <c r="E1418" t="s">
        <v>63</v>
      </c>
      <c r="F1418" t="s">
        <v>4345</v>
      </c>
      <c r="G1418" t="s">
        <v>1575</v>
      </c>
      <c r="H1418" t="s">
        <v>1793</v>
      </c>
      <c r="I1418">
        <f t="shared" si="22"/>
        <v>1</v>
      </c>
      <c r="J1418" t="s">
        <v>18</v>
      </c>
      <c r="K1418" t="str" cm="1">
        <f t="array" ref="K1418">_xlfn.SWITCH(TRIM(UPPER(J1418)),
"BUSINESS", "Short Stay",
"CONFERENCE", "Medium Stay",
"VACATION", "Iong Stay",
"HOLIDAY", "Long Stay",
"V", "Leisure",
"UNKNOWN", "Unknown",
"Other")</f>
        <v>Short Stay</v>
      </c>
    </row>
    <row r="1419" spans="1:11" x14ac:dyDescent="0.3">
      <c r="A1419" t="s">
        <v>4346</v>
      </c>
      <c r="B1419" t="s">
        <v>1465</v>
      </c>
      <c r="C1419" t="s">
        <v>83</v>
      </c>
      <c r="D1419" t="s">
        <v>3235</v>
      </c>
      <c r="E1419" t="s">
        <v>40</v>
      </c>
      <c r="F1419" t="s">
        <v>4347</v>
      </c>
      <c r="G1419" t="s">
        <v>1415</v>
      </c>
      <c r="H1419" t="s">
        <v>2840</v>
      </c>
      <c r="I1419">
        <f t="shared" si="22"/>
        <v>2</v>
      </c>
      <c r="J1419" t="s">
        <v>44</v>
      </c>
      <c r="K1419" t="str" cm="1">
        <f t="array" ref="K1419">_xlfn.SWITCH(TRIM(UPPER(J1419)),
"BUSINESS", "Short Stay",
"CONFERENCE", "Medium Stay",
"VACATION", "Iong Stay",
"HOLIDAY", "Long Stay",
"V", "Leisure",
"UNKNOWN", "Unknown",
"Other")</f>
        <v>Other</v>
      </c>
    </row>
    <row r="1420" spans="1:11" x14ac:dyDescent="0.3">
      <c r="A1420" t="s">
        <v>4348</v>
      </c>
      <c r="B1420" t="s">
        <v>2569</v>
      </c>
      <c r="C1420" t="s">
        <v>97</v>
      </c>
      <c r="D1420" t="s">
        <v>360</v>
      </c>
      <c r="E1420" t="s">
        <v>201</v>
      </c>
      <c r="F1420" t="s">
        <v>4349</v>
      </c>
      <c r="G1420" t="s">
        <v>686</v>
      </c>
      <c r="H1420" t="s">
        <v>720</v>
      </c>
      <c r="I1420">
        <f t="shared" si="22"/>
        <v>2</v>
      </c>
      <c r="J1420" t="s">
        <v>121</v>
      </c>
      <c r="K1420" t="str" cm="1">
        <f t="array" ref="K1420">_xlfn.SWITCH(TRIM(UPPER(J1420)),
"BUSINESS", "Short Stay",
"CONFERENCE", "Medium Stay",
"VACATION", "Iong Stay",
"HOLIDAY", "Long Stay",
"V", "Leisure",
"UNKNOWN", "Unknown",
"Other")</f>
        <v>Iong Stay</v>
      </c>
    </row>
    <row r="1421" spans="1:11" x14ac:dyDescent="0.3">
      <c r="A1421" t="s">
        <v>4350</v>
      </c>
      <c r="B1421" t="s">
        <v>2875</v>
      </c>
      <c r="C1421" t="s">
        <v>54</v>
      </c>
      <c r="D1421" t="s">
        <v>1134</v>
      </c>
      <c r="E1421" t="s">
        <v>117</v>
      </c>
      <c r="F1421" t="s">
        <v>4351</v>
      </c>
      <c r="G1421" t="s">
        <v>731</v>
      </c>
      <c r="H1421" t="s">
        <v>1181</v>
      </c>
      <c r="I1421">
        <f t="shared" si="22"/>
        <v>1</v>
      </c>
      <c r="J1421" t="s">
        <v>18</v>
      </c>
      <c r="K1421" t="str" cm="1">
        <f t="array" ref="K1421">_xlfn.SWITCH(TRIM(UPPER(J1421)),
"BUSINESS", "Short Stay",
"CONFERENCE", "Medium Stay",
"VACATION", "Iong Stay",
"HOLIDAY", "Long Stay",
"V", "Leisure",
"UNKNOWN", "Unknown",
"Other")</f>
        <v>Short Stay</v>
      </c>
    </row>
    <row r="1422" spans="1:11" x14ac:dyDescent="0.3">
      <c r="A1422" t="s">
        <v>4352</v>
      </c>
      <c r="B1422" t="s">
        <v>1502</v>
      </c>
      <c r="C1422" t="s">
        <v>174</v>
      </c>
      <c r="D1422" t="s">
        <v>977</v>
      </c>
      <c r="E1422" t="s">
        <v>63</v>
      </c>
      <c r="F1422" t="s">
        <v>4353</v>
      </c>
      <c r="G1422" t="s">
        <v>1505</v>
      </c>
      <c r="H1422" t="s">
        <v>568</v>
      </c>
      <c r="I1422">
        <f t="shared" si="22"/>
        <v>3</v>
      </c>
      <c r="J1422" t="s">
        <v>121</v>
      </c>
      <c r="K1422" t="str" cm="1">
        <f t="array" ref="K1422">_xlfn.SWITCH(TRIM(UPPER(J1422)),
"BUSINESS", "Short Stay",
"CONFERENCE", "Medium Stay",
"VACATION", "Iong Stay",
"HOLIDAY", "Long Stay",
"V", "Leisure",
"UNKNOWN", "Unknown",
"Other")</f>
        <v>Iong Stay</v>
      </c>
    </row>
    <row r="1423" spans="1:11" x14ac:dyDescent="0.3">
      <c r="A1423" t="s">
        <v>4354</v>
      </c>
      <c r="B1423" t="s">
        <v>1698</v>
      </c>
      <c r="C1423" t="s">
        <v>83</v>
      </c>
      <c r="D1423" t="s">
        <v>1939</v>
      </c>
      <c r="E1423" t="s">
        <v>458</v>
      </c>
      <c r="F1423" t="s">
        <v>4355</v>
      </c>
      <c r="G1423" t="s">
        <v>759</v>
      </c>
      <c r="H1423" t="s">
        <v>1522</v>
      </c>
      <c r="I1423">
        <f t="shared" si="22"/>
        <v>2</v>
      </c>
      <c r="J1423" t="s">
        <v>18</v>
      </c>
      <c r="K1423" t="str" cm="1">
        <f t="array" ref="K1423">_xlfn.SWITCH(TRIM(UPPER(J1423)),
"BUSINESS", "Short Stay",
"CONFERENCE", "Medium Stay",
"VACATION", "Iong Stay",
"HOLIDAY", "Long Stay",
"V", "Leisure",
"UNKNOWN", "Unknown",
"Other")</f>
        <v>Short Stay</v>
      </c>
    </row>
    <row r="1424" spans="1:11" x14ac:dyDescent="0.3">
      <c r="A1424" t="s">
        <v>4356</v>
      </c>
      <c r="B1424" t="s">
        <v>841</v>
      </c>
      <c r="C1424" t="s">
        <v>30</v>
      </c>
      <c r="D1424" t="s">
        <v>3764</v>
      </c>
      <c r="E1424" t="s">
        <v>77</v>
      </c>
      <c r="F1424" t="s">
        <v>4357</v>
      </c>
      <c r="G1424" t="s">
        <v>844</v>
      </c>
      <c r="H1424" t="s">
        <v>1659</v>
      </c>
      <c r="I1424">
        <f t="shared" si="22"/>
        <v>4</v>
      </c>
      <c r="J1424" t="s">
        <v>44</v>
      </c>
      <c r="K1424" t="str" cm="1">
        <f t="array" ref="K1424">_xlfn.SWITCH(TRIM(UPPER(J1424)),
"BUSINESS", "Short Stay",
"CONFERENCE", "Medium Stay",
"VACATION", "Iong Stay",
"HOLIDAY", "Long Stay",
"V", "Leisure",
"UNKNOWN", "Unknown",
"Other")</f>
        <v>Other</v>
      </c>
    </row>
    <row r="1425" spans="1:11" x14ac:dyDescent="0.3">
      <c r="A1425" t="s">
        <v>4358</v>
      </c>
      <c r="B1425" t="s">
        <v>2692</v>
      </c>
      <c r="C1425" t="s">
        <v>12</v>
      </c>
      <c r="D1425" t="s">
        <v>4359</v>
      </c>
      <c r="E1425" t="s">
        <v>314</v>
      </c>
      <c r="F1425" t="s">
        <v>4360</v>
      </c>
      <c r="G1425" t="s">
        <v>1167</v>
      </c>
      <c r="H1425" t="s">
        <v>1395</v>
      </c>
      <c r="I1425">
        <f t="shared" si="22"/>
        <v>5</v>
      </c>
      <c r="J1425" t="s">
        <v>44</v>
      </c>
      <c r="K1425" t="str" cm="1">
        <f t="array" ref="K1425">_xlfn.SWITCH(TRIM(UPPER(J1425)),
"BUSINESS", "Short Stay",
"CONFERENCE", "Medium Stay",
"VACATION", "Iong Stay",
"HOLIDAY", "Long Stay",
"V", "Leisure",
"UNKNOWN", "Unknown",
"Other")</f>
        <v>Other</v>
      </c>
    </row>
    <row r="1426" spans="1:11" x14ac:dyDescent="0.3">
      <c r="A1426" t="s">
        <v>4361</v>
      </c>
      <c r="B1426" t="s">
        <v>1714</v>
      </c>
      <c r="C1426" t="s">
        <v>61</v>
      </c>
      <c r="D1426" t="s">
        <v>2708</v>
      </c>
      <c r="E1426" t="s">
        <v>201</v>
      </c>
      <c r="F1426" t="s">
        <v>4362</v>
      </c>
      <c r="G1426" t="s">
        <v>58</v>
      </c>
      <c r="H1426" t="s">
        <v>600</v>
      </c>
      <c r="I1426">
        <f t="shared" si="22"/>
        <v>2</v>
      </c>
      <c r="J1426" t="s">
        <v>27</v>
      </c>
      <c r="K1426" t="str" cm="1">
        <f t="array" ref="K1426">_xlfn.SWITCH(TRIM(UPPER(J1426)),
"BUSINESS", "Short Stay",
"CONFERENCE", "Medium Stay",
"VACATION", "Iong Stay",
"HOLIDAY", "Long Stay",
"V", "Leisure",
"UNKNOWN", "Unknown",
"Other")</f>
        <v>Medium Stay</v>
      </c>
    </row>
    <row r="1427" spans="1:11" x14ac:dyDescent="0.3">
      <c r="A1427" t="s">
        <v>4363</v>
      </c>
      <c r="B1427" t="s">
        <v>1855</v>
      </c>
      <c r="C1427" t="s">
        <v>12</v>
      </c>
      <c r="D1427" t="s">
        <v>2233</v>
      </c>
      <c r="E1427" t="s">
        <v>48</v>
      </c>
      <c r="F1427" t="s">
        <v>4364</v>
      </c>
      <c r="G1427" t="s">
        <v>1172</v>
      </c>
      <c r="H1427" t="s">
        <v>1696</v>
      </c>
      <c r="I1427">
        <f t="shared" si="22"/>
        <v>5</v>
      </c>
      <c r="J1427" t="s">
        <v>44</v>
      </c>
      <c r="K1427" t="str" cm="1">
        <f t="array" ref="K1427">_xlfn.SWITCH(TRIM(UPPER(J1427)),
"BUSINESS", "Short Stay",
"CONFERENCE", "Medium Stay",
"VACATION", "Iong Stay",
"HOLIDAY", "Long Stay",
"V", "Leisure",
"UNKNOWN", "Unknown",
"Other")</f>
        <v>Other</v>
      </c>
    </row>
    <row r="1428" spans="1:11" x14ac:dyDescent="0.3">
      <c r="A1428" t="s">
        <v>4365</v>
      </c>
      <c r="B1428" t="s">
        <v>777</v>
      </c>
      <c r="C1428" t="s">
        <v>97</v>
      </c>
      <c r="D1428" t="s">
        <v>2835</v>
      </c>
      <c r="E1428" t="s">
        <v>23</v>
      </c>
      <c r="F1428" t="s">
        <v>4366</v>
      </c>
      <c r="G1428" t="s">
        <v>780</v>
      </c>
      <c r="H1428" t="s">
        <v>744</v>
      </c>
      <c r="I1428">
        <f t="shared" si="22"/>
        <v>3</v>
      </c>
      <c r="J1428" t="s">
        <v>27</v>
      </c>
      <c r="K1428" t="str" cm="1">
        <f t="array" ref="K1428">_xlfn.SWITCH(TRIM(UPPER(J1428)),
"BUSINESS", "Short Stay",
"CONFERENCE", "Medium Stay",
"VACATION", "Iong Stay",
"HOLIDAY", "Long Stay",
"V", "Leisure",
"UNKNOWN", "Unknown",
"Other")</f>
        <v>Medium Stay</v>
      </c>
    </row>
    <row r="1429" spans="1:11" x14ac:dyDescent="0.3">
      <c r="A1429" t="s">
        <v>4367</v>
      </c>
      <c r="B1429" t="s">
        <v>1849</v>
      </c>
      <c r="C1429" t="s">
        <v>83</v>
      </c>
      <c r="D1429" t="s">
        <v>4368</v>
      </c>
      <c r="E1429" t="s">
        <v>201</v>
      </c>
      <c r="F1429" t="s">
        <v>4369</v>
      </c>
      <c r="G1429" t="s">
        <v>1611</v>
      </c>
      <c r="H1429" t="s">
        <v>1894</v>
      </c>
      <c r="I1429">
        <f t="shared" si="22"/>
        <v>2</v>
      </c>
      <c r="J1429" t="s">
        <v>44</v>
      </c>
      <c r="K1429" t="str" cm="1">
        <f t="array" ref="K1429">_xlfn.SWITCH(TRIM(UPPER(J1429)),
"BUSINESS", "Short Stay",
"CONFERENCE", "Medium Stay",
"VACATION", "Iong Stay",
"HOLIDAY", "Long Stay",
"V", "Leisure",
"UNKNOWN", "Unknown",
"Other")</f>
        <v>Other</v>
      </c>
    </row>
    <row r="1430" spans="1:11" x14ac:dyDescent="0.3">
      <c r="A1430" t="s">
        <v>4370</v>
      </c>
      <c r="B1430" t="s">
        <v>1473</v>
      </c>
      <c r="C1430" t="s">
        <v>38</v>
      </c>
      <c r="D1430" t="s">
        <v>4371</v>
      </c>
      <c r="E1430" t="s">
        <v>176</v>
      </c>
      <c r="F1430" t="s">
        <v>4372</v>
      </c>
      <c r="G1430" t="s">
        <v>191</v>
      </c>
      <c r="H1430" t="s">
        <v>1371</v>
      </c>
      <c r="I1430">
        <f t="shared" si="22"/>
        <v>3</v>
      </c>
      <c r="J1430" t="s">
        <v>27</v>
      </c>
      <c r="K1430" t="str" cm="1">
        <f t="array" ref="K1430">_xlfn.SWITCH(TRIM(UPPER(J1430)),
"BUSINESS", "Short Stay",
"CONFERENCE", "Medium Stay",
"VACATION", "Iong Stay",
"HOLIDAY", "Long Stay",
"V", "Leisure",
"UNKNOWN", "Unknown",
"Other")</f>
        <v>Medium Stay</v>
      </c>
    </row>
    <row r="1431" spans="1:11" x14ac:dyDescent="0.3">
      <c r="A1431" t="s">
        <v>4373</v>
      </c>
      <c r="B1431" t="s">
        <v>1869</v>
      </c>
      <c r="C1431" t="s">
        <v>54</v>
      </c>
      <c r="D1431" t="s">
        <v>1153</v>
      </c>
      <c r="E1431" t="s">
        <v>156</v>
      </c>
      <c r="F1431" t="s">
        <v>1599</v>
      </c>
      <c r="G1431" t="s">
        <v>404</v>
      </c>
      <c r="H1431" t="s">
        <v>946</v>
      </c>
      <c r="I1431">
        <f t="shared" si="22"/>
        <v>1</v>
      </c>
      <c r="J1431" t="s">
        <v>27</v>
      </c>
      <c r="K1431" t="str" cm="1">
        <f t="array" ref="K1431">_xlfn.SWITCH(TRIM(UPPER(J1431)),
"BUSINESS", "Short Stay",
"CONFERENCE", "Medium Stay",
"VACATION", "Iong Stay",
"HOLIDAY", "Long Stay",
"V", "Leisure",
"UNKNOWN", "Unknown",
"Other")</f>
        <v>Medium Stay</v>
      </c>
    </row>
    <row r="1432" spans="1:11" x14ac:dyDescent="0.3">
      <c r="A1432" t="s">
        <v>4374</v>
      </c>
      <c r="B1432" t="s">
        <v>187</v>
      </c>
      <c r="C1432" t="s">
        <v>83</v>
      </c>
      <c r="D1432" t="s">
        <v>3949</v>
      </c>
      <c r="E1432" t="s">
        <v>156</v>
      </c>
      <c r="F1432" t="s">
        <v>4375</v>
      </c>
      <c r="G1432" t="s">
        <v>190</v>
      </c>
      <c r="H1432" t="s">
        <v>502</v>
      </c>
      <c r="I1432">
        <f t="shared" si="22"/>
        <v>1</v>
      </c>
      <c r="J1432" t="s">
        <v>18</v>
      </c>
      <c r="K1432" t="str" cm="1">
        <f t="array" ref="K1432">_xlfn.SWITCH(TRIM(UPPER(J1432)),
"BUSINESS", "Short Stay",
"CONFERENCE", "Medium Stay",
"VACATION", "Iong Stay",
"HOLIDAY", "Long Stay",
"V", "Leisure",
"UNKNOWN", "Unknown",
"Other")</f>
        <v>Short Stay</v>
      </c>
    </row>
    <row r="1433" spans="1:11" x14ac:dyDescent="0.3">
      <c r="A1433" t="s">
        <v>4376</v>
      </c>
      <c r="B1433" t="s">
        <v>1627</v>
      </c>
      <c r="C1433" t="s">
        <v>75</v>
      </c>
      <c r="D1433" t="s">
        <v>1060</v>
      </c>
      <c r="E1433" t="s">
        <v>149</v>
      </c>
      <c r="F1433" t="s">
        <v>3836</v>
      </c>
      <c r="G1433" t="s">
        <v>185</v>
      </c>
      <c r="H1433" t="s">
        <v>34</v>
      </c>
      <c r="I1433">
        <f t="shared" si="22"/>
        <v>4</v>
      </c>
      <c r="J1433" t="s">
        <v>18</v>
      </c>
      <c r="K1433" t="str" cm="1">
        <f t="array" ref="K1433">_xlfn.SWITCH(TRIM(UPPER(J1433)),
"BUSINESS", "Short Stay",
"CONFERENCE", "Medium Stay",
"VACATION", "Iong Stay",
"HOLIDAY", "Long Stay",
"V", "Leisure",
"UNKNOWN", "Unknown",
"Other")</f>
        <v>Short Stay</v>
      </c>
    </row>
    <row r="1434" spans="1:11" x14ac:dyDescent="0.3">
      <c r="A1434" t="s">
        <v>4377</v>
      </c>
      <c r="B1434" t="s">
        <v>1323</v>
      </c>
      <c r="C1434" t="s">
        <v>61</v>
      </c>
      <c r="D1434" t="s">
        <v>4378</v>
      </c>
      <c r="E1434" t="s">
        <v>40</v>
      </c>
      <c r="F1434" t="s">
        <v>4379</v>
      </c>
      <c r="G1434" t="s">
        <v>1326</v>
      </c>
      <c r="H1434" t="s">
        <v>368</v>
      </c>
      <c r="I1434">
        <f t="shared" si="22"/>
        <v>2</v>
      </c>
      <c r="J1434" t="s">
        <v>121</v>
      </c>
      <c r="K1434" t="str" cm="1">
        <f t="array" ref="K1434">_xlfn.SWITCH(TRIM(UPPER(J1434)),
"BUSINESS", "Short Stay",
"CONFERENCE", "Medium Stay",
"VACATION", "Iong Stay",
"HOLIDAY", "Long Stay",
"V", "Leisure",
"UNKNOWN", "Unknown",
"Other")</f>
        <v>Iong Stay</v>
      </c>
    </row>
    <row r="1435" spans="1:11" x14ac:dyDescent="0.3">
      <c r="A1435" t="s">
        <v>4380</v>
      </c>
      <c r="B1435" t="s">
        <v>1745</v>
      </c>
      <c r="C1435" t="s">
        <v>97</v>
      </c>
      <c r="D1435" t="s">
        <v>2298</v>
      </c>
      <c r="E1435" t="s">
        <v>40</v>
      </c>
      <c r="F1435" t="s">
        <v>2417</v>
      </c>
      <c r="G1435" t="s">
        <v>43</v>
      </c>
      <c r="H1435" t="s">
        <v>705</v>
      </c>
      <c r="I1435">
        <f t="shared" si="22"/>
        <v>3</v>
      </c>
      <c r="J1435" t="s">
        <v>18</v>
      </c>
      <c r="K1435" t="str" cm="1">
        <f t="array" ref="K1435">_xlfn.SWITCH(TRIM(UPPER(J1435)),
"BUSINESS", "Short Stay",
"CONFERENCE", "Medium Stay",
"VACATION", "Iong Stay",
"HOLIDAY", "Long Stay",
"V", "Leisure",
"UNKNOWN", "Unknown",
"Other")</f>
        <v>Short Stay</v>
      </c>
    </row>
    <row r="1436" spans="1:11" x14ac:dyDescent="0.3">
      <c r="A1436" t="s">
        <v>4381</v>
      </c>
      <c r="B1436" t="s">
        <v>1055</v>
      </c>
      <c r="C1436" t="s">
        <v>174</v>
      </c>
      <c r="D1436" t="s">
        <v>2826</v>
      </c>
      <c r="E1436" t="s">
        <v>77</v>
      </c>
      <c r="F1436" t="s">
        <v>4382</v>
      </c>
      <c r="G1436" t="s">
        <v>310</v>
      </c>
      <c r="H1436" t="s">
        <v>1243</v>
      </c>
      <c r="I1436">
        <f t="shared" si="22"/>
        <v>4</v>
      </c>
      <c r="J1436" t="s">
        <v>18</v>
      </c>
      <c r="K1436" t="str" cm="1">
        <f t="array" ref="K1436">_xlfn.SWITCH(TRIM(UPPER(J1436)),
"BUSINESS", "Short Stay",
"CONFERENCE", "Medium Stay",
"VACATION", "Iong Stay",
"HOLIDAY", "Long Stay",
"V", "Leisure",
"UNKNOWN", "Unknown",
"Other")</f>
        <v>Short Stay</v>
      </c>
    </row>
    <row r="1437" spans="1:11" x14ac:dyDescent="0.3">
      <c r="A1437" t="s">
        <v>4383</v>
      </c>
      <c r="B1437" t="s">
        <v>1502</v>
      </c>
      <c r="C1437" t="s">
        <v>54</v>
      </c>
      <c r="D1437" t="s">
        <v>632</v>
      </c>
      <c r="E1437" t="s">
        <v>458</v>
      </c>
      <c r="F1437" t="s">
        <v>4384</v>
      </c>
      <c r="G1437" t="s">
        <v>1505</v>
      </c>
      <c r="H1437" t="s">
        <v>1763</v>
      </c>
      <c r="I1437">
        <f t="shared" si="22"/>
        <v>2</v>
      </c>
      <c r="J1437" t="s">
        <v>44</v>
      </c>
      <c r="K1437" t="str" cm="1">
        <f t="array" ref="K1437">_xlfn.SWITCH(TRIM(UPPER(J1437)),
"BUSINESS", "Short Stay",
"CONFERENCE", "Medium Stay",
"VACATION", "Iong Stay",
"HOLIDAY", "Long Stay",
"V", "Leisure",
"UNKNOWN", "Unknown",
"Other")</f>
        <v>Other</v>
      </c>
    </row>
    <row r="1438" spans="1:11" x14ac:dyDescent="0.3">
      <c r="A1438" t="s">
        <v>4385</v>
      </c>
      <c r="B1438" t="s">
        <v>805</v>
      </c>
      <c r="C1438" t="s">
        <v>97</v>
      </c>
      <c r="D1438" t="s">
        <v>429</v>
      </c>
      <c r="E1438" t="s">
        <v>476</v>
      </c>
      <c r="F1438" t="s">
        <v>4386</v>
      </c>
      <c r="G1438" t="s">
        <v>502</v>
      </c>
      <c r="H1438" t="s">
        <v>101</v>
      </c>
      <c r="I1438">
        <f t="shared" si="22"/>
        <v>5</v>
      </c>
      <c r="J1438" t="s">
        <v>18</v>
      </c>
      <c r="K1438" t="str" cm="1">
        <f t="array" ref="K1438">_xlfn.SWITCH(TRIM(UPPER(J1438)),
"BUSINESS", "Short Stay",
"CONFERENCE", "Medium Stay",
"VACATION", "Iong Stay",
"HOLIDAY", "Long Stay",
"V", "Leisure",
"UNKNOWN", "Unknown",
"Other")</f>
        <v>Short Stay</v>
      </c>
    </row>
    <row r="1439" spans="1:11" x14ac:dyDescent="0.3">
      <c r="A1439" t="s">
        <v>4387</v>
      </c>
      <c r="B1439" t="s">
        <v>1942</v>
      </c>
      <c r="C1439" t="s">
        <v>61</v>
      </c>
      <c r="D1439" t="s">
        <v>1060</v>
      </c>
      <c r="E1439" t="s">
        <v>149</v>
      </c>
      <c r="F1439" t="s">
        <v>4388</v>
      </c>
      <c r="G1439" t="s">
        <v>1696</v>
      </c>
      <c r="H1439" t="s">
        <v>495</v>
      </c>
      <c r="I1439">
        <f t="shared" si="22"/>
        <v>2</v>
      </c>
      <c r="J1439" t="s">
        <v>27</v>
      </c>
      <c r="K1439" t="str" cm="1">
        <f t="array" ref="K1439">_xlfn.SWITCH(TRIM(UPPER(J1439)),
"BUSINESS", "Short Stay",
"CONFERENCE", "Medium Stay",
"VACATION", "Iong Stay",
"HOLIDAY", "Long Stay",
"V", "Leisure",
"UNKNOWN", "Unknown",
"Other")</f>
        <v>Medium Stay</v>
      </c>
    </row>
    <row r="1440" spans="1:11" x14ac:dyDescent="0.3">
      <c r="A1440" t="s">
        <v>4389</v>
      </c>
      <c r="B1440" t="s">
        <v>606</v>
      </c>
      <c r="C1440" t="s">
        <v>174</v>
      </c>
      <c r="D1440" t="s">
        <v>4390</v>
      </c>
      <c r="E1440" t="s">
        <v>85</v>
      </c>
      <c r="F1440" t="s">
        <v>4391</v>
      </c>
      <c r="G1440" t="s">
        <v>604</v>
      </c>
      <c r="H1440" t="s">
        <v>764</v>
      </c>
      <c r="I1440">
        <f t="shared" si="22"/>
        <v>3</v>
      </c>
      <c r="J1440" t="s">
        <v>18</v>
      </c>
      <c r="K1440" t="str" cm="1">
        <f t="array" ref="K1440">_xlfn.SWITCH(TRIM(UPPER(J1440)),
"BUSINESS", "Short Stay",
"CONFERENCE", "Medium Stay",
"VACATION", "Iong Stay",
"HOLIDAY", "Long Stay",
"V", "Leisure",
"UNKNOWN", "Unknown",
"Other")</f>
        <v>Short Stay</v>
      </c>
    </row>
    <row r="1441" spans="1:11" x14ac:dyDescent="0.3">
      <c r="A1441" t="s">
        <v>4392</v>
      </c>
      <c r="B1441" t="s">
        <v>623</v>
      </c>
      <c r="C1441" t="s">
        <v>30</v>
      </c>
      <c r="D1441" t="s">
        <v>3552</v>
      </c>
      <c r="E1441" t="s">
        <v>476</v>
      </c>
      <c r="F1441" t="s">
        <v>4393</v>
      </c>
      <c r="G1441" t="s">
        <v>625</v>
      </c>
      <c r="H1441" t="s">
        <v>885</v>
      </c>
      <c r="I1441">
        <f t="shared" si="22"/>
        <v>4</v>
      </c>
      <c r="J1441" t="s">
        <v>18</v>
      </c>
      <c r="K1441" t="str" cm="1">
        <f t="array" ref="K1441">_xlfn.SWITCH(TRIM(UPPER(J1441)),
"BUSINESS", "Short Stay",
"CONFERENCE", "Medium Stay",
"VACATION", "Iong Stay",
"HOLIDAY", "Long Stay",
"V", "Leisure",
"UNKNOWN", "Unknown",
"Other")</f>
        <v>Short Stay</v>
      </c>
    </row>
    <row r="1442" spans="1:11" x14ac:dyDescent="0.3">
      <c r="A1442" t="s">
        <v>4394</v>
      </c>
      <c r="B1442" t="s">
        <v>161</v>
      </c>
      <c r="C1442" t="s">
        <v>83</v>
      </c>
      <c r="D1442" t="s">
        <v>4395</v>
      </c>
      <c r="E1442" t="s">
        <v>149</v>
      </c>
      <c r="F1442" t="s">
        <v>4197</v>
      </c>
      <c r="G1442" t="s">
        <v>164</v>
      </c>
      <c r="H1442" t="s">
        <v>216</v>
      </c>
      <c r="I1442">
        <f t="shared" si="22"/>
        <v>5</v>
      </c>
      <c r="J1442" t="s">
        <v>121</v>
      </c>
      <c r="K1442" t="str" cm="1">
        <f t="array" ref="K1442">_xlfn.SWITCH(TRIM(UPPER(J1442)),
"BUSINESS", "Short Stay",
"CONFERENCE", "Medium Stay",
"VACATION", "Iong Stay",
"HOLIDAY", "Long Stay",
"V", "Leisure",
"UNKNOWN", "Unknown",
"Other")</f>
        <v>Iong Stay</v>
      </c>
    </row>
    <row r="1443" spans="1:11" x14ac:dyDescent="0.3">
      <c r="A1443" t="s">
        <v>4396</v>
      </c>
      <c r="B1443" t="s">
        <v>1075</v>
      </c>
      <c r="C1443" t="s">
        <v>61</v>
      </c>
      <c r="D1443" t="s">
        <v>1265</v>
      </c>
      <c r="E1443" t="s">
        <v>546</v>
      </c>
      <c r="F1443" t="s">
        <v>4397</v>
      </c>
      <c r="G1443" t="s">
        <v>1078</v>
      </c>
      <c r="H1443" t="s">
        <v>1204</v>
      </c>
      <c r="I1443">
        <f t="shared" si="22"/>
        <v>1</v>
      </c>
      <c r="J1443" t="s">
        <v>44</v>
      </c>
      <c r="K1443" t="str" cm="1">
        <f t="array" ref="K1443">_xlfn.SWITCH(TRIM(UPPER(J1443)),
"BUSINESS", "Short Stay",
"CONFERENCE", "Medium Stay",
"VACATION", "Iong Stay",
"HOLIDAY", "Long Stay",
"V", "Leisure",
"UNKNOWN", "Unknown",
"Other")</f>
        <v>Other</v>
      </c>
    </row>
    <row r="1444" spans="1:11" x14ac:dyDescent="0.3">
      <c r="A1444" t="s">
        <v>4398</v>
      </c>
      <c r="B1444" t="s">
        <v>1353</v>
      </c>
      <c r="C1444" t="s">
        <v>75</v>
      </c>
      <c r="D1444" t="s">
        <v>806</v>
      </c>
      <c r="E1444" t="s">
        <v>40</v>
      </c>
      <c r="F1444" t="s">
        <v>4399</v>
      </c>
      <c r="G1444" t="s">
        <v>1356</v>
      </c>
      <c r="H1444" t="s">
        <v>57</v>
      </c>
      <c r="I1444">
        <f t="shared" si="22"/>
        <v>4</v>
      </c>
      <c r="J1444" t="s">
        <v>121</v>
      </c>
      <c r="K1444" t="str" cm="1">
        <f t="array" ref="K1444">_xlfn.SWITCH(TRIM(UPPER(J1444)),
"BUSINESS", "Short Stay",
"CONFERENCE", "Medium Stay",
"VACATION", "Iong Stay",
"HOLIDAY", "Long Stay",
"V", "Leisure",
"UNKNOWN", "Unknown",
"Other")</f>
        <v>Iong Stay</v>
      </c>
    </row>
    <row r="1445" spans="1:11" x14ac:dyDescent="0.3">
      <c r="A1445" t="s">
        <v>4400</v>
      </c>
      <c r="B1445" t="s">
        <v>1282</v>
      </c>
      <c r="C1445" t="s">
        <v>75</v>
      </c>
      <c r="D1445" t="s">
        <v>4401</v>
      </c>
      <c r="E1445" t="s">
        <v>156</v>
      </c>
      <c r="F1445" t="s">
        <v>4402</v>
      </c>
      <c r="G1445" t="s">
        <v>1285</v>
      </c>
      <c r="H1445" t="s">
        <v>839</v>
      </c>
      <c r="I1445">
        <f t="shared" si="22"/>
        <v>5</v>
      </c>
      <c r="J1445" t="s">
        <v>18</v>
      </c>
      <c r="K1445" t="str" cm="1">
        <f t="array" ref="K1445">_xlfn.SWITCH(TRIM(UPPER(J1445)),
"BUSINESS", "Short Stay",
"CONFERENCE", "Medium Stay",
"VACATION", "Iong Stay",
"HOLIDAY", "Long Stay",
"V", "Leisure",
"UNKNOWN", "Unknown",
"Other")</f>
        <v>Short Stay</v>
      </c>
    </row>
    <row r="1446" spans="1:11" x14ac:dyDescent="0.3">
      <c r="A1446" t="s">
        <v>4403</v>
      </c>
      <c r="B1446" t="s">
        <v>1083</v>
      </c>
      <c r="C1446" t="s">
        <v>21</v>
      </c>
      <c r="D1446" t="s">
        <v>2872</v>
      </c>
      <c r="E1446" t="s">
        <v>32</v>
      </c>
      <c r="F1446" t="s">
        <v>4404</v>
      </c>
      <c r="G1446" t="s">
        <v>554</v>
      </c>
      <c r="H1446" t="s">
        <v>1862</v>
      </c>
      <c r="I1446">
        <f t="shared" si="22"/>
        <v>4</v>
      </c>
      <c r="J1446" t="s">
        <v>18</v>
      </c>
      <c r="K1446" t="str" cm="1">
        <f t="array" ref="K1446">_xlfn.SWITCH(TRIM(UPPER(J1446)),
"BUSINESS", "Short Stay",
"CONFERENCE", "Medium Stay",
"VACATION", "Iong Stay",
"HOLIDAY", "Long Stay",
"V", "Leisure",
"UNKNOWN", "Unknown",
"Other")</f>
        <v>Short Stay</v>
      </c>
    </row>
    <row r="1447" spans="1:11" x14ac:dyDescent="0.3">
      <c r="A1447" t="s">
        <v>4405</v>
      </c>
      <c r="B1447" t="s">
        <v>1273</v>
      </c>
      <c r="C1447" t="s">
        <v>83</v>
      </c>
      <c r="D1447" t="s">
        <v>3162</v>
      </c>
      <c r="E1447" t="s">
        <v>32</v>
      </c>
      <c r="F1447" t="s">
        <v>4406</v>
      </c>
      <c r="G1447" t="s">
        <v>797</v>
      </c>
      <c r="H1447" t="s">
        <v>1347</v>
      </c>
      <c r="I1447">
        <f t="shared" si="22"/>
        <v>4</v>
      </c>
      <c r="J1447" t="s">
        <v>44</v>
      </c>
      <c r="K1447" t="str" cm="1">
        <f t="array" ref="K1447">_xlfn.SWITCH(TRIM(UPPER(J1447)),
"BUSINESS", "Short Stay",
"CONFERENCE", "Medium Stay",
"VACATION", "Iong Stay",
"HOLIDAY", "Long Stay",
"V", "Leisure",
"UNKNOWN", "Unknown",
"Other")</f>
        <v>Other</v>
      </c>
    </row>
    <row r="1448" spans="1:11" x14ac:dyDescent="0.3">
      <c r="A1448" t="s">
        <v>4407</v>
      </c>
      <c r="B1448" t="s">
        <v>772</v>
      </c>
      <c r="C1448" t="s">
        <v>30</v>
      </c>
      <c r="D1448" t="s">
        <v>586</v>
      </c>
      <c r="E1448" t="s">
        <v>63</v>
      </c>
      <c r="F1448" t="s">
        <v>4408</v>
      </c>
      <c r="G1448" t="s">
        <v>775</v>
      </c>
      <c r="H1448" t="s">
        <v>190</v>
      </c>
      <c r="I1448">
        <f t="shared" si="22"/>
        <v>2</v>
      </c>
      <c r="J1448" t="s">
        <v>121</v>
      </c>
      <c r="K1448" t="str" cm="1">
        <f t="array" ref="K1448">_xlfn.SWITCH(TRIM(UPPER(J1448)),
"BUSINESS", "Short Stay",
"CONFERENCE", "Medium Stay",
"VACATION", "Iong Stay",
"HOLIDAY", "Long Stay",
"V", "Leisure",
"UNKNOWN", "Unknown",
"Other")</f>
        <v>Iong Stay</v>
      </c>
    </row>
    <row r="1449" spans="1:11" x14ac:dyDescent="0.3">
      <c r="A1449" t="s">
        <v>4409</v>
      </c>
      <c r="B1449" t="s">
        <v>2328</v>
      </c>
      <c r="C1449" t="s">
        <v>97</v>
      </c>
      <c r="D1449" t="s">
        <v>1254</v>
      </c>
      <c r="E1449" t="s">
        <v>23</v>
      </c>
      <c r="F1449" t="s">
        <v>4410</v>
      </c>
      <c r="G1449" t="s">
        <v>533</v>
      </c>
      <c r="H1449" t="s">
        <v>739</v>
      </c>
      <c r="I1449">
        <f t="shared" si="22"/>
        <v>1</v>
      </c>
      <c r="J1449" t="s">
        <v>18</v>
      </c>
      <c r="K1449" t="str" cm="1">
        <f t="array" ref="K1449">_xlfn.SWITCH(TRIM(UPPER(J1449)),
"BUSINESS", "Short Stay",
"CONFERENCE", "Medium Stay",
"VACATION", "Iong Stay",
"HOLIDAY", "Long Stay",
"V", "Leisure",
"UNKNOWN", "Unknown",
"Other")</f>
        <v>Short Stay</v>
      </c>
    </row>
    <row r="1450" spans="1:11" x14ac:dyDescent="0.3">
      <c r="A1450" t="s">
        <v>4411</v>
      </c>
      <c r="B1450" t="s">
        <v>665</v>
      </c>
      <c r="C1450" t="s">
        <v>38</v>
      </c>
      <c r="D1450" t="s">
        <v>1873</v>
      </c>
      <c r="E1450" t="s">
        <v>214</v>
      </c>
      <c r="F1450" t="s">
        <v>4412</v>
      </c>
      <c r="G1450" t="s">
        <v>668</v>
      </c>
      <c r="H1450" t="s">
        <v>2870</v>
      </c>
      <c r="I1450">
        <f t="shared" si="22"/>
        <v>1</v>
      </c>
      <c r="J1450" t="s">
        <v>121</v>
      </c>
      <c r="K1450" t="str" cm="1">
        <f t="array" ref="K1450">_xlfn.SWITCH(TRIM(UPPER(J1450)),
"BUSINESS", "Short Stay",
"CONFERENCE", "Medium Stay",
"VACATION", "Iong Stay",
"HOLIDAY", "Long Stay",
"V", "Leisure",
"UNKNOWN", "Unknown",
"Other")</f>
        <v>Iong Stay</v>
      </c>
    </row>
    <row r="1451" spans="1:11" x14ac:dyDescent="0.3">
      <c r="A1451" t="s">
        <v>4413</v>
      </c>
      <c r="B1451" t="s">
        <v>968</v>
      </c>
      <c r="C1451" t="s">
        <v>54</v>
      </c>
      <c r="D1451" t="s">
        <v>2389</v>
      </c>
      <c r="E1451" t="s">
        <v>149</v>
      </c>
      <c r="F1451" t="s">
        <v>4414</v>
      </c>
      <c r="G1451" t="s">
        <v>971</v>
      </c>
      <c r="H1451" t="s">
        <v>861</v>
      </c>
      <c r="I1451">
        <f t="shared" si="22"/>
        <v>4</v>
      </c>
      <c r="J1451" t="s">
        <v>27</v>
      </c>
      <c r="K1451" t="str" cm="1">
        <f t="array" ref="K1451">_xlfn.SWITCH(TRIM(UPPER(J1451)),
"BUSINESS", "Short Stay",
"CONFERENCE", "Medium Stay",
"VACATION", "Iong Stay",
"HOLIDAY", "Long Stay",
"V", "Leisure",
"UNKNOWN", "Unknown",
"Other")</f>
        <v>Medium Stay</v>
      </c>
    </row>
    <row r="1452" spans="1:11" x14ac:dyDescent="0.3">
      <c r="A1452" t="s">
        <v>4415</v>
      </c>
      <c r="B1452" t="s">
        <v>2222</v>
      </c>
      <c r="C1452" t="s">
        <v>38</v>
      </c>
      <c r="D1452" t="s">
        <v>1137</v>
      </c>
      <c r="E1452" t="s">
        <v>40</v>
      </c>
      <c r="F1452" t="s">
        <v>4416</v>
      </c>
      <c r="G1452" t="s">
        <v>937</v>
      </c>
      <c r="H1452" t="s">
        <v>133</v>
      </c>
      <c r="I1452">
        <f t="shared" si="22"/>
        <v>5</v>
      </c>
      <c r="J1452" t="s">
        <v>18</v>
      </c>
      <c r="K1452" t="str" cm="1">
        <f t="array" ref="K1452">_xlfn.SWITCH(TRIM(UPPER(J1452)),
"BUSINESS", "Short Stay",
"CONFERENCE", "Medium Stay",
"VACATION", "Iong Stay",
"HOLIDAY", "Long Stay",
"V", "Leisure",
"UNKNOWN", "Unknown",
"Other")</f>
        <v>Short Stay</v>
      </c>
    </row>
    <row r="1453" spans="1:11" x14ac:dyDescent="0.3">
      <c r="A1453" t="s">
        <v>4417</v>
      </c>
      <c r="B1453" t="s">
        <v>74</v>
      </c>
      <c r="C1453" t="s">
        <v>54</v>
      </c>
      <c r="D1453" t="s">
        <v>1345</v>
      </c>
      <c r="E1453" t="s">
        <v>40</v>
      </c>
      <c r="F1453" t="s">
        <v>4418</v>
      </c>
      <c r="G1453" t="s">
        <v>79</v>
      </c>
      <c r="H1453" t="s">
        <v>250</v>
      </c>
      <c r="I1453">
        <f t="shared" si="22"/>
        <v>5</v>
      </c>
      <c r="J1453" t="s">
        <v>121</v>
      </c>
      <c r="K1453" t="str" cm="1">
        <f t="array" ref="K1453">_xlfn.SWITCH(TRIM(UPPER(J1453)),
"BUSINESS", "Short Stay",
"CONFERENCE", "Medium Stay",
"VACATION", "Iong Stay",
"HOLIDAY", "Long Stay",
"V", "Leisure",
"UNKNOWN", "Unknown",
"Other")</f>
        <v>Iong Stay</v>
      </c>
    </row>
    <row r="1454" spans="1:11" x14ac:dyDescent="0.3">
      <c r="A1454" t="s">
        <v>4419</v>
      </c>
      <c r="B1454" t="s">
        <v>1045</v>
      </c>
      <c r="C1454" t="s">
        <v>12</v>
      </c>
      <c r="D1454" t="s">
        <v>889</v>
      </c>
      <c r="E1454" t="s">
        <v>23</v>
      </c>
      <c r="F1454" t="s">
        <v>4420</v>
      </c>
      <c r="G1454" t="s">
        <v>1048</v>
      </c>
      <c r="H1454" t="s">
        <v>139</v>
      </c>
      <c r="I1454">
        <f t="shared" si="22"/>
        <v>3</v>
      </c>
      <c r="J1454" t="s">
        <v>27</v>
      </c>
      <c r="K1454" t="str" cm="1">
        <f t="array" ref="K1454">_xlfn.SWITCH(TRIM(UPPER(J1454)),
"BUSINESS", "Short Stay",
"CONFERENCE", "Medium Stay",
"VACATION", "Iong Stay",
"HOLIDAY", "Long Stay",
"V", "Leisure",
"UNKNOWN", "Unknown",
"Other")</f>
        <v>Medium Stay</v>
      </c>
    </row>
    <row r="1455" spans="1:11" x14ac:dyDescent="0.3">
      <c r="A1455" t="s">
        <v>4421</v>
      </c>
      <c r="B1455" t="s">
        <v>3001</v>
      </c>
      <c r="C1455" t="s">
        <v>54</v>
      </c>
      <c r="D1455" t="s">
        <v>1563</v>
      </c>
      <c r="E1455" t="s">
        <v>176</v>
      </c>
      <c r="F1455" t="s">
        <v>4422</v>
      </c>
      <c r="G1455" t="s">
        <v>518</v>
      </c>
      <c r="H1455" t="s">
        <v>1007</v>
      </c>
      <c r="I1455">
        <f t="shared" si="22"/>
        <v>5</v>
      </c>
      <c r="J1455" t="s">
        <v>18</v>
      </c>
      <c r="K1455" t="str" cm="1">
        <f t="array" ref="K1455">_xlfn.SWITCH(TRIM(UPPER(J1455)),
"BUSINESS", "Short Stay",
"CONFERENCE", "Medium Stay",
"VACATION", "Iong Stay",
"HOLIDAY", "Long Stay",
"V", "Leisure",
"UNKNOWN", "Unknown",
"Other")</f>
        <v>Short Stay</v>
      </c>
    </row>
    <row r="1456" spans="1:11" x14ac:dyDescent="0.3">
      <c r="A1456" t="s">
        <v>4423</v>
      </c>
      <c r="B1456" t="s">
        <v>1997</v>
      </c>
      <c r="C1456" t="s">
        <v>54</v>
      </c>
      <c r="D1456" t="s">
        <v>168</v>
      </c>
      <c r="E1456" t="s">
        <v>430</v>
      </c>
      <c r="F1456" t="s">
        <v>4424</v>
      </c>
      <c r="G1456" t="s">
        <v>1199</v>
      </c>
      <c r="H1456" t="s">
        <v>1304</v>
      </c>
      <c r="I1456">
        <f t="shared" si="22"/>
        <v>2</v>
      </c>
      <c r="J1456" t="s">
        <v>121</v>
      </c>
      <c r="K1456" t="str" cm="1">
        <f t="array" ref="K1456">_xlfn.SWITCH(TRIM(UPPER(J1456)),
"BUSINESS", "Short Stay",
"CONFERENCE", "Medium Stay",
"VACATION", "Iong Stay",
"HOLIDAY", "Long Stay",
"V", "Leisure",
"UNKNOWN", "Unknown",
"Other")</f>
        <v>Iong Stay</v>
      </c>
    </row>
    <row r="1457" spans="1:11" x14ac:dyDescent="0.3">
      <c r="A1457" t="s">
        <v>4425</v>
      </c>
      <c r="B1457" t="s">
        <v>910</v>
      </c>
      <c r="C1457" t="s">
        <v>54</v>
      </c>
      <c r="D1457" t="s">
        <v>1018</v>
      </c>
      <c r="E1457" t="s">
        <v>458</v>
      </c>
      <c r="F1457" t="s">
        <v>4426</v>
      </c>
      <c r="G1457" t="s">
        <v>913</v>
      </c>
      <c r="H1457" t="s">
        <v>410</v>
      </c>
      <c r="I1457">
        <f t="shared" si="22"/>
        <v>5</v>
      </c>
      <c r="J1457" t="s">
        <v>27</v>
      </c>
      <c r="K1457" t="str" cm="1">
        <f t="array" ref="K1457">_xlfn.SWITCH(TRIM(UPPER(J1457)),
"BUSINESS", "Short Stay",
"CONFERENCE", "Medium Stay",
"VACATION", "Iong Stay",
"HOLIDAY", "Long Stay",
"V", "Leisure",
"UNKNOWN", "Unknown",
"Other")</f>
        <v>Medium Stay</v>
      </c>
    </row>
    <row r="1458" spans="1:11" x14ac:dyDescent="0.3">
      <c r="A1458" t="s">
        <v>4427</v>
      </c>
      <c r="B1458" t="s">
        <v>20</v>
      </c>
      <c r="C1458" t="s">
        <v>61</v>
      </c>
      <c r="D1458" t="s">
        <v>3256</v>
      </c>
      <c r="E1458" t="s">
        <v>214</v>
      </c>
      <c r="F1458" t="s">
        <v>4428</v>
      </c>
      <c r="G1458" t="s">
        <v>25</v>
      </c>
      <c r="H1458" t="s">
        <v>1280</v>
      </c>
      <c r="I1458">
        <f t="shared" si="22"/>
        <v>3</v>
      </c>
      <c r="J1458" t="s">
        <v>27</v>
      </c>
      <c r="K1458" t="str" cm="1">
        <f t="array" ref="K1458">_xlfn.SWITCH(TRIM(UPPER(J1458)),
"BUSINESS", "Short Stay",
"CONFERENCE", "Medium Stay",
"VACATION", "Iong Stay",
"HOLIDAY", "Long Stay",
"V", "Leisure",
"UNKNOWN", "Unknown",
"Other")</f>
        <v>Medium Stay</v>
      </c>
    </row>
    <row r="1459" spans="1:11" x14ac:dyDescent="0.3">
      <c r="A1459" t="s">
        <v>4429</v>
      </c>
      <c r="B1459" t="s">
        <v>550</v>
      </c>
      <c r="C1459" t="s">
        <v>30</v>
      </c>
      <c r="D1459" t="s">
        <v>1514</v>
      </c>
      <c r="E1459" t="s">
        <v>201</v>
      </c>
      <c r="F1459" t="s">
        <v>4430</v>
      </c>
      <c r="G1459" t="s">
        <v>553</v>
      </c>
      <c r="H1459" t="s">
        <v>1862</v>
      </c>
      <c r="I1459">
        <f t="shared" si="22"/>
        <v>5</v>
      </c>
      <c r="J1459" t="s">
        <v>18</v>
      </c>
      <c r="K1459" t="str" cm="1">
        <f t="array" ref="K1459">_xlfn.SWITCH(TRIM(UPPER(J1459)),
"BUSINESS", "Short Stay",
"CONFERENCE", "Medium Stay",
"VACATION", "Iong Stay",
"HOLIDAY", "Long Stay",
"V", "Leisure",
"UNKNOWN", "Unknown",
"Other")</f>
        <v>Short Stay</v>
      </c>
    </row>
    <row r="1460" spans="1:11" x14ac:dyDescent="0.3">
      <c r="A1460" t="s">
        <v>4431</v>
      </c>
      <c r="B1460" t="s">
        <v>892</v>
      </c>
      <c r="C1460" t="s">
        <v>174</v>
      </c>
      <c r="D1460" t="s">
        <v>3606</v>
      </c>
      <c r="E1460" t="s">
        <v>23</v>
      </c>
      <c r="F1460" t="s">
        <v>4432</v>
      </c>
      <c r="G1460" t="s">
        <v>895</v>
      </c>
      <c r="H1460" t="s">
        <v>2777</v>
      </c>
      <c r="I1460">
        <f t="shared" si="22"/>
        <v>5</v>
      </c>
      <c r="J1460" t="s">
        <v>18</v>
      </c>
      <c r="K1460" t="str" cm="1">
        <f t="array" ref="K1460">_xlfn.SWITCH(TRIM(UPPER(J1460)),
"BUSINESS", "Short Stay",
"CONFERENCE", "Medium Stay",
"VACATION", "Iong Stay",
"HOLIDAY", "Long Stay",
"V", "Leisure",
"UNKNOWN", "Unknown",
"Other")</f>
        <v>Short Stay</v>
      </c>
    </row>
    <row r="1461" spans="1:11" x14ac:dyDescent="0.3">
      <c r="A1461" t="s">
        <v>4433</v>
      </c>
      <c r="B1461" t="s">
        <v>1541</v>
      </c>
      <c r="C1461" t="s">
        <v>38</v>
      </c>
      <c r="D1461" t="s">
        <v>1314</v>
      </c>
      <c r="E1461" t="s">
        <v>458</v>
      </c>
      <c r="F1461" t="s">
        <v>4434</v>
      </c>
      <c r="G1461" t="s">
        <v>1543</v>
      </c>
      <c r="H1461" t="s">
        <v>170</v>
      </c>
      <c r="I1461">
        <f t="shared" si="22"/>
        <v>2</v>
      </c>
      <c r="J1461" t="s">
        <v>27</v>
      </c>
      <c r="K1461" t="str" cm="1">
        <f t="array" ref="K1461">_xlfn.SWITCH(TRIM(UPPER(J1461)),
"BUSINESS", "Short Stay",
"CONFERENCE", "Medium Stay",
"VACATION", "Iong Stay",
"HOLIDAY", "Long Stay",
"V", "Leisure",
"UNKNOWN", "Unknown",
"Other")</f>
        <v>Medium Stay</v>
      </c>
    </row>
    <row r="1462" spans="1:11" x14ac:dyDescent="0.3">
      <c r="A1462" t="s">
        <v>4435</v>
      </c>
      <c r="B1462" t="s">
        <v>783</v>
      </c>
      <c r="C1462" t="s">
        <v>21</v>
      </c>
      <c r="D1462" t="s">
        <v>3303</v>
      </c>
      <c r="E1462" t="s">
        <v>32</v>
      </c>
      <c r="F1462" t="s">
        <v>4436</v>
      </c>
      <c r="G1462" t="s">
        <v>786</v>
      </c>
      <c r="H1462" t="s">
        <v>426</v>
      </c>
      <c r="I1462">
        <f t="shared" si="22"/>
        <v>2</v>
      </c>
      <c r="J1462" t="s">
        <v>44</v>
      </c>
      <c r="K1462" t="str" cm="1">
        <f t="array" ref="K1462">_xlfn.SWITCH(TRIM(UPPER(J1462)),
"BUSINESS", "Short Stay",
"CONFERENCE", "Medium Stay",
"VACATION", "Iong Stay",
"HOLIDAY", "Long Stay",
"V", "Leisure",
"UNKNOWN", "Unknown",
"Other")</f>
        <v>Other</v>
      </c>
    </row>
    <row r="1463" spans="1:11" x14ac:dyDescent="0.3">
      <c r="A1463" t="s">
        <v>4437</v>
      </c>
      <c r="B1463" t="s">
        <v>3355</v>
      </c>
      <c r="C1463" t="s">
        <v>174</v>
      </c>
      <c r="D1463" t="s">
        <v>4438</v>
      </c>
      <c r="E1463" t="s">
        <v>32</v>
      </c>
      <c r="F1463" t="s">
        <v>4439</v>
      </c>
      <c r="G1463" t="s">
        <v>26</v>
      </c>
      <c r="H1463" t="s">
        <v>113</v>
      </c>
      <c r="I1463">
        <f t="shared" si="22"/>
        <v>5</v>
      </c>
      <c r="J1463" t="s">
        <v>18</v>
      </c>
      <c r="K1463" t="str" cm="1">
        <f t="array" ref="K1463">_xlfn.SWITCH(TRIM(UPPER(J1463)),
"BUSINESS", "Short Stay",
"CONFERENCE", "Medium Stay",
"VACATION", "Iong Stay",
"HOLIDAY", "Long Stay",
"V", "Leisure",
"UNKNOWN", "Unknown",
"Other")</f>
        <v>Short Stay</v>
      </c>
    </row>
    <row r="1464" spans="1:11" x14ac:dyDescent="0.3">
      <c r="A1464" t="s">
        <v>4440</v>
      </c>
      <c r="B1464" t="s">
        <v>520</v>
      </c>
      <c r="C1464" t="s">
        <v>54</v>
      </c>
      <c r="D1464" t="s">
        <v>4206</v>
      </c>
      <c r="E1464" t="s">
        <v>32</v>
      </c>
      <c r="F1464" t="s">
        <v>1237</v>
      </c>
      <c r="G1464" t="s">
        <v>523</v>
      </c>
      <c r="H1464" t="s">
        <v>524</v>
      </c>
      <c r="I1464">
        <f t="shared" si="22"/>
        <v>1</v>
      </c>
      <c r="J1464" t="s">
        <v>18</v>
      </c>
      <c r="K1464" t="str" cm="1">
        <f t="array" ref="K1464">_xlfn.SWITCH(TRIM(UPPER(J1464)),
"BUSINESS", "Short Stay",
"CONFERENCE", "Medium Stay",
"VACATION", "Iong Stay",
"HOLIDAY", "Long Stay",
"V", "Leisure",
"UNKNOWN", "Unknown",
"Other")</f>
        <v>Short Stay</v>
      </c>
    </row>
    <row r="1465" spans="1:11" x14ac:dyDescent="0.3">
      <c r="A1465" t="s">
        <v>4441</v>
      </c>
      <c r="B1465" t="s">
        <v>1698</v>
      </c>
      <c r="C1465" t="s">
        <v>174</v>
      </c>
      <c r="D1465" t="s">
        <v>1306</v>
      </c>
      <c r="E1465" t="s">
        <v>77</v>
      </c>
      <c r="F1465" t="s">
        <v>3254</v>
      </c>
      <c r="G1465" t="s">
        <v>759</v>
      </c>
      <c r="H1465" t="s">
        <v>119</v>
      </c>
      <c r="I1465">
        <f t="shared" si="22"/>
        <v>4</v>
      </c>
      <c r="J1465" t="s">
        <v>121</v>
      </c>
      <c r="K1465" t="str" cm="1">
        <f t="array" ref="K1465">_xlfn.SWITCH(TRIM(UPPER(J1465)),
"BUSINESS", "Short Stay",
"CONFERENCE", "Medium Stay",
"VACATION", "Iong Stay",
"HOLIDAY", "Long Stay",
"V", "Leisure",
"UNKNOWN", "Unknown",
"Other")</f>
        <v>Iong Stay</v>
      </c>
    </row>
    <row r="1466" spans="1:11" x14ac:dyDescent="0.3">
      <c r="A1466" t="s">
        <v>4442</v>
      </c>
      <c r="B1466" t="s">
        <v>389</v>
      </c>
      <c r="C1466" t="s">
        <v>97</v>
      </c>
      <c r="D1466" t="s">
        <v>1503</v>
      </c>
      <c r="E1466" t="s">
        <v>23</v>
      </c>
      <c r="F1466" t="s">
        <v>4443</v>
      </c>
      <c r="G1466" t="s">
        <v>392</v>
      </c>
      <c r="H1466" t="s">
        <v>309</v>
      </c>
      <c r="I1466">
        <f t="shared" si="22"/>
        <v>5</v>
      </c>
      <c r="J1466" t="s">
        <v>121</v>
      </c>
      <c r="K1466" t="str" cm="1">
        <f t="array" ref="K1466">_xlfn.SWITCH(TRIM(UPPER(J1466)),
"BUSINESS", "Short Stay",
"CONFERENCE", "Medium Stay",
"VACATION", "Iong Stay",
"HOLIDAY", "Long Stay",
"V", "Leisure",
"UNKNOWN", "Unknown",
"Other")</f>
        <v>Iong Stay</v>
      </c>
    </row>
    <row r="1467" spans="1:11" x14ac:dyDescent="0.3">
      <c r="A1467" t="s">
        <v>4444</v>
      </c>
      <c r="B1467" t="s">
        <v>943</v>
      </c>
      <c r="C1467" t="s">
        <v>61</v>
      </c>
      <c r="D1467" t="s">
        <v>1637</v>
      </c>
      <c r="E1467" t="s">
        <v>14</v>
      </c>
      <c r="F1467" t="s">
        <v>4445</v>
      </c>
      <c r="G1467" t="s">
        <v>339</v>
      </c>
      <c r="H1467" t="s">
        <v>238</v>
      </c>
      <c r="I1467">
        <f t="shared" si="22"/>
        <v>1</v>
      </c>
      <c r="J1467" t="s">
        <v>27</v>
      </c>
      <c r="K1467" t="str" cm="1">
        <f t="array" ref="K1467">_xlfn.SWITCH(TRIM(UPPER(J1467)),
"BUSINESS", "Short Stay",
"CONFERENCE", "Medium Stay",
"VACATION", "Iong Stay",
"HOLIDAY", "Long Stay",
"V", "Leisure",
"UNKNOWN", "Unknown",
"Other")</f>
        <v>Medium Stay</v>
      </c>
    </row>
    <row r="1468" spans="1:11" x14ac:dyDescent="0.3">
      <c r="A1468" t="s">
        <v>4446</v>
      </c>
      <c r="B1468" t="s">
        <v>4447</v>
      </c>
      <c r="C1468" t="s">
        <v>75</v>
      </c>
      <c r="D1468" t="s">
        <v>4448</v>
      </c>
      <c r="E1468" t="s">
        <v>458</v>
      </c>
      <c r="F1468" t="s">
        <v>4449</v>
      </c>
      <c r="G1468" t="s">
        <v>3198</v>
      </c>
      <c r="H1468" t="s">
        <v>1316</v>
      </c>
      <c r="I1468">
        <f t="shared" si="22"/>
        <v>1</v>
      </c>
      <c r="J1468" t="s">
        <v>121</v>
      </c>
      <c r="K1468" t="str" cm="1">
        <f t="array" ref="K1468">_xlfn.SWITCH(TRIM(UPPER(J1468)),
"BUSINESS", "Short Stay",
"CONFERENCE", "Medium Stay",
"VACATION", "Iong Stay",
"HOLIDAY", "Long Stay",
"V", "Leisure",
"UNKNOWN", "Unknown",
"Other")</f>
        <v>Iong Stay</v>
      </c>
    </row>
    <row r="1469" spans="1:11" x14ac:dyDescent="0.3">
      <c r="A1469" t="s">
        <v>4450</v>
      </c>
      <c r="B1469" t="s">
        <v>3252</v>
      </c>
      <c r="C1469" t="s">
        <v>38</v>
      </c>
      <c r="D1469" t="s">
        <v>3777</v>
      </c>
      <c r="E1469" t="s">
        <v>69</v>
      </c>
      <c r="F1469" t="s">
        <v>4451</v>
      </c>
      <c r="G1469" t="s">
        <v>2870</v>
      </c>
      <c r="H1469" t="s">
        <v>203</v>
      </c>
      <c r="I1469">
        <f t="shared" si="22"/>
        <v>2</v>
      </c>
      <c r="J1469" t="s">
        <v>121</v>
      </c>
      <c r="K1469" t="str" cm="1">
        <f t="array" ref="K1469">_xlfn.SWITCH(TRIM(UPPER(J1469)),
"BUSINESS", "Short Stay",
"CONFERENCE", "Medium Stay",
"VACATION", "Iong Stay",
"HOLIDAY", "Long Stay",
"V", "Leisure",
"UNKNOWN", "Unknown",
"Other")</f>
        <v>Iong Stay</v>
      </c>
    </row>
    <row r="1470" spans="1:11" x14ac:dyDescent="0.3">
      <c r="A1470" t="s">
        <v>4452</v>
      </c>
      <c r="B1470" t="s">
        <v>1429</v>
      </c>
      <c r="C1470" t="s">
        <v>75</v>
      </c>
      <c r="D1470" t="s">
        <v>733</v>
      </c>
      <c r="E1470" t="s">
        <v>23</v>
      </c>
      <c r="F1470" t="s">
        <v>1069</v>
      </c>
      <c r="G1470" t="s">
        <v>283</v>
      </c>
      <c r="H1470" t="s">
        <v>668</v>
      </c>
      <c r="I1470">
        <f t="shared" si="22"/>
        <v>4</v>
      </c>
      <c r="J1470" t="s">
        <v>121</v>
      </c>
      <c r="K1470" t="str" cm="1">
        <f t="array" ref="K1470">_xlfn.SWITCH(TRIM(UPPER(J1470)),
"BUSINESS", "Short Stay",
"CONFERENCE", "Medium Stay",
"VACATION", "Iong Stay",
"HOLIDAY", "Long Stay",
"V", "Leisure",
"UNKNOWN", "Unknown",
"Other")</f>
        <v>Iong Stay</v>
      </c>
    </row>
    <row r="1471" spans="1:11" x14ac:dyDescent="0.3">
      <c r="A1471" t="s">
        <v>4453</v>
      </c>
      <c r="B1471" t="s">
        <v>2707</v>
      </c>
      <c r="C1471" t="s">
        <v>174</v>
      </c>
      <c r="D1471" t="s">
        <v>800</v>
      </c>
      <c r="E1471" t="s">
        <v>77</v>
      </c>
      <c r="F1471" t="s">
        <v>4454</v>
      </c>
      <c r="G1471" t="s">
        <v>216</v>
      </c>
      <c r="H1471" t="s">
        <v>501</v>
      </c>
      <c r="I1471">
        <f t="shared" si="22"/>
        <v>4</v>
      </c>
      <c r="J1471" t="s">
        <v>18</v>
      </c>
      <c r="K1471" t="str" cm="1">
        <f t="array" ref="K1471">_xlfn.SWITCH(TRIM(UPPER(J1471)),
"BUSINESS", "Short Stay",
"CONFERENCE", "Medium Stay",
"VACATION", "Iong Stay",
"HOLIDAY", "Long Stay",
"V", "Leisure",
"UNKNOWN", "Unknown",
"Other")</f>
        <v>Short Stay</v>
      </c>
    </row>
    <row r="1472" spans="1:11" x14ac:dyDescent="0.3">
      <c r="A1472" t="s">
        <v>4455</v>
      </c>
      <c r="B1472" t="s">
        <v>1482</v>
      </c>
      <c r="C1472" t="s">
        <v>12</v>
      </c>
      <c r="D1472" t="s">
        <v>4289</v>
      </c>
      <c r="E1472" t="s">
        <v>214</v>
      </c>
      <c r="F1472" t="s">
        <v>4456</v>
      </c>
      <c r="G1472" t="s">
        <v>1485</v>
      </c>
      <c r="H1472" t="s">
        <v>4045</v>
      </c>
      <c r="I1472">
        <f t="shared" si="22"/>
        <v>4</v>
      </c>
      <c r="J1472" t="s">
        <v>44</v>
      </c>
      <c r="K1472" t="str" cm="1">
        <f t="array" ref="K1472">_xlfn.SWITCH(TRIM(UPPER(J1472)),
"BUSINESS", "Short Stay",
"CONFERENCE", "Medium Stay",
"VACATION", "Iong Stay",
"HOLIDAY", "Long Stay",
"V", "Leisure",
"UNKNOWN", "Unknown",
"Other")</f>
        <v>Other</v>
      </c>
    </row>
    <row r="1473" spans="1:11" x14ac:dyDescent="0.3">
      <c r="A1473" t="s">
        <v>4457</v>
      </c>
      <c r="B1473" t="s">
        <v>1451</v>
      </c>
      <c r="C1473" t="s">
        <v>61</v>
      </c>
      <c r="D1473" t="s">
        <v>4206</v>
      </c>
      <c r="E1473" t="s">
        <v>85</v>
      </c>
      <c r="F1473" t="s">
        <v>4458</v>
      </c>
      <c r="G1473" t="s">
        <v>615</v>
      </c>
      <c r="H1473" t="s">
        <v>1204</v>
      </c>
      <c r="I1473">
        <f t="shared" si="22"/>
        <v>5</v>
      </c>
      <c r="J1473" t="s">
        <v>44</v>
      </c>
      <c r="K1473" t="str" cm="1">
        <f t="array" ref="K1473">_xlfn.SWITCH(TRIM(UPPER(J1473)),
"BUSINESS", "Short Stay",
"CONFERENCE", "Medium Stay",
"VACATION", "Iong Stay",
"HOLIDAY", "Long Stay",
"V", "Leisure",
"UNKNOWN", "Unknown",
"Other")</f>
        <v>Other</v>
      </c>
    </row>
    <row r="1474" spans="1:11" x14ac:dyDescent="0.3">
      <c r="A1474" t="s">
        <v>4459</v>
      </c>
      <c r="B1474" t="s">
        <v>793</v>
      </c>
      <c r="C1474" t="s">
        <v>38</v>
      </c>
      <c r="D1474" t="s">
        <v>1329</v>
      </c>
      <c r="E1474" t="s">
        <v>201</v>
      </c>
      <c r="F1474" t="s">
        <v>4460</v>
      </c>
      <c r="G1474" t="s">
        <v>796</v>
      </c>
      <c r="H1474" t="s">
        <v>625</v>
      </c>
      <c r="I1474">
        <f t="shared" si="22"/>
        <v>5</v>
      </c>
      <c r="J1474" t="s">
        <v>27</v>
      </c>
      <c r="K1474" t="str" cm="1">
        <f t="array" ref="K1474">_xlfn.SWITCH(TRIM(UPPER(J1474)),
"BUSINESS", "Short Stay",
"CONFERENCE", "Medium Stay",
"VACATION", "Iong Stay",
"HOLIDAY", "Long Stay",
"V", "Leisure",
"UNKNOWN", "Unknown",
"Other")</f>
        <v>Medium Stay</v>
      </c>
    </row>
    <row r="1475" spans="1:11" x14ac:dyDescent="0.3">
      <c r="A1475" t="s">
        <v>4461</v>
      </c>
      <c r="B1475" t="s">
        <v>1984</v>
      </c>
      <c r="C1475" t="s">
        <v>21</v>
      </c>
      <c r="D1475" t="s">
        <v>4462</v>
      </c>
      <c r="E1475" t="s">
        <v>476</v>
      </c>
      <c r="F1475" t="s">
        <v>4463</v>
      </c>
      <c r="G1475" t="s">
        <v>443</v>
      </c>
      <c r="H1475" t="s">
        <v>971</v>
      </c>
      <c r="I1475">
        <f t="shared" ref="I1475:I1538" si="23">H1475-G1475</f>
        <v>5</v>
      </c>
      <c r="J1475" t="s">
        <v>27</v>
      </c>
      <c r="K1475" t="str" cm="1">
        <f t="array" ref="K1475">_xlfn.SWITCH(TRIM(UPPER(J1475)),
"BUSINESS", "Short Stay",
"CONFERENCE", "Medium Stay",
"VACATION", "Iong Stay",
"HOLIDAY", "Long Stay",
"V", "Leisure",
"UNKNOWN", "Unknown",
"Other")</f>
        <v>Medium Stay</v>
      </c>
    </row>
    <row r="1476" spans="1:11" x14ac:dyDescent="0.3">
      <c r="A1476" t="s">
        <v>4464</v>
      </c>
      <c r="B1476" t="s">
        <v>2051</v>
      </c>
      <c r="C1476" t="s">
        <v>21</v>
      </c>
      <c r="D1476" t="s">
        <v>390</v>
      </c>
      <c r="E1476" t="s">
        <v>117</v>
      </c>
      <c r="F1476" t="s">
        <v>4465</v>
      </c>
      <c r="G1476" t="s">
        <v>1559</v>
      </c>
      <c r="H1476" t="s">
        <v>71</v>
      </c>
      <c r="I1476">
        <f t="shared" si="23"/>
        <v>2</v>
      </c>
      <c r="J1476" t="s">
        <v>44</v>
      </c>
      <c r="K1476" t="str" cm="1">
        <f t="array" ref="K1476">_xlfn.SWITCH(TRIM(UPPER(J1476)),
"BUSINESS", "Short Stay",
"CONFERENCE", "Medium Stay",
"VACATION", "Iong Stay",
"HOLIDAY", "Long Stay",
"V", "Leisure",
"UNKNOWN", "Unknown",
"Other")</f>
        <v>Other</v>
      </c>
    </row>
    <row r="1477" spans="1:11" x14ac:dyDescent="0.3">
      <c r="A1477" t="s">
        <v>4466</v>
      </c>
      <c r="B1477" t="s">
        <v>1557</v>
      </c>
      <c r="C1477" t="s">
        <v>75</v>
      </c>
      <c r="D1477" t="s">
        <v>2123</v>
      </c>
      <c r="E1477" t="s">
        <v>546</v>
      </c>
      <c r="F1477" t="s">
        <v>4467</v>
      </c>
      <c r="G1477" t="s">
        <v>958</v>
      </c>
      <c r="H1477" t="s">
        <v>826</v>
      </c>
      <c r="I1477">
        <f t="shared" si="23"/>
        <v>2</v>
      </c>
      <c r="J1477" t="s">
        <v>18</v>
      </c>
      <c r="K1477" t="str" cm="1">
        <f t="array" ref="K1477">_xlfn.SWITCH(TRIM(UPPER(J1477)),
"BUSINESS", "Short Stay",
"CONFERENCE", "Medium Stay",
"VACATION", "Iong Stay",
"HOLIDAY", "Long Stay",
"V", "Leisure",
"UNKNOWN", "Unknown",
"Other")</f>
        <v>Short Stay</v>
      </c>
    </row>
    <row r="1478" spans="1:11" x14ac:dyDescent="0.3">
      <c r="A1478" t="s">
        <v>4468</v>
      </c>
      <c r="B1478" t="s">
        <v>123</v>
      </c>
      <c r="C1478" t="s">
        <v>38</v>
      </c>
      <c r="D1478" t="s">
        <v>3649</v>
      </c>
      <c r="E1478" t="s">
        <v>476</v>
      </c>
      <c r="F1478" t="s">
        <v>4469</v>
      </c>
      <c r="G1478" t="s">
        <v>126</v>
      </c>
      <c r="H1478" t="s">
        <v>468</v>
      </c>
      <c r="I1478">
        <f t="shared" si="23"/>
        <v>2</v>
      </c>
      <c r="J1478" t="s">
        <v>121</v>
      </c>
      <c r="K1478" t="str" cm="1">
        <f t="array" ref="K1478">_xlfn.SWITCH(TRIM(UPPER(J1478)),
"BUSINESS", "Short Stay",
"CONFERENCE", "Medium Stay",
"VACATION", "Iong Stay",
"HOLIDAY", "Long Stay",
"V", "Leisure",
"UNKNOWN", "Unknown",
"Other")</f>
        <v>Iong Stay</v>
      </c>
    </row>
    <row r="1479" spans="1:11" x14ac:dyDescent="0.3">
      <c r="A1479" t="s">
        <v>4470</v>
      </c>
      <c r="B1479" t="s">
        <v>1722</v>
      </c>
      <c r="C1479" t="s">
        <v>54</v>
      </c>
      <c r="D1479" t="s">
        <v>4471</v>
      </c>
      <c r="E1479" t="s">
        <v>201</v>
      </c>
      <c r="F1479" t="s">
        <v>3157</v>
      </c>
      <c r="G1479" t="s">
        <v>635</v>
      </c>
      <c r="H1479" t="s">
        <v>87</v>
      </c>
      <c r="I1479">
        <f t="shared" si="23"/>
        <v>5</v>
      </c>
      <c r="J1479" t="s">
        <v>27</v>
      </c>
      <c r="K1479" t="str" cm="1">
        <f t="array" ref="K1479">_xlfn.SWITCH(TRIM(UPPER(J1479)),
"BUSINESS", "Short Stay",
"CONFERENCE", "Medium Stay",
"VACATION", "Iong Stay",
"HOLIDAY", "Long Stay",
"V", "Leisure",
"UNKNOWN", "Unknown",
"Other")</f>
        <v>Medium Stay</v>
      </c>
    </row>
    <row r="1480" spans="1:11" x14ac:dyDescent="0.3">
      <c r="A1480" t="s">
        <v>4472</v>
      </c>
      <c r="B1480" t="s">
        <v>2692</v>
      </c>
      <c r="C1480" t="s">
        <v>61</v>
      </c>
      <c r="D1480" t="s">
        <v>1350</v>
      </c>
      <c r="E1480" t="s">
        <v>458</v>
      </c>
      <c r="F1480" t="s">
        <v>4473</v>
      </c>
      <c r="G1480" t="s">
        <v>1167</v>
      </c>
      <c r="H1480" t="s">
        <v>685</v>
      </c>
      <c r="I1480">
        <f t="shared" si="23"/>
        <v>4</v>
      </c>
      <c r="J1480" t="s">
        <v>18</v>
      </c>
      <c r="K1480" t="str" cm="1">
        <f t="array" ref="K1480">_xlfn.SWITCH(TRIM(UPPER(J1480)),
"BUSINESS", "Short Stay",
"CONFERENCE", "Medium Stay",
"VACATION", "Iong Stay",
"HOLIDAY", "Long Stay",
"V", "Leisure",
"UNKNOWN", "Unknown",
"Other")</f>
        <v>Short Stay</v>
      </c>
    </row>
    <row r="1481" spans="1:11" x14ac:dyDescent="0.3">
      <c r="A1481" t="s">
        <v>4474</v>
      </c>
      <c r="B1481" t="s">
        <v>2157</v>
      </c>
      <c r="C1481" t="s">
        <v>75</v>
      </c>
      <c r="D1481" t="s">
        <v>3799</v>
      </c>
      <c r="E1481" t="s">
        <v>32</v>
      </c>
      <c r="F1481" t="s">
        <v>4475</v>
      </c>
      <c r="G1481" t="s">
        <v>2160</v>
      </c>
      <c r="H1481" t="s">
        <v>298</v>
      </c>
      <c r="I1481">
        <f t="shared" si="23"/>
        <v>2</v>
      </c>
      <c r="J1481" t="s">
        <v>18</v>
      </c>
      <c r="K1481" t="str" cm="1">
        <f t="array" ref="K1481">_xlfn.SWITCH(TRIM(UPPER(J1481)),
"BUSINESS", "Short Stay",
"CONFERENCE", "Medium Stay",
"VACATION", "Iong Stay",
"HOLIDAY", "Long Stay",
"V", "Leisure",
"UNKNOWN", "Unknown",
"Other")</f>
        <v>Short Stay</v>
      </c>
    </row>
    <row r="1482" spans="1:11" x14ac:dyDescent="0.3">
      <c r="A1482" t="s">
        <v>4476</v>
      </c>
      <c r="B1482" t="s">
        <v>2335</v>
      </c>
      <c r="C1482" t="s">
        <v>21</v>
      </c>
      <c r="D1482" t="s">
        <v>3886</v>
      </c>
      <c r="E1482" t="s">
        <v>63</v>
      </c>
      <c r="F1482" t="s">
        <v>4477</v>
      </c>
      <c r="G1482" t="s">
        <v>1826</v>
      </c>
      <c r="H1482" t="s">
        <v>159</v>
      </c>
      <c r="I1482">
        <f t="shared" si="23"/>
        <v>3</v>
      </c>
      <c r="J1482" t="s">
        <v>121</v>
      </c>
      <c r="K1482" t="str" cm="1">
        <f t="array" ref="K1482">_xlfn.SWITCH(TRIM(UPPER(J1482)),
"BUSINESS", "Short Stay",
"CONFERENCE", "Medium Stay",
"VACATION", "Iong Stay",
"HOLIDAY", "Long Stay",
"V", "Leisure",
"UNKNOWN", "Unknown",
"Other")</f>
        <v>Iong Stay</v>
      </c>
    </row>
    <row r="1483" spans="1:11" x14ac:dyDescent="0.3">
      <c r="A1483" t="s">
        <v>4478</v>
      </c>
      <c r="B1483" t="s">
        <v>11</v>
      </c>
      <c r="C1483" t="s">
        <v>174</v>
      </c>
      <c r="D1483" t="s">
        <v>4479</v>
      </c>
      <c r="E1483" t="s">
        <v>23</v>
      </c>
      <c r="F1483" t="s">
        <v>4480</v>
      </c>
      <c r="G1483" t="s">
        <v>16</v>
      </c>
      <c r="H1483" t="s">
        <v>276</v>
      </c>
      <c r="I1483">
        <f t="shared" si="23"/>
        <v>1</v>
      </c>
      <c r="J1483" t="s">
        <v>27</v>
      </c>
      <c r="K1483" t="str" cm="1">
        <f t="array" ref="K1483">_xlfn.SWITCH(TRIM(UPPER(J1483)),
"BUSINESS", "Short Stay",
"CONFERENCE", "Medium Stay",
"VACATION", "Iong Stay",
"HOLIDAY", "Long Stay",
"V", "Leisure",
"UNKNOWN", "Unknown",
"Other")</f>
        <v>Medium Stay</v>
      </c>
    </row>
    <row r="1484" spans="1:11" x14ac:dyDescent="0.3">
      <c r="A1484" t="s">
        <v>4481</v>
      </c>
      <c r="B1484" t="s">
        <v>2363</v>
      </c>
      <c r="C1484" t="s">
        <v>30</v>
      </c>
      <c r="D1484" t="s">
        <v>4482</v>
      </c>
      <c r="E1484" t="s">
        <v>40</v>
      </c>
      <c r="F1484" t="s">
        <v>4483</v>
      </c>
      <c r="G1484" t="s">
        <v>357</v>
      </c>
      <c r="H1484" t="s">
        <v>705</v>
      </c>
      <c r="I1484">
        <f t="shared" si="23"/>
        <v>2</v>
      </c>
      <c r="J1484" t="s">
        <v>121</v>
      </c>
      <c r="K1484" t="str" cm="1">
        <f t="array" ref="K1484">_xlfn.SWITCH(TRIM(UPPER(J1484)),
"BUSINESS", "Short Stay",
"CONFERENCE", "Medium Stay",
"VACATION", "Iong Stay",
"HOLIDAY", "Long Stay",
"V", "Leisure",
"UNKNOWN", "Unknown",
"Other")</f>
        <v>Iong Stay</v>
      </c>
    </row>
    <row r="1485" spans="1:11" x14ac:dyDescent="0.3">
      <c r="A1485" t="s">
        <v>4484</v>
      </c>
      <c r="B1485" t="s">
        <v>643</v>
      </c>
      <c r="C1485" t="s">
        <v>174</v>
      </c>
      <c r="D1485" t="s">
        <v>3177</v>
      </c>
      <c r="E1485" t="s">
        <v>176</v>
      </c>
      <c r="F1485" t="s">
        <v>4485</v>
      </c>
      <c r="G1485" t="s">
        <v>645</v>
      </c>
      <c r="H1485" t="s">
        <v>1471</v>
      </c>
      <c r="I1485">
        <f t="shared" si="23"/>
        <v>1</v>
      </c>
      <c r="J1485" t="s">
        <v>44</v>
      </c>
      <c r="K1485" t="str" cm="1">
        <f t="array" ref="K1485">_xlfn.SWITCH(TRIM(UPPER(J1485)),
"BUSINESS", "Short Stay",
"CONFERENCE", "Medium Stay",
"VACATION", "Iong Stay",
"HOLIDAY", "Long Stay",
"V", "Leisure",
"UNKNOWN", "Unknown",
"Other")</f>
        <v>Other</v>
      </c>
    </row>
    <row r="1486" spans="1:11" x14ac:dyDescent="0.3">
      <c r="A1486" t="s">
        <v>4486</v>
      </c>
      <c r="B1486" t="s">
        <v>103</v>
      </c>
      <c r="C1486" t="s">
        <v>97</v>
      </c>
      <c r="D1486" t="s">
        <v>236</v>
      </c>
      <c r="E1486" t="s">
        <v>14</v>
      </c>
      <c r="F1486" t="s">
        <v>4487</v>
      </c>
      <c r="G1486" t="s">
        <v>106</v>
      </c>
      <c r="H1486" t="s">
        <v>685</v>
      </c>
      <c r="I1486">
        <f t="shared" si="23"/>
        <v>5</v>
      </c>
      <c r="J1486" t="s">
        <v>44</v>
      </c>
      <c r="K1486" t="str" cm="1">
        <f t="array" ref="K1486">_xlfn.SWITCH(TRIM(UPPER(J1486)),
"BUSINESS", "Short Stay",
"CONFERENCE", "Medium Stay",
"VACATION", "Iong Stay",
"HOLIDAY", "Long Stay",
"V", "Leisure",
"UNKNOWN", "Unknown",
"Other")</f>
        <v>Other</v>
      </c>
    </row>
    <row r="1487" spans="1:11" x14ac:dyDescent="0.3">
      <c r="A1487" t="s">
        <v>4488</v>
      </c>
      <c r="B1487" t="s">
        <v>526</v>
      </c>
      <c r="C1487" t="s">
        <v>30</v>
      </c>
      <c r="D1487" t="s">
        <v>3709</v>
      </c>
      <c r="E1487" t="s">
        <v>458</v>
      </c>
      <c r="F1487" t="s">
        <v>4489</v>
      </c>
      <c r="G1487" t="s">
        <v>345</v>
      </c>
      <c r="H1487" t="s">
        <v>138</v>
      </c>
      <c r="I1487">
        <f t="shared" si="23"/>
        <v>5</v>
      </c>
      <c r="J1487" t="s">
        <v>18</v>
      </c>
      <c r="K1487" t="str" cm="1">
        <f t="array" ref="K1487">_xlfn.SWITCH(TRIM(UPPER(J1487)),
"BUSINESS", "Short Stay",
"CONFERENCE", "Medium Stay",
"VACATION", "Iong Stay",
"HOLIDAY", "Long Stay",
"V", "Leisure",
"UNKNOWN", "Unknown",
"Other")</f>
        <v>Short Stay</v>
      </c>
    </row>
    <row r="1488" spans="1:11" x14ac:dyDescent="0.3">
      <c r="A1488" t="s">
        <v>4490</v>
      </c>
      <c r="B1488" t="s">
        <v>809</v>
      </c>
      <c r="C1488" t="s">
        <v>61</v>
      </c>
      <c r="D1488" t="s">
        <v>2014</v>
      </c>
      <c r="E1488" t="s">
        <v>476</v>
      </c>
      <c r="F1488" t="s">
        <v>4491</v>
      </c>
      <c r="G1488" t="s">
        <v>812</v>
      </c>
      <c r="H1488" t="s">
        <v>813</v>
      </c>
      <c r="I1488">
        <f t="shared" si="23"/>
        <v>1</v>
      </c>
      <c r="J1488" t="s">
        <v>27</v>
      </c>
      <c r="K1488" t="str" cm="1">
        <f t="array" ref="K1488">_xlfn.SWITCH(TRIM(UPPER(J1488)),
"BUSINESS", "Short Stay",
"CONFERENCE", "Medium Stay",
"VACATION", "Iong Stay",
"HOLIDAY", "Long Stay",
"V", "Leisure",
"UNKNOWN", "Unknown",
"Other")</f>
        <v>Medium Stay</v>
      </c>
    </row>
    <row r="1489" spans="1:11" x14ac:dyDescent="0.3">
      <c r="A1489" t="s">
        <v>4492</v>
      </c>
      <c r="B1489" t="s">
        <v>11</v>
      </c>
      <c r="C1489" t="s">
        <v>97</v>
      </c>
      <c r="D1489" t="s">
        <v>2201</v>
      </c>
      <c r="E1489" t="s">
        <v>69</v>
      </c>
      <c r="F1489" t="s">
        <v>4493</v>
      </c>
      <c r="G1489" t="s">
        <v>16</v>
      </c>
      <c r="H1489" t="s">
        <v>1176</v>
      </c>
      <c r="I1489">
        <f t="shared" si="23"/>
        <v>5</v>
      </c>
      <c r="J1489" t="s">
        <v>44</v>
      </c>
      <c r="K1489" t="str" cm="1">
        <f t="array" ref="K1489">_xlfn.SWITCH(TRIM(UPPER(J1489)),
"BUSINESS", "Short Stay",
"CONFERENCE", "Medium Stay",
"VACATION", "Iong Stay",
"HOLIDAY", "Long Stay",
"V", "Leisure",
"UNKNOWN", "Unknown",
"Other")</f>
        <v>Other</v>
      </c>
    </row>
    <row r="1490" spans="1:11" x14ac:dyDescent="0.3">
      <c r="A1490" t="s">
        <v>4494</v>
      </c>
      <c r="B1490" t="s">
        <v>1984</v>
      </c>
      <c r="C1490" t="s">
        <v>97</v>
      </c>
      <c r="D1490" t="s">
        <v>1609</v>
      </c>
      <c r="E1490" t="s">
        <v>117</v>
      </c>
      <c r="F1490" t="s">
        <v>4495</v>
      </c>
      <c r="G1490" t="s">
        <v>443</v>
      </c>
      <c r="H1490" t="s">
        <v>731</v>
      </c>
      <c r="I1490">
        <f t="shared" si="23"/>
        <v>1</v>
      </c>
      <c r="J1490" t="s">
        <v>44</v>
      </c>
      <c r="K1490" t="str" cm="1">
        <f t="array" ref="K1490">_xlfn.SWITCH(TRIM(UPPER(J1490)),
"BUSINESS", "Short Stay",
"CONFERENCE", "Medium Stay",
"VACATION", "Iong Stay",
"HOLIDAY", "Long Stay",
"V", "Leisure",
"UNKNOWN", "Unknown",
"Other")</f>
        <v>Other</v>
      </c>
    </row>
    <row r="1491" spans="1:11" x14ac:dyDescent="0.3">
      <c r="A1491" t="s">
        <v>4496</v>
      </c>
      <c r="B1491" t="s">
        <v>1701</v>
      </c>
      <c r="C1491" t="s">
        <v>21</v>
      </c>
      <c r="D1491" t="s">
        <v>354</v>
      </c>
      <c r="E1491" t="s">
        <v>85</v>
      </c>
      <c r="F1491" t="s">
        <v>4497</v>
      </c>
      <c r="G1491" t="s">
        <v>1395</v>
      </c>
      <c r="H1491" t="s">
        <v>1226</v>
      </c>
      <c r="I1491">
        <f t="shared" si="23"/>
        <v>1</v>
      </c>
      <c r="J1491" t="s">
        <v>18</v>
      </c>
      <c r="K1491" t="str" cm="1">
        <f t="array" ref="K1491">_xlfn.SWITCH(TRIM(UPPER(J1491)),
"BUSINESS", "Short Stay",
"CONFERENCE", "Medium Stay",
"VACATION", "Iong Stay",
"HOLIDAY", "Long Stay",
"V", "Leisure",
"UNKNOWN", "Unknown",
"Other")</f>
        <v>Short Stay</v>
      </c>
    </row>
    <row r="1492" spans="1:11" x14ac:dyDescent="0.3">
      <c r="A1492" t="s">
        <v>4498</v>
      </c>
      <c r="B1492" t="s">
        <v>2437</v>
      </c>
      <c r="C1492" t="s">
        <v>30</v>
      </c>
      <c r="D1492" t="s">
        <v>4499</v>
      </c>
      <c r="E1492" t="s">
        <v>32</v>
      </c>
      <c r="F1492" t="s">
        <v>4500</v>
      </c>
      <c r="G1492" t="s">
        <v>2094</v>
      </c>
      <c r="H1492" t="s">
        <v>93</v>
      </c>
      <c r="I1492">
        <f t="shared" si="23"/>
        <v>4</v>
      </c>
      <c r="J1492" t="s">
        <v>121</v>
      </c>
      <c r="K1492" t="str" cm="1">
        <f t="array" ref="K1492">_xlfn.SWITCH(TRIM(UPPER(J1492)),
"BUSINESS", "Short Stay",
"CONFERENCE", "Medium Stay",
"VACATION", "Iong Stay",
"HOLIDAY", "Long Stay",
"V", "Leisure",
"UNKNOWN", "Unknown",
"Other")</f>
        <v>Iong Stay</v>
      </c>
    </row>
    <row r="1493" spans="1:11" x14ac:dyDescent="0.3">
      <c r="A1493" t="s">
        <v>4501</v>
      </c>
      <c r="B1493" t="s">
        <v>434</v>
      </c>
      <c r="C1493" t="s">
        <v>12</v>
      </c>
      <c r="D1493" t="s">
        <v>4502</v>
      </c>
      <c r="E1493" t="s">
        <v>546</v>
      </c>
      <c r="F1493" t="s">
        <v>4503</v>
      </c>
      <c r="G1493" t="s">
        <v>437</v>
      </c>
      <c r="H1493" t="s">
        <v>895</v>
      </c>
      <c r="I1493">
        <f t="shared" si="23"/>
        <v>4</v>
      </c>
      <c r="J1493" t="s">
        <v>44</v>
      </c>
      <c r="K1493" t="str" cm="1">
        <f t="array" ref="K1493">_xlfn.SWITCH(TRIM(UPPER(J1493)),
"BUSINESS", "Short Stay",
"CONFERENCE", "Medium Stay",
"VACATION", "Iong Stay",
"HOLIDAY", "Long Stay",
"V", "Leisure",
"UNKNOWN", "Unknown",
"Other")</f>
        <v>Other</v>
      </c>
    </row>
    <row r="1494" spans="1:11" x14ac:dyDescent="0.3">
      <c r="A1494" t="s">
        <v>4504</v>
      </c>
      <c r="B1494" t="s">
        <v>1212</v>
      </c>
      <c r="C1494" t="s">
        <v>30</v>
      </c>
      <c r="D1494" t="s">
        <v>4343</v>
      </c>
      <c r="E1494" t="s">
        <v>85</v>
      </c>
      <c r="F1494" t="s">
        <v>4505</v>
      </c>
      <c r="G1494" t="s">
        <v>1007</v>
      </c>
      <c r="H1494" t="s">
        <v>496</v>
      </c>
      <c r="I1494">
        <f t="shared" si="23"/>
        <v>5</v>
      </c>
      <c r="J1494" t="s">
        <v>121</v>
      </c>
      <c r="K1494" t="str" cm="1">
        <f t="array" ref="K1494">_xlfn.SWITCH(TRIM(UPPER(J1494)),
"BUSINESS", "Short Stay",
"CONFERENCE", "Medium Stay",
"VACATION", "Iong Stay",
"HOLIDAY", "Long Stay",
"V", "Leisure",
"UNKNOWN", "Unknown",
"Other")</f>
        <v>Iong Stay</v>
      </c>
    </row>
    <row r="1495" spans="1:11" x14ac:dyDescent="0.3">
      <c r="A1495" t="s">
        <v>4506</v>
      </c>
      <c r="B1495" t="s">
        <v>1368</v>
      </c>
      <c r="C1495" t="s">
        <v>61</v>
      </c>
      <c r="D1495" t="s">
        <v>4401</v>
      </c>
      <c r="E1495" t="s">
        <v>117</v>
      </c>
      <c r="F1495" t="s">
        <v>4507</v>
      </c>
      <c r="G1495" t="s">
        <v>941</v>
      </c>
      <c r="H1495" t="s">
        <v>191</v>
      </c>
      <c r="I1495">
        <f t="shared" si="23"/>
        <v>1</v>
      </c>
      <c r="J1495" t="s">
        <v>44</v>
      </c>
      <c r="K1495" t="str" cm="1">
        <f t="array" ref="K1495">_xlfn.SWITCH(TRIM(UPPER(J1495)),
"BUSINESS", "Short Stay",
"CONFERENCE", "Medium Stay",
"VACATION", "Iong Stay",
"HOLIDAY", "Long Stay",
"V", "Leisure",
"UNKNOWN", "Unknown",
"Other")</f>
        <v>Other</v>
      </c>
    </row>
    <row r="1496" spans="1:11" x14ac:dyDescent="0.3">
      <c r="A1496" t="s">
        <v>4508</v>
      </c>
      <c r="B1496" t="s">
        <v>241</v>
      </c>
      <c r="C1496" t="s">
        <v>61</v>
      </c>
      <c r="D1496" t="s">
        <v>230</v>
      </c>
      <c r="E1496" t="s">
        <v>14</v>
      </c>
      <c r="F1496" t="s">
        <v>4509</v>
      </c>
      <c r="G1496" t="s">
        <v>244</v>
      </c>
      <c r="H1496" t="s">
        <v>812</v>
      </c>
      <c r="I1496">
        <f t="shared" si="23"/>
        <v>4</v>
      </c>
      <c r="J1496" t="s">
        <v>121</v>
      </c>
      <c r="K1496" t="str" cm="1">
        <f t="array" ref="K1496">_xlfn.SWITCH(TRIM(UPPER(J1496)),
"BUSINESS", "Short Stay",
"CONFERENCE", "Medium Stay",
"VACATION", "Iong Stay",
"HOLIDAY", "Long Stay",
"V", "Leisure",
"UNKNOWN", "Unknown",
"Other")</f>
        <v>Iong Stay</v>
      </c>
    </row>
    <row r="1497" spans="1:11" x14ac:dyDescent="0.3">
      <c r="A1497" t="s">
        <v>4510</v>
      </c>
      <c r="B1497" t="s">
        <v>2555</v>
      </c>
      <c r="C1497" t="s">
        <v>83</v>
      </c>
      <c r="D1497" t="s">
        <v>366</v>
      </c>
      <c r="E1497" t="s">
        <v>430</v>
      </c>
      <c r="F1497" t="s">
        <v>4511</v>
      </c>
      <c r="G1497" t="s">
        <v>600</v>
      </c>
      <c r="H1497" t="s">
        <v>538</v>
      </c>
      <c r="I1497">
        <f t="shared" si="23"/>
        <v>1</v>
      </c>
      <c r="J1497" t="s">
        <v>121</v>
      </c>
      <c r="K1497" t="str" cm="1">
        <f t="array" ref="K1497">_xlfn.SWITCH(TRIM(UPPER(J1497)),
"BUSINESS", "Short Stay",
"CONFERENCE", "Medium Stay",
"VACATION", "Iong Stay",
"HOLIDAY", "Long Stay",
"V", "Leisure",
"UNKNOWN", "Unknown",
"Other")</f>
        <v>Iong Stay</v>
      </c>
    </row>
    <row r="1498" spans="1:11" x14ac:dyDescent="0.3">
      <c r="A1498" t="s">
        <v>4512</v>
      </c>
      <c r="B1498" t="s">
        <v>173</v>
      </c>
      <c r="C1498" t="s">
        <v>97</v>
      </c>
      <c r="D1498" t="s">
        <v>1041</v>
      </c>
      <c r="E1498" t="s">
        <v>85</v>
      </c>
      <c r="F1498" t="s">
        <v>4513</v>
      </c>
      <c r="G1498" t="s">
        <v>178</v>
      </c>
      <c r="H1498" t="s">
        <v>1105</v>
      </c>
      <c r="I1498">
        <f t="shared" si="23"/>
        <v>1</v>
      </c>
      <c r="J1498" t="s">
        <v>27</v>
      </c>
      <c r="K1498" t="str" cm="1">
        <f t="array" ref="K1498">_xlfn.SWITCH(TRIM(UPPER(J1498)),
"BUSINESS", "Short Stay",
"CONFERENCE", "Medium Stay",
"VACATION", "Iong Stay",
"HOLIDAY", "Long Stay",
"V", "Leisure",
"UNKNOWN", "Unknown",
"Other")</f>
        <v>Medium Stay</v>
      </c>
    </row>
    <row r="1499" spans="1:11" x14ac:dyDescent="0.3">
      <c r="A1499" t="s">
        <v>4514</v>
      </c>
      <c r="B1499" t="s">
        <v>746</v>
      </c>
      <c r="C1499" t="s">
        <v>75</v>
      </c>
      <c r="D1499" t="s">
        <v>4515</v>
      </c>
      <c r="E1499" t="s">
        <v>458</v>
      </c>
      <c r="F1499" t="s">
        <v>4516</v>
      </c>
      <c r="G1499" t="s">
        <v>749</v>
      </c>
      <c r="H1499" t="s">
        <v>1020</v>
      </c>
      <c r="I1499">
        <f t="shared" si="23"/>
        <v>5</v>
      </c>
      <c r="J1499" t="s">
        <v>44</v>
      </c>
      <c r="K1499" t="str" cm="1">
        <f t="array" ref="K1499">_xlfn.SWITCH(TRIM(UPPER(J1499)),
"BUSINESS", "Short Stay",
"CONFERENCE", "Medium Stay",
"VACATION", "Iong Stay",
"HOLIDAY", "Long Stay",
"V", "Leisure",
"UNKNOWN", "Unknown",
"Other")</f>
        <v>Other</v>
      </c>
    </row>
    <row r="1500" spans="1:11" x14ac:dyDescent="0.3">
      <c r="A1500" t="s">
        <v>4517</v>
      </c>
      <c r="B1500" t="s">
        <v>514</v>
      </c>
      <c r="C1500" t="s">
        <v>83</v>
      </c>
      <c r="D1500" t="s">
        <v>13</v>
      </c>
      <c r="E1500" t="s">
        <v>32</v>
      </c>
      <c r="F1500" t="s">
        <v>4518</v>
      </c>
      <c r="G1500" t="s">
        <v>517</v>
      </c>
      <c r="H1500" t="s">
        <v>518</v>
      </c>
      <c r="I1500">
        <f t="shared" si="23"/>
        <v>1</v>
      </c>
      <c r="J1500" t="s">
        <v>44</v>
      </c>
      <c r="K1500" t="str" cm="1">
        <f t="array" ref="K1500">_xlfn.SWITCH(TRIM(UPPER(J1500)),
"BUSINESS", "Short Stay",
"CONFERENCE", "Medium Stay",
"VACATION", "Iong Stay",
"HOLIDAY", "Long Stay",
"V", "Leisure",
"UNKNOWN", "Unknown",
"Other")</f>
        <v>Other</v>
      </c>
    </row>
    <row r="1501" spans="1:11" x14ac:dyDescent="0.3">
      <c r="A1501" t="s">
        <v>4519</v>
      </c>
      <c r="B1501" t="s">
        <v>3535</v>
      </c>
      <c r="C1501" t="s">
        <v>30</v>
      </c>
      <c r="D1501" t="s">
        <v>1014</v>
      </c>
      <c r="E1501" t="s">
        <v>117</v>
      </c>
      <c r="F1501" t="s">
        <v>4520</v>
      </c>
      <c r="G1501" t="s">
        <v>51</v>
      </c>
      <c r="H1501" t="s">
        <v>2078</v>
      </c>
      <c r="I1501">
        <f t="shared" si="23"/>
        <v>1</v>
      </c>
      <c r="J1501" t="s">
        <v>44</v>
      </c>
      <c r="K1501" t="str" cm="1">
        <f t="array" ref="K1501">_xlfn.SWITCH(TRIM(UPPER(J1501)),
"BUSINESS", "Short Stay",
"CONFERENCE", "Medium Stay",
"VACATION", "Iong Stay",
"HOLIDAY", "Long Stay",
"V", "Leisure",
"UNKNOWN", "Unknown",
"Other")</f>
        <v>Other</v>
      </c>
    </row>
    <row r="1502" spans="1:11" x14ac:dyDescent="0.3">
      <c r="A1502" t="s">
        <v>4521</v>
      </c>
      <c r="B1502" t="s">
        <v>874</v>
      </c>
      <c r="C1502" t="s">
        <v>83</v>
      </c>
      <c r="D1502" t="s">
        <v>1563</v>
      </c>
      <c r="E1502" t="s">
        <v>40</v>
      </c>
      <c r="F1502" t="s">
        <v>4522</v>
      </c>
      <c r="G1502" t="s">
        <v>378</v>
      </c>
      <c r="H1502" t="s">
        <v>356</v>
      </c>
      <c r="I1502">
        <f t="shared" si="23"/>
        <v>3</v>
      </c>
      <c r="J1502" t="s">
        <v>44</v>
      </c>
      <c r="K1502" t="str" cm="1">
        <f t="array" ref="K1502">_xlfn.SWITCH(TRIM(UPPER(J1502)),
"BUSINESS", "Short Stay",
"CONFERENCE", "Medium Stay",
"VACATION", "Iong Stay",
"HOLIDAY", "Long Stay",
"V", "Leisure",
"UNKNOWN", "Unknown",
"Other")</f>
        <v>Other</v>
      </c>
    </row>
    <row r="1503" spans="1:11" x14ac:dyDescent="0.3">
      <c r="A1503" t="s">
        <v>4523</v>
      </c>
      <c r="B1503" t="s">
        <v>712</v>
      </c>
      <c r="C1503" t="s">
        <v>174</v>
      </c>
      <c r="D1503" t="s">
        <v>1426</v>
      </c>
      <c r="E1503" t="s">
        <v>32</v>
      </c>
      <c r="F1503" t="s">
        <v>4524</v>
      </c>
      <c r="G1503" t="s">
        <v>715</v>
      </c>
      <c r="H1503" t="s">
        <v>363</v>
      </c>
      <c r="I1503">
        <f t="shared" si="23"/>
        <v>3</v>
      </c>
      <c r="J1503" t="s">
        <v>18</v>
      </c>
      <c r="K1503" t="str" cm="1">
        <f t="array" ref="K1503">_xlfn.SWITCH(TRIM(UPPER(J1503)),
"BUSINESS", "Short Stay",
"CONFERENCE", "Medium Stay",
"VACATION", "Iong Stay",
"HOLIDAY", "Long Stay",
"V", "Leisure",
"UNKNOWN", "Unknown",
"Other")</f>
        <v>Short Stay</v>
      </c>
    </row>
    <row r="1504" spans="1:11" x14ac:dyDescent="0.3">
      <c r="A1504" t="s">
        <v>4525</v>
      </c>
      <c r="B1504" t="s">
        <v>823</v>
      </c>
      <c r="C1504" t="s">
        <v>54</v>
      </c>
      <c r="D1504" t="s">
        <v>2966</v>
      </c>
      <c r="E1504" t="s">
        <v>314</v>
      </c>
      <c r="F1504" t="s">
        <v>4526</v>
      </c>
      <c r="G1504" t="s">
        <v>826</v>
      </c>
      <c r="H1504" t="s">
        <v>1073</v>
      </c>
      <c r="I1504">
        <f t="shared" si="23"/>
        <v>2</v>
      </c>
      <c r="J1504" t="s">
        <v>44</v>
      </c>
      <c r="K1504" t="str" cm="1">
        <f t="array" ref="K1504">_xlfn.SWITCH(TRIM(UPPER(J1504)),
"BUSINESS", "Short Stay",
"CONFERENCE", "Medium Stay",
"VACATION", "Iong Stay",
"HOLIDAY", "Long Stay",
"V", "Leisure",
"UNKNOWN", "Unknown",
"Other")</f>
        <v>Other</v>
      </c>
    </row>
    <row r="1505" spans="1:11" x14ac:dyDescent="0.3">
      <c r="A1505" t="s">
        <v>4527</v>
      </c>
      <c r="B1505" t="s">
        <v>1071</v>
      </c>
      <c r="C1505" t="s">
        <v>54</v>
      </c>
      <c r="D1505" t="s">
        <v>3895</v>
      </c>
      <c r="E1505" t="s">
        <v>156</v>
      </c>
      <c r="F1505" t="s">
        <v>4528</v>
      </c>
      <c r="G1505" t="s">
        <v>1073</v>
      </c>
      <c r="H1505" t="s">
        <v>26</v>
      </c>
      <c r="I1505">
        <f t="shared" si="23"/>
        <v>5</v>
      </c>
      <c r="J1505" t="s">
        <v>27</v>
      </c>
      <c r="K1505" t="str" cm="1">
        <f t="array" ref="K1505">_xlfn.SWITCH(TRIM(UPPER(J1505)),
"BUSINESS", "Short Stay",
"CONFERENCE", "Medium Stay",
"VACATION", "Iong Stay",
"HOLIDAY", "Long Stay",
"V", "Leisure",
"UNKNOWN", "Unknown",
"Other")</f>
        <v>Medium Stay</v>
      </c>
    </row>
    <row r="1506" spans="1:11" x14ac:dyDescent="0.3">
      <c r="A1506" t="s">
        <v>4529</v>
      </c>
      <c r="B1506" t="s">
        <v>2190</v>
      </c>
      <c r="C1506" t="s">
        <v>54</v>
      </c>
      <c r="D1506" t="s">
        <v>1469</v>
      </c>
      <c r="E1506" t="s">
        <v>48</v>
      </c>
      <c r="F1506" t="s">
        <v>4530</v>
      </c>
      <c r="G1506" t="s">
        <v>1471</v>
      </c>
      <c r="H1506" t="s">
        <v>725</v>
      </c>
      <c r="I1506">
        <f t="shared" si="23"/>
        <v>5</v>
      </c>
      <c r="J1506" t="s">
        <v>18</v>
      </c>
      <c r="K1506" t="str" cm="1">
        <f t="array" ref="K1506">_xlfn.SWITCH(TRIM(UPPER(J1506)),
"BUSINESS", "Short Stay",
"CONFERENCE", "Medium Stay",
"VACATION", "Iong Stay",
"HOLIDAY", "Long Stay",
"V", "Leisure",
"UNKNOWN", "Unknown",
"Other")</f>
        <v>Short Stay</v>
      </c>
    </row>
    <row r="1507" spans="1:11" x14ac:dyDescent="0.3">
      <c r="A1507" t="s">
        <v>4531</v>
      </c>
      <c r="B1507" t="s">
        <v>2531</v>
      </c>
      <c r="C1507" t="s">
        <v>38</v>
      </c>
      <c r="D1507" t="s">
        <v>656</v>
      </c>
      <c r="E1507" t="s">
        <v>85</v>
      </c>
      <c r="F1507" t="s">
        <v>4532</v>
      </c>
      <c r="G1507" t="s">
        <v>1986</v>
      </c>
      <c r="H1507" t="s">
        <v>844</v>
      </c>
      <c r="I1507">
        <f t="shared" si="23"/>
        <v>2</v>
      </c>
      <c r="J1507" t="s">
        <v>121</v>
      </c>
      <c r="K1507" t="str" cm="1">
        <f t="array" ref="K1507">_xlfn.SWITCH(TRIM(UPPER(J1507)),
"BUSINESS", "Short Stay",
"CONFERENCE", "Medium Stay",
"VACATION", "Iong Stay",
"HOLIDAY", "Long Stay",
"V", "Leisure",
"UNKNOWN", "Unknown",
"Other")</f>
        <v>Iong Stay</v>
      </c>
    </row>
    <row r="1508" spans="1:11" x14ac:dyDescent="0.3">
      <c r="A1508" t="s">
        <v>4533</v>
      </c>
      <c r="B1508" t="s">
        <v>565</v>
      </c>
      <c r="C1508" t="s">
        <v>174</v>
      </c>
      <c r="D1508" t="s">
        <v>3567</v>
      </c>
      <c r="E1508" t="s">
        <v>201</v>
      </c>
      <c r="F1508" t="s">
        <v>4534</v>
      </c>
      <c r="G1508" t="s">
        <v>568</v>
      </c>
      <c r="H1508" t="s">
        <v>554</v>
      </c>
      <c r="I1508">
        <f t="shared" si="23"/>
        <v>4</v>
      </c>
      <c r="J1508" t="s">
        <v>27</v>
      </c>
      <c r="K1508" t="str" cm="1">
        <f t="array" ref="K1508">_xlfn.SWITCH(TRIM(UPPER(J1508)),
"BUSINESS", "Short Stay",
"CONFERENCE", "Medium Stay",
"VACATION", "Iong Stay",
"HOLIDAY", "Long Stay",
"V", "Leisure",
"UNKNOWN", "Unknown",
"Other")</f>
        <v>Medium Stay</v>
      </c>
    </row>
    <row r="1509" spans="1:11" x14ac:dyDescent="0.3">
      <c r="A1509" t="s">
        <v>4535</v>
      </c>
      <c r="B1509" t="s">
        <v>590</v>
      </c>
      <c r="C1509" t="s">
        <v>83</v>
      </c>
      <c r="D1509" t="s">
        <v>2380</v>
      </c>
      <c r="E1509" t="s">
        <v>69</v>
      </c>
      <c r="F1509" t="s">
        <v>4536</v>
      </c>
      <c r="G1509" t="s">
        <v>593</v>
      </c>
      <c r="H1509" t="s">
        <v>1712</v>
      </c>
      <c r="I1509">
        <f t="shared" si="23"/>
        <v>2</v>
      </c>
      <c r="J1509" t="s">
        <v>44</v>
      </c>
      <c r="K1509" t="str" cm="1">
        <f t="array" ref="K1509">_xlfn.SWITCH(TRIM(UPPER(J1509)),
"BUSINESS", "Short Stay",
"CONFERENCE", "Medium Stay",
"VACATION", "Iong Stay",
"HOLIDAY", "Long Stay",
"V", "Leisure",
"UNKNOWN", "Unknown",
"Other")</f>
        <v>Other</v>
      </c>
    </row>
    <row r="1510" spans="1:11" x14ac:dyDescent="0.3">
      <c r="A1510" t="s">
        <v>4537</v>
      </c>
      <c r="B1510" t="s">
        <v>712</v>
      </c>
      <c r="C1510" t="s">
        <v>54</v>
      </c>
      <c r="D1510" t="s">
        <v>2014</v>
      </c>
      <c r="E1510" t="s">
        <v>430</v>
      </c>
      <c r="F1510" t="s">
        <v>4538</v>
      </c>
      <c r="G1510" t="s">
        <v>715</v>
      </c>
      <c r="H1510" t="s">
        <v>363</v>
      </c>
      <c r="I1510">
        <f t="shared" si="23"/>
        <v>3</v>
      </c>
      <c r="J1510" t="s">
        <v>27</v>
      </c>
      <c r="K1510" t="str" cm="1">
        <f t="array" ref="K1510">_xlfn.SWITCH(TRIM(UPPER(J1510)),
"BUSINESS", "Short Stay",
"CONFERENCE", "Medium Stay",
"VACATION", "Iong Stay",
"HOLIDAY", "Long Stay",
"V", "Leisure",
"UNKNOWN", "Unknown",
"Other")</f>
        <v>Medium Stay</v>
      </c>
    </row>
    <row r="1511" spans="1:11" x14ac:dyDescent="0.3">
      <c r="A1511" t="s">
        <v>4539</v>
      </c>
      <c r="B1511" t="s">
        <v>809</v>
      </c>
      <c r="C1511" t="s">
        <v>97</v>
      </c>
      <c r="D1511" t="s">
        <v>471</v>
      </c>
      <c r="E1511" t="s">
        <v>156</v>
      </c>
      <c r="F1511" t="s">
        <v>2727</v>
      </c>
      <c r="G1511" t="s">
        <v>812</v>
      </c>
      <c r="H1511" t="s">
        <v>1316</v>
      </c>
      <c r="I1511">
        <f t="shared" si="23"/>
        <v>4</v>
      </c>
      <c r="J1511" t="s">
        <v>18</v>
      </c>
      <c r="K1511" t="str" cm="1">
        <f t="array" ref="K1511">_xlfn.SWITCH(TRIM(UPPER(J1511)),
"BUSINESS", "Short Stay",
"CONFERENCE", "Medium Stay",
"VACATION", "Iong Stay",
"HOLIDAY", "Long Stay",
"V", "Leisure",
"UNKNOWN", "Unknown",
"Other")</f>
        <v>Short Stay</v>
      </c>
    </row>
    <row r="1512" spans="1:11" x14ac:dyDescent="0.3">
      <c r="A1512" t="s">
        <v>4540</v>
      </c>
      <c r="B1512" t="s">
        <v>541</v>
      </c>
      <c r="C1512" t="s">
        <v>54</v>
      </c>
      <c r="D1512" t="s">
        <v>4541</v>
      </c>
      <c r="E1512" t="s">
        <v>149</v>
      </c>
      <c r="F1512" t="s">
        <v>4542</v>
      </c>
      <c r="G1512" t="s">
        <v>17</v>
      </c>
      <c r="H1512" t="s">
        <v>106</v>
      </c>
      <c r="I1512">
        <f t="shared" si="23"/>
        <v>4</v>
      </c>
      <c r="J1512" t="s">
        <v>121</v>
      </c>
      <c r="K1512" t="str" cm="1">
        <f t="array" ref="K1512">_xlfn.SWITCH(TRIM(UPPER(J1512)),
"BUSINESS", "Short Stay",
"CONFERENCE", "Medium Stay",
"VACATION", "Iong Stay",
"HOLIDAY", "Long Stay",
"V", "Leisure",
"UNKNOWN", "Unknown",
"Other")</f>
        <v>Iong Stay</v>
      </c>
    </row>
    <row r="1513" spans="1:11" x14ac:dyDescent="0.3">
      <c r="A1513" t="s">
        <v>4543</v>
      </c>
      <c r="B1513" t="s">
        <v>1502</v>
      </c>
      <c r="C1513" t="s">
        <v>30</v>
      </c>
      <c r="D1513" t="s">
        <v>883</v>
      </c>
      <c r="E1513" t="s">
        <v>156</v>
      </c>
      <c r="F1513" t="s">
        <v>4544</v>
      </c>
      <c r="G1513" t="s">
        <v>1505</v>
      </c>
      <c r="H1513" t="s">
        <v>1763</v>
      </c>
      <c r="I1513">
        <f t="shared" si="23"/>
        <v>2</v>
      </c>
      <c r="J1513" t="s">
        <v>44</v>
      </c>
      <c r="K1513" t="str" cm="1">
        <f t="array" ref="K1513">_xlfn.SWITCH(TRIM(UPPER(J1513)),
"BUSINESS", "Short Stay",
"CONFERENCE", "Medium Stay",
"VACATION", "Iong Stay",
"HOLIDAY", "Long Stay",
"V", "Leisure",
"UNKNOWN", "Unknown",
"Other")</f>
        <v>Other</v>
      </c>
    </row>
    <row r="1514" spans="1:11" x14ac:dyDescent="0.3">
      <c r="A1514" t="s">
        <v>4545</v>
      </c>
      <c r="B1514" t="s">
        <v>1527</v>
      </c>
      <c r="C1514" t="s">
        <v>21</v>
      </c>
      <c r="D1514" t="s">
        <v>2014</v>
      </c>
      <c r="E1514" t="s">
        <v>176</v>
      </c>
      <c r="F1514" t="s">
        <v>4546</v>
      </c>
      <c r="G1514" t="s">
        <v>781</v>
      </c>
      <c r="H1514" t="s">
        <v>184</v>
      </c>
      <c r="I1514">
        <f t="shared" si="23"/>
        <v>5</v>
      </c>
      <c r="J1514" t="s">
        <v>121</v>
      </c>
      <c r="K1514" t="str" cm="1">
        <f t="array" ref="K1514">_xlfn.SWITCH(TRIM(UPPER(J1514)),
"BUSINESS", "Short Stay",
"CONFERENCE", "Medium Stay",
"VACATION", "Iong Stay",
"HOLIDAY", "Long Stay",
"V", "Leisure",
"UNKNOWN", "Unknown",
"Other")</f>
        <v>Iong Stay</v>
      </c>
    </row>
    <row r="1515" spans="1:11" x14ac:dyDescent="0.3">
      <c r="A1515" t="s">
        <v>4547</v>
      </c>
      <c r="B1515" t="s">
        <v>3654</v>
      </c>
      <c r="C1515" t="s">
        <v>83</v>
      </c>
      <c r="D1515" t="s">
        <v>2632</v>
      </c>
      <c r="E1515" t="s">
        <v>476</v>
      </c>
      <c r="F1515" t="s">
        <v>4548</v>
      </c>
      <c r="G1515" t="s">
        <v>1100</v>
      </c>
      <c r="H1515" t="s">
        <v>645</v>
      </c>
      <c r="I1515">
        <f t="shared" si="23"/>
        <v>1</v>
      </c>
      <c r="J1515" t="s">
        <v>27</v>
      </c>
      <c r="K1515" t="str" cm="1">
        <f t="array" ref="K1515">_xlfn.SWITCH(TRIM(UPPER(J1515)),
"BUSINESS", "Short Stay",
"CONFERENCE", "Medium Stay",
"VACATION", "Iong Stay",
"HOLIDAY", "Long Stay",
"V", "Leisure",
"UNKNOWN", "Unknown",
"Other")</f>
        <v>Medium Stay</v>
      </c>
    </row>
    <row r="1516" spans="1:11" x14ac:dyDescent="0.3">
      <c r="A1516" t="s">
        <v>4549</v>
      </c>
      <c r="B1516" t="s">
        <v>561</v>
      </c>
      <c r="C1516" t="s">
        <v>75</v>
      </c>
      <c r="D1516" t="s">
        <v>1103</v>
      </c>
      <c r="E1516" t="s">
        <v>149</v>
      </c>
      <c r="F1516" t="s">
        <v>4550</v>
      </c>
      <c r="G1516" t="s">
        <v>563</v>
      </c>
      <c r="H1516" t="s">
        <v>80</v>
      </c>
      <c r="I1516">
        <f t="shared" si="23"/>
        <v>1</v>
      </c>
      <c r="J1516" t="s">
        <v>121</v>
      </c>
      <c r="K1516" t="str" cm="1">
        <f t="array" ref="K1516">_xlfn.SWITCH(TRIM(UPPER(J1516)),
"BUSINESS", "Short Stay",
"CONFERENCE", "Medium Stay",
"VACATION", "Iong Stay",
"HOLIDAY", "Long Stay",
"V", "Leisure",
"UNKNOWN", "Unknown",
"Other")</f>
        <v>Iong Stay</v>
      </c>
    </row>
    <row r="1517" spans="1:11" x14ac:dyDescent="0.3">
      <c r="A1517" t="s">
        <v>4551</v>
      </c>
      <c r="B1517" t="s">
        <v>1678</v>
      </c>
      <c r="C1517" t="s">
        <v>83</v>
      </c>
      <c r="D1517" t="s">
        <v>2400</v>
      </c>
      <c r="E1517" t="s">
        <v>85</v>
      </c>
      <c r="F1517" t="s">
        <v>4552</v>
      </c>
      <c r="G1517" t="s">
        <v>1681</v>
      </c>
      <c r="H1517" t="s">
        <v>216</v>
      </c>
      <c r="I1517">
        <f t="shared" si="23"/>
        <v>4</v>
      </c>
      <c r="J1517" t="s">
        <v>27</v>
      </c>
      <c r="K1517" t="str" cm="1">
        <f t="array" ref="K1517">_xlfn.SWITCH(TRIM(UPPER(J1517)),
"BUSINESS", "Short Stay",
"CONFERENCE", "Medium Stay",
"VACATION", "Iong Stay",
"HOLIDAY", "Long Stay",
"V", "Leisure",
"UNKNOWN", "Unknown",
"Other")</f>
        <v>Medium Stay</v>
      </c>
    </row>
    <row r="1518" spans="1:11" x14ac:dyDescent="0.3">
      <c r="A1518" t="s">
        <v>4553</v>
      </c>
      <c r="B1518" t="s">
        <v>2875</v>
      </c>
      <c r="C1518" t="s">
        <v>38</v>
      </c>
      <c r="D1518" t="s">
        <v>2784</v>
      </c>
      <c r="E1518" t="s">
        <v>117</v>
      </c>
      <c r="F1518" t="s">
        <v>4554</v>
      </c>
      <c r="G1518" t="s">
        <v>731</v>
      </c>
      <c r="H1518" t="s">
        <v>398</v>
      </c>
      <c r="I1518">
        <f t="shared" si="23"/>
        <v>2</v>
      </c>
      <c r="J1518" t="s">
        <v>27</v>
      </c>
      <c r="K1518" t="str" cm="1">
        <f t="array" ref="K1518">_xlfn.SWITCH(TRIM(UPPER(J1518)),
"BUSINESS", "Short Stay",
"CONFERENCE", "Medium Stay",
"VACATION", "Iong Stay",
"HOLIDAY", "Long Stay",
"V", "Leisure",
"UNKNOWN", "Unknown",
"Other")</f>
        <v>Medium Stay</v>
      </c>
    </row>
    <row r="1519" spans="1:11" x14ac:dyDescent="0.3">
      <c r="A1519" t="s">
        <v>4555</v>
      </c>
      <c r="B1519" t="s">
        <v>660</v>
      </c>
      <c r="C1519" t="s">
        <v>38</v>
      </c>
      <c r="D1519" t="s">
        <v>207</v>
      </c>
      <c r="E1519" t="s">
        <v>546</v>
      </c>
      <c r="F1519" t="s">
        <v>4556</v>
      </c>
      <c r="G1519" t="s">
        <v>663</v>
      </c>
      <c r="H1519" t="s">
        <v>369</v>
      </c>
      <c r="I1519">
        <f t="shared" si="23"/>
        <v>5</v>
      </c>
      <c r="J1519" t="s">
        <v>27</v>
      </c>
      <c r="K1519" t="str" cm="1">
        <f t="array" ref="K1519">_xlfn.SWITCH(TRIM(UPPER(J1519)),
"BUSINESS", "Short Stay",
"CONFERENCE", "Medium Stay",
"VACATION", "Iong Stay",
"HOLIDAY", "Long Stay",
"V", "Leisure",
"UNKNOWN", "Unknown",
"Other")</f>
        <v>Medium Stay</v>
      </c>
    </row>
    <row r="1520" spans="1:11" x14ac:dyDescent="0.3">
      <c r="A1520" t="s">
        <v>4557</v>
      </c>
      <c r="B1520" t="s">
        <v>1817</v>
      </c>
      <c r="C1520" t="s">
        <v>97</v>
      </c>
      <c r="D1520" t="s">
        <v>4558</v>
      </c>
      <c r="E1520" t="s">
        <v>156</v>
      </c>
      <c r="F1520" t="s">
        <v>1599</v>
      </c>
      <c r="G1520" t="s">
        <v>984</v>
      </c>
      <c r="H1520" t="s">
        <v>780</v>
      </c>
      <c r="I1520">
        <f t="shared" si="23"/>
        <v>2</v>
      </c>
      <c r="J1520" t="s">
        <v>18</v>
      </c>
      <c r="K1520" t="str" cm="1">
        <f t="array" ref="K1520">_xlfn.SWITCH(TRIM(UPPER(J1520)),
"BUSINESS", "Short Stay",
"CONFERENCE", "Medium Stay",
"VACATION", "Iong Stay",
"HOLIDAY", "Long Stay",
"V", "Leisure",
"UNKNOWN", "Unknown",
"Other")</f>
        <v>Short Stay</v>
      </c>
    </row>
    <row r="1521" spans="1:11" x14ac:dyDescent="0.3">
      <c r="A1521" t="s">
        <v>4559</v>
      </c>
      <c r="B1521" t="s">
        <v>2531</v>
      </c>
      <c r="C1521" t="s">
        <v>174</v>
      </c>
      <c r="D1521" t="s">
        <v>1143</v>
      </c>
      <c r="E1521" t="s">
        <v>314</v>
      </c>
      <c r="F1521" t="s">
        <v>4560</v>
      </c>
      <c r="G1521" t="s">
        <v>1986</v>
      </c>
      <c r="H1521" t="s">
        <v>604</v>
      </c>
      <c r="I1521">
        <f t="shared" si="23"/>
        <v>4</v>
      </c>
      <c r="J1521" t="s">
        <v>44</v>
      </c>
      <c r="K1521" t="str" cm="1">
        <f t="array" ref="K1521">_xlfn.SWITCH(TRIM(UPPER(J1521)),
"BUSINESS", "Short Stay",
"CONFERENCE", "Medium Stay",
"VACATION", "Iong Stay",
"HOLIDAY", "Long Stay",
"V", "Leisure",
"UNKNOWN", "Unknown",
"Other")</f>
        <v>Other</v>
      </c>
    </row>
    <row r="1522" spans="1:11" x14ac:dyDescent="0.3">
      <c r="A1522" t="s">
        <v>4561</v>
      </c>
      <c r="B1522" t="s">
        <v>1790</v>
      </c>
      <c r="C1522" t="s">
        <v>54</v>
      </c>
      <c r="D1522" t="s">
        <v>3471</v>
      </c>
      <c r="E1522" t="s">
        <v>40</v>
      </c>
      <c r="F1522" t="s">
        <v>4562</v>
      </c>
      <c r="G1522" t="s">
        <v>1793</v>
      </c>
      <c r="H1522" t="s">
        <v>185</v>
      </c>
      <c r="I1522">
        <f t="shared" si="23"/>
        <v>2</v>
      </c>
      <c r="J1522" t="s">
        <v>121</v>
      </c>
      <c r="K1522" t="str" cm="1">
        <f t="array" ref="K1522">_xlfn.SWITCH(TRIM(UPPER(J1522)),
"BUSINESS", "Short Stay",
"CONFERENCE", "Medium Stay",
"VACATION", "Iong Stay",
"HOLIDAY", "Long Stay",
"V", "Leisure",
"UNKNOWN", "Unknown",
"Other")</f>
        <v>Iong Stay</v>
      </c>
    </row>
    <row r="1523" spans="1:11" x14ac:dyDescent="0.3">
      <c r="A1523" t="s">
        <v>4563</v>
      </c>
      <c r="B1523" t="s">
        <v>835</v>
      </c>
      <c r="C1523" t="s">
        <v>21</v>
      </c>
      <c r="D1523" t="s">
        <v>1683</v>
      </c>
      <c r="E1523" t="s">
        <v>149</v>
      </c>
      <c r="F1523" t="s">
        <v>4564</v>
      </c>
      <c r="G1523" t="s">
        <v>838</v>
      </c>
      <c r="H1523" t="s">
        <v>378</v>
      </c>
      <c r="I1523">
        <f t="shared" si="23"/>
        <v>5</v>
      </c>
      <c r="J1523" t="s">
        <v>44</v>
      </c>
      <c r="K1523" t="str" cm="1">
        <f t="array" ref="K1523">_xlfn.SWITCH(TRIM(UPPER(J1523)),
"BUSINESS", "Short Stay",
"CONFERENCE", "Medium Stay",
"VACATION", "Iong Stay",
"HOLIDAY", "Long Stay",
"V", "Leisure",
"UNKNOWN", "Unknown",
"Other")</f>
        <v>Other</v>
      </c>
    </row>
    <row r="1524" spans="1:11" x14ac:dyDescent="0.3">
      <c r="A1524" t="s">
        <v>4565</v>
      </c>
      <c r="B1524" t="s">
        <v>1093</v>
      </c>
      <c r="C1524" t="s">
        <v>61</v>
      </c>
      <c r="D1524" t="s">
        <v>3874</v>
      </c>
      <c r="E1524" t="s">
        <v>117</v>
      </c>
      <c r="F1524" t="s">
        <v>4566</v>
      </c>
      <c r="G1524" t="s">
        <v>1096</v>
      </c>
      <c r="H1524" t="s">
        <v>1256</v>
      </c>
      <c r="I1524">
        <f t="shared" si="23"/>
        <v>4</v>
      </c>
      <c r="J1524" t="s">
        <v>121</v>
      </c>
      <c r="K1524" t="str" cm="1">
        <f t="array" ref="K1524">_xlfn.SWITCH(TRIM(UPPER(J1524)),
"BUSINESS", "Short Stay",
"CONFERENCE", "Medium Stay",
"VACATION", "Iong Stay",
"HOLIDAY", "Long Stay",
"V", "Leisure",
"UNKNOWN", "Unknown",
"Other")</f>
        <v>Iong Stay</v>
      </c>
    </row>
    <row r="1525" spans="1:11" x14ac:dyDescent="0.3">
      <c r="A1525" t="s">
        <v>4567</v>
      </c>
      <c r="B1525" t="s">
        <v>2328</v>
      </c>
      <c r="C1525" t="s">
        <v>83</v>
      </c>
      <c r="D1525" t="s">
        <v>703</v>
      </c>
      <c r="E1525" t="s">
        <v>23</v>
      </c>
      <c r="F1525" t="s">
        <v>4568</v>
      </c>
      <c r="G1525" t="s">
        <v>533</v>
      </c>
      <c r="H1525" t="s">
        <v>524</v>
      </c>
      <c r="I1525">
        <f t="shared" si="23"/>
        <v>4</v>
      </c>
      <c r="J1525" t="s">
        <v>44</v>
      </c>
      <c r="K1525" t="str" cm="1">
        <f t="array" ref="K1525">_xlfn.SWITCH(TRIM(UPPER(J1525)),
"BUSINESS", "Short Stay",
"CONFERENCE", "Medium Stay",
"VACATION", "Iong Stay",
"HOLIDAY", "Long Stay",
"V", "Leisure",
"UNKNOWN", "Unknown",
"Other")</f>
        <v>Other</v>
      </c>
    </row>
    <row r="1526" spans="1:11" x14ac:dyDescent="0.3">
      <c r="A1526" t="s">
        <v>4569</v>
      </c>
      <c r="B1526" t="s">
        <v>652</v>
      </c>
      <c r="C1526" t="s">
        <v>83</v>
      </c>
      <c r="D1526" t="s">
        <v>4570</v>
      </c>
      <c r="E1526" t="s">
        <v>48</v>
      </c>
      <c r="F1526" t="s">
        <v>4571</v>
      </c>
      <c r="G1526" t="s">
        <v>127</v>
      </c>
      <c r="H1526" t="s">
        <v>210</v>
      </c>
      <c r="I1526">
        <f t="shared" si="23"/>
        <v>4</v>
      </c>
      <c r="J1526" t="s">
        <v>18</v>
      </c>
      <c r="K1526" t="str" cm="1">
        <f t="array" ref="K1526">_xlfn.SWITCH(TRIM(UPPER(J1526)),
"BUSINESS", "Short Stay",
"CONFERENCE", "Medium Stay",
"VACATION", "Iong Stay",
"HOLIDAY", "Long Stay",
"V", "Leisure",
"UNKNOWN", "Unknown",
"Other")</f>
        <v>Short Stay</v>
      </c>
    </row>
    <row r="1527" spans="1:11" x14ac:dyDescent="0.3">
      <c r="A1527" t="s">
        <v>4572</v>
      </c>
      <c r="B1527" t="s">
        <v>2356</v>
      </c>
      <c r="C1527" t="s">
        <v>97</v>
      </c>
      <c r="D1527" t="s">
        <v>4573</v>
      </c>
      <c r="E1527" t="s">
        <v>48</v>
      </c>
      <c r="F1527" t="s">
        <v>4574</v>
      </c>
      <c r="G1527" t="s">
        <v>856</v>
      </c>
      <c r="H1527" t="s">
        <v>3220</v>
      </c>
      <c r="I1527">
        <f t="shared" si="23"/>
        <v>5</v>
      </c>
      <c r="J1527" t="s">
        <v>121</v>
      </c>
      <c r="K1527" t="str" cm="1">
        <f t="array" ref="K1527">_xlfn.SWITCH(TRIM(UPPER(J1527)),
"BUSINESS", "Short Stay",
"CONFERENCE", "Medium Stay",
"VACATION", "Iong Stay",
"HOLIDAY", "Long Stay",
"V", "Leisure",
"UNKNOWN", "Unknown",
"Other")</f>
        <v>Iong Stay</v>
      </c>
    </row>
    <row r="1528" spans="1:11" x14ac:dyDescent="0.3">
      <c r="A1528" t="s">
        <v>4575</v>
      </c>
      <c r="B1528" t="s">
        <v>1667</v>
      </c>
      <c r="C1528" t="s">
        <v>75</v>
      </c>
      <c r="D1528" t="s">
        <v>2922</v>
      </c>
      <c r="E1528" t="s">
        <v>117</v>
      </c>
      <c r="F1528" t="s">
        <v>4576</v>
      </c>
      <c r="G1528" t="s">
        <v>1670</v>
      </c>
      <c r="H1528" t="s">
        <v>43</v>
      </c>
      <c r="I1528">
        <f t="shared" si="23"/>
        <v>1</v>
      </c>
      <c r="J1528" t="s">
        <v>27</v>
      </c>
      <c r="K1528" t="str" cm="1">
        <f t="array" ref="K1528">_xlfn.SWITCH(TRIM(UPPER(J1528)),
"BUSINESS", "Short Stay",
"CONFERENCE", "Medium Stay",
"VACATION", "Iong Stay",
"HOLIDAY", "Long Stay",
"V", "Leisure",
"UNKNOWN", "Unknown",
"Other")</f>
        <v>Medium Stay</v>
      </c>
    </row>
    <row r="1529" spans="1:11" x14ac:dyDescent="0.3">
      <c r="A1529" t="s">
        <v>4577</v>
      </c>
      <c r="B1529" t="s">
        <v>717</v>
      </c>
      <c r="C1529" t="s">
        <v>12</v>
      </c>
      <c r="D1529" t="s">
        <v>3019</v>
      </c>
      <c r="E1529" t="s">
        <v>458</v>
      </c>
      <c r="F1529" t="s">
        <v>4578</v>
      </c>
      <c r="G1529" t="s">
        <v>719</v>
      </c>
      <c r="H1529" t="s">
        <v>838</v>
      </c>
      <c r="I1529">
        <f t="shared" si="23"/>
        <v>4</v>
      </c>
      <c r="J1529" t="s">
        <v>18</v>
      </c>
      <c r="K1529" t="str" cm="1">
        <f t="array" ref="K1529">_xlfn.SWITCH(TRIM(UPPER(J1529)),
"BUSINESS", "Short Stay",
"CONFERENCE", "Medium Stay",
"VACATION", "Iong Stay",
"HOLIDAY", "Long Stay",
"V", "Leisure",
"UNKNOWN", "Unknown",
"Other")</f>
        <v>Short Stay</v>
      </c>
    </row>
    <row r="1530" spans="1:11" x14ac:dyDescent="0.3">
      <c r="A1530" t="s">
        <v>4579</v>
      </c>
      <c r="B1530" t="s">
        <v>2328</v>
      </c>
      <c r="C1530" t="s">
        <v>21</v>
      </c>
      <c r="D1530" t="s">
        <v>4580</v>
      </c>
      <c r="E1530" t="s">
        <v>32</v>
      </c>
      <c r="F1530" t="s">
        <v>4581</v>
      </c>
      <c r="G1530" t="s">
        <v>533</v>
      </c>
      <c r="H1530" t="s">
        <v>523</v>
      </c>
      <c r="I1530">
        <f t="shared" si="23"/>
        <v>3</v>
      </c>
      <c r="J1530" t="s">
        <v>27</v>
      </c>
      <c r="K1530" t="str" cm="1">
        <f t="array" ref="K1530">_xlfn.SWITCH(TRIM(UPPER(J1530)),
"BUSINESS", "Short Stay",
"CONFERENCE", "Medium Stay",
"VACATION", "Iong Stay",
"HOLIDAY", "Long Stay",
"V", "Leisure",
"UNKNOWN", "Unknown",
"Other")</f>
        <v>Medium Stay</v>
      </c>
    </row>
    <row r="1531" spans="1:11" x14ac:dyDescent="0.3">
      <c r="A1531" t="s">
        <v>4582</v>
      </c>
      <c r="B1531" t="s">
        <v>29</v>
      </c>
      <c r="C1531" t="s">
        <v>174</v>
      </c>
      <c r="D1531" t="s">
        <v>1228</v>
      </c>
      <c r="E1531" t="s">
        <v>314</v>
      </c>
      <c r="F1531" t="s">
        <v>4583</v>
      </c>
      <c r="G1531" t="s">
        <v>34</v>
      </c>
      <c r="H1531" t="s">
        <v>35</v>
      </c>
      <c r="I1531">
        <f t="shared" si="23"/>
        <v>1</v>
      </c>
      <c r="J1531" t="s">
        <v>121</v>
      </c>
      <c r="K1531" t="str" cm="1">
        <f t="array" ref="K1531">_xlfn.SWITCH(TRIM(UPPER(J1531)),
"BUSINESS", "Short Stay",
"CONFERENCE", "Medium Stay",
"VACATION", "Iong Stay",
"HOLIDAY", "Long Stay",
"V", "Leisure",
"UNKNOWN", "Unknown",
"Other")</f>
        <v>Iong Stay</v>
      </c>
    </row>
    <row r="1532" spans="1:11" x14ac:dyDescent="0.3">
      <c r="A1532" t="s">
        <v>4584</v>
      </c>
      <c r="B1532" t="s">
        <v>2001</v>
      </c>
      <c r="C1532" t="s">
        <v>12</v>
      </c>
      <c r="D1532" t="s">
        <v>4585</v>
      </c>
      <c r="E1532" t="s">
        <v>156</v>
      </c>
      <c r="F1532" t="s">
        <v>4586</v>
      </c>
      <c r="G1532" t="s">
        <v>1689</v>
      </c>
      <c r="H1532" t="s">
        <v>908</v>
      </c>
      <c r="I1532">
        <f t="shared" si="23"/>
        <v>4</v>
      </c>
      <c r="J1532" t="s">
        <v>121</v>
      </c>
      <c r="K1532" t="str" cm="1">
        <f t="array" ref="K1532">_xlfn.SWITCH(TRIM(UPPER(J1532)),
"BUSINESS", "Short Stay",
"CONFERENCE", "Medium Stay",
"VACATION", "Iong Stay",
"HOLIDAY", "Long Stay",
"V", "Leisure",
"UNKNOWN", "Unknown",
"Other")</f>
        <v>Iong Stay</v>
      </c>
    </row>
    <row r="1533" spans="1:11" x14ac:dyDescent="0.3">
      <c r="A1533" t="s">
        <v>4587</v>
      </c>
      <c r="B1533" t="s">
        <v>960</v>
      </c>
      <c r="C1533" t="s">
        <v>54</v>
      </c>
      <c r="D1533" t="s">
        <v>2150</v>
      </c>
      <c r="E1533" t="s">
        <v>69</v>
      </c>
      <c r="F1533" t="s">
        <v>3826</v>
      </c>
      <c r="G1533" t="s">
        <v>963</v>
      </c>
      <c r="H1533" t="s">
        <v>184</v>
      </c>
      <c r="I1533">
        <f t="shared" si="23"/>
        <v>4</v>
      </c>
      <c r="J1533" t="s">
        <v>121</v>
      </c>
      <c r="K1533" t="str" cm="1">
        <f t="array" ref="K1533">_xlfn.SWITCH(TRIM(UPPER(J1533)),
"BUSINESS", "Short Stay",
"CONFERENCE", "Medium Stay",
"VACATION", "Iong Stay",
"HOLIDAY", "Long Stay",
"V", "Leisure",
"UNKNOWN", "Unknown",
"Other")</f>
        <v>Iong Stay</v>
      </c>
    </row>
    <row r="1534" spans="1:11" x14ac:dyDescent="0.3">
      <c r="A1534" t="s">
        <v>4588</v>
      </c>
      <c r="B1534" t="s">
        <v>450</v>
      </c>
      <c r="C1534" t="s">
        <v>21</v>
      </c>
      <c r="D1534" t="s">
        <v>2034</v>
      </c>
      <c r="E1534" t="s">
        <v>23</v>
      </c>
      <c r="F1534" t="s">
        <v>4589</v>
      </c>
      <c r="G1534" t="s">
        <v>453</v>
      </c>
      <c r="H1534" t="s">
        <v>454</v>
      </c>
      <c r="I1534">
        <f t="shared" si="23"/>
        <v>3</v>
      </c>
      <c r="J1534" t="s">
        <v>18</v>
      </c>
      <c r="K1534" t="str" cm="1">
        <f t="array" ref="K1534">_xlfn.SWITCH(TRIM(UPPER(J1534)),
"BUSINESS", "Short Stay",
"CONFERENCE", "Medium Stay",
"VACATION", "Iong Stay",
"HOLIDAY", "Long Stay",
"V", "Leisure",
"UNKNOWN", "Unknown",
"Other")</f>
        <v>Short Stay</v>
      </c>
    </row>
    <row r="1535" spans="1:11" x14ac:dyDescent="0.3">
      <c r="A1535" t="s">
        <v>4590</v>
      </c>
      <c r="B1535" t="s">
        <v>450</v>
      </c>
      <c r="C1535" t="s">
        <v>12</v>
      </c>
      <c r="D1535" t="s">
        <v>2681</v>
      </c>
      <c r="E1535" t="s">
        <v>476</v>
      </c>
      <c r="F1535" t="s">
        <v>4591</v>
      </c>
      <c r="G1535" t="s">
        <v>453</v>
      </c>
      <c r="H1535" t="s">
        <v>1575</v>
      </c>
      <c r="I1535">
        <f t="shared" si="23"/>
        <v>1</v>
      </c>
      <c r="J1535" t="s">
        <v>121</v>
      </c>
      <c r="K1535" t="str" cm="1">
        <f t="array" ref="K1535">_xlfn.SWITCH(TRIM(UPPER(J1535)),
"BUSINESS", "Short Stay",
"CONFERENCE", "Medium Stay",
"VACATION", "Iong Stay",
"HOLIDAY", "Long Stay",
"V", "Leisure",
"UNKNOWN", "Unknown",
"Other")</f>
        <v>Iong Stay</v>
      </c>
    </row>
    <row r="1536" spans="1:11" x14ac:dyDescent="0.3">
      <c r="A1536" t="s">
        <v>4592</v>
      </c>
      <c r="B1536" t="s">
        <v>1055</v>
      </c>
      <c r="C1536" t="s">
        <v>38</v>
      </c>
      <c r="D1536" t="s">
        <v>39</v>
      </c>
      <c r="E1536" t="s">
        <v>546</v>
      </c>
      <c r="F1536" t="s">
        <v>4593</v>
      </c>
      <c r="G1536" t="s">
        <v>310</v>
      </c>
      <c r="H1536" t="s">
        <v>282</v>
      </c>
      <c r="I1536">
        <f t="shared" si="23"/>
        <v>3</v>
      </c>
      <c r="J1536" t="s">
        <v>27</v>
      </c>
      <c r="K1536" t="str" cm="1">
        <f t="array" ref="K1536">_xlfn.SWITCH(TRIM(UPPER(J1536)),
"BUSINESS", "Short Stay",
"CONFERENCE", "Medium Stay",
"VACATION", "Iong Stay",
"HOLIDAY", "Long Stay",
"V", "Leisure",
"UNKNOWN", "Unknown",
"Other")</f>
        <v>Medium Stay</v>
      </c>
    </row>
    <row r="1537" spans="1:11" x14ac:dyDescent="0.3">
      <c r="A1537" t="s">
        <v>4594</v>
      </c>
      <c r="B1537" t="s">
        <v>252</v>
      </c>
      <c r="C1537" t="s">
        <v>61</v>
      </c>
      <c r="D1537" t="s">
        <v>1278</v>
      </c>
      <c r="E1537" t="s">
        <v>63</v>
      </c>
      <c r="F1537" t="s">
        <v>4595</v>
      </c>
      <c r="G1537" t="s">
        <v>88</v>
      </c>
      <c r="H1537" t="s">
        <v>255</v>
      </c>
      <c r="I1537">
        <f t="shared" si="23"/>
        <v>3</v>
      </c>
      <c r="J1537" t="s">
        <v>44</v>
      </c>
      <c r="K1537" t="str" cm="1">
        <f t="array" ref="K1537">_xlfn.SWITCH(TRIM(UPPER(J1537)),
"BUSINESS", "Short Stay",
"CONFERENCE", "Medium Stay",
"VACATION", "Iong Stay",
"HOLIDAY", "Long Stay",
"V", "Leisure",
"UNKNOWN", "Unknown",
"Other")</f>
        <v>Other</v>
      </c>
    </row>
    <row r="1538" spans="1:11" x14ac:dyDescent="0.3">
      <c r="A1538" t="s">
        <v>4596</v>
      </c>
      <c r="B1538" t="s">
        <v>2707</v>
      </c>
      <c r="C1538" t="s">
        <v>61</v>
      </c>
      <c r="D1538" t="s">
        <v>1014</v>
      </c>
      <c r="E1538" t="s">
        <v>48</v>
      </c>
      <c r="F1538" t="s">
        <v>4597</v>
      </c>
      <c r="G1538" t="s">
        <v>216</v>
      </c>
      <c r="H1538" t="s">
        <v>856</v>
      </c>
      <c r="I1538">
        <f t="shared" si="23"/>
        <v>2</v>
      </c>
      <c r="J1538" t="s">
        <v>44</v>
      </c>
      <c r="K1538" t="str" cm="1">
        <f t="array" ref="K1538">_xlfn.SWITCH(TRIM(UPPER(J1538)),
"BUSINESS", "Short Stay",
"CONFERENCE", "Medium Stay",
"VACATION", "Iong Stay",
"HOLIDAY", "Long Stay",
"V", "Leisure",
"UNKNOWN", "Unknown",
"Other")</f>
        <v>Other</v>
      </c>
    </row>
    <row r="1539" spans="1:11" x14ac:dyDescent="0.3">
      <c r="A1539" t="s">
        <v>4598</v>
      </c>
      <c r="B1539" t="s">
        <v>1650</v>
      </c>
      <c r="C1539" t="s">
        <v>75</v>
      </c>
      <c r="D1539" t="s">
        <v>2795</v>
      </c>
      <c r="E1539" t="s">
        <v>476</v>
      </c>
      <c r="F1539" t="s">
        <v>4599</v>
      </c>
      <c r="G1539" t="s">
        <v>1160</v>
      </c>
      <c r="H1539" t="s">
        <v>106</v>
      </c>
      <c r="I1539">
        <f t="shared" ref="I1539:I1602" si="24">H1539-G1539</f>
        <v>5</v>
      </c>
      <c r="J1539" t="s">
        <v>27</v>
      </c>
      <c r="K1539" t="str" cm="1">
        <f t="array" ref="K1539">_xlfn.SWITCH(TRIM(UPPER(J1539)),
"BUSINESS", "Short Stay",
"CONFERENCE", "Medium Stay",
"VACATION", "Iong Stay",
"HOLIDAY", "Long Stay",
"V", "Leisure",
"UNKNOWN", "Unknown",
"Other")</f>
        <v>Medium Stay</v>
      </c>
    </row>
    <row r="1540" spans="1:11" x14ac:dyDescent="0.3">
      <c r="A1540" t="s">
        <v>4600</v>
      </c>
      <c r="B1540" t="s">
        <v>2115</v>
      </c>
      <c r="C1540" t="s">
        <v>38</v>
      </c>
      <c r="D1540" t="s">
        <v>4601</v>
      </c>
      <c r="E1540" t="s">
        <v>176</v>
      </c>
      <c r="F1540" t="s">
        <v>4602</v>
      </c>
      <c r="G1540" t="s">
        <v>159</v>
      </c>
      <c r="H1540" t="s">
        <v>1121</v>
      </c>
      <c r="I1540">
        <f t="shared" si="24"/>
        <v>4</v>
      </c>
      <c r="J1540" t="s">
        <v>27</v>
      </c>
      <c r="K1540" t="str" cm="1">
        <f t="array" ref="K1540">_xlfn.SWITCH(TRIM(UPPER(J1540)),
"BUSINESS", "Short Stay",
"CONFERENCE", "Medium Stay",
"VACATION", "Iong Stay",
"HOLIDAY", "Long Stay",
"V", "Leisure",
"UNKNOWN", "Unknown",
"Other")</f>
        <v>Medium Stay</v>
      </c>
    </row>
    <row r="1541" spans="1:11" x14ac:dyDescent="0.3">
      <c r="A1541" t="s">
        <v>4603</v>
      </c>
      <c r="B1541" t="s">
        <v>921</v>
      </c>
      <c r="C1541" t="s">
        <v>38</v>
      </c>
      <c r="D1541" t="s">
        <v>2288</v>
      </c>
      <c r="E1541" t="s">
        <v>32</v>
      </c>
      <c r="F1541" t="s">
        <v>4213</v>
      </c>
      <c r="G1541" t="s">
        <v>594</v>
      </c>
      <c r="H1541" t="s">
        <v>663</v>
      </c>
      <c r="I1541">
        <f t="shared" si="24"/>
        <v>4</v>
      </c>
      <c r="J1541" t="s">
        <v>121</v>
      </c>
      <c r="K1541" t="str" cm="1">
        <f t="array" ref="K1541">_xlfn.SWITCH(TRIM(UPPER(J1541)),
"BUSINESS", "Short Stay",
"CONFERENCE", "Medium Stay",
"VACATION", "Iong Stay",
"HOLIDAY", "Long Stay",
"V", "Leisure",
"UNKNOWN", "Unknown",
"Other")</f>
        <v>Iong Stay</v>
      </c>
    </row>
    <row r="1542" spans="1:11" x14ac:dyDescent="0.3">
      <c r="A1542" t="s">
        <v>4604</v>
      </c>
      <c r="B1542" t="s">
        <v>960</v>
      </c>
      <c r="C1542" t="s">
        <v>54</v>
      </c>
      <c r="D1542" t="s">
        <v>3984</v>
      </c>
      <c r="E1542" t="s">
        <v>156</v>
      </c>
      <c r="F1542" t="s">
        <v>4605</v>
      </c>
      <c r="G1542" t="s">
        <v>963</v>
      </c>
      <c r="H1542" t="s">
        <v>328</v>
      </c>
      <c r="I1542">
        <f t="shared" si="24"/>
        <v>1</v>
      </c>
      <c r="J1542" t="s">
        <v>27</v>
      </c>
      <c r="K1542" t="str" cm="1">
        <f t="array" ref="K1542">_xlfn.SWITCH(TRIM(UPPER(J1542)),
"BUSINESS", "Short Stay",
"CONFERENCE", "Medium Stay",
"VACATION", "Iong Stay",
"HOLIDAY", "Long Stay",
"V", "Leisure",
"UNKNOWN", "Unknown",
"Other")</f>
        <v>Medium Stay</v>
      </c>
    </row>
    <row r="1543" spans="1:11" x14ac:dyDescent="0.3">
      <c r="A1543" t="s">
        <v>4606</v>
      </c>
      <c r="B1543" t="s">
        <v>2115</v>
      </c>
      <c r="C1543" t="s">
        <v>75</v>
      </c>
      <c r="D1543" t="s">
        <v>4607</v>
      </c>
      <c r="E1543" t="s">
        <v>48</v>
      </c>
      <c r="F1543" t="s">
        <v>4608</v>
      </c>
      <c r="G1543" t="s">
        <v>159</v>
      </c>
      <c r="H1543" t="s">
        <v>65</v>
      </c>
      <c r="I1543">
        <f t="shared" si="24"/>
        <v>3</v>
      </c>
      <c r="J1543" t="s">
        <v>18</v>
      </c>
      <c r="K1543" t="str" cm="1">
        <f t="array" ref="K1543">_xlfn.SWITCH(TRIM(UPPER(J1543)),
"BUSINESS", "Short Stay",
"CONFERENCE", "Medium Stay",
"VACATION", "Iong Stay",
"HOLIDAY", "Long Stay",
"V", "Leisure",
"UNKNOWN", "Unknown",
"Other")</f>
        <v>Short Stay</v>
      </c>
    </row>
    <row r="1544" spans="1:11" x14ac:dyDescent="0.3">
      <c r="A1544" t="s">
        <v>4609</v>
      </c>
      <c r="B1544" t="s">
        <v>1745</v>
      </c>
      <c r="C1544" t="s">
        <v>21</v>
      </c>
      <c r="D1544" t="s">
        <v>1140</v>
      </c>
      <c r="E1544" t="s">
        <v>32</v>
      </c>
      <c r="F1544" t="s">
        <v>4610</v>
      </c>
      <c r="G1544" t="s">
        <v>43</v>
      </c>
      <c r="H1544" t="s">
        <v>937</v>
      </c>
      <c r="I1544">
        <f t="shared" si="24"/>
        <v>4</v>
      </c>
      <c r="J1544" t="s">
        <v>121</v>
      </c>
      <c r="K1544" t="str" cm="1">
        <f t="array" ref="K1544">_xlfn.SWITCH(TRIM(UPPER(J1544)),
"BUSINESS", "Short Stay",
"CONFERENCE", "Medium Stay",
"VACATION", "Iong Stay",
"HOLIDAY", "Long Stay",
"V", "Leisure",
"UNKNOWN", "Unknown",
"Other")</f>
        <v>Iong Stay</v>
      </c>
    </row>
    <row r="1545" spans="1:11" x14ac:dyDescent="0.3">
      <c r="A1545" t="s">
        <v>4611</v>
      </c>
      <c r="B1545" t="s">
        <v>37</v>
      </c>
      <c r="C1545" t="s">
        <v>75</v>
      </c>
      <c r="D1545" t="s">
        <v>2835</v>
      </c>
      <c r="E1545" t="s">
        <v>117</v>
      </c>
      <c r="F1545" t="s">
        <v>4612</v>
      </c>
      <c r="G1545" t="s">
        <v>42</v>
      </c>
      <c r="H1545" t="s">
        <v>357</v>
      </c>
      <c r="I1545">
        <f t="shared" si="24"/>
        <v>4</v>
      </c>
      <c r="J1545" t="s">
        <v>27</v>
      </c>
      <c r="K1545" t="str" cm="1">
        <f t="array" ref="K1545">_xlfn.SWITCH(TRIM(UPPER(J1545)),
"BUSINESS", "Short Stay",
"CONFERENCE", "Medium Stay",
"VACATION", "Iong Stay",
"HOLIDAY", "Long Stay",
"V", "Leisure",
"UNKNOWN", "Unknown",
"Other")</f>
        <v>Medium Stay</v>
      </c>
    </row>
    <row r="1546" spans="1:11" x14ac:dyDescent="0.3">
      <c r="A1546" t="s">
        <v>4613</v>
      </c>
      <c r="B1546" t="s">
        <v>665</v>
      </c>
      <c r="C1546" t="s">
        <v>75</v>
      </c>
      <c r="D1546" t="s">
        <v>136</v>
      </c>
      <c r="E1546" t="s">
        <v>117</v>
      </c>
      <c r="F1546" t="s">
        <v>183</v>
      </c>
      <c r="G1546" t="s">
        <v>668</v>
      </c>
      <c r="H1546" t="s">
        <v>57</v>
      </c>
      <c r="I1546">
        <f t="shared" si="24"/>
        <v>2</v>
      </c>
      <c r="J1546" t="s">
        <v>121</v>
      </c>
      <c r="K1546" t="str" cm="1">
        <f t="array" ref="K1546">_xlfn.SWITCH(TRIM(UPPER(J1546)),
"BUSINESS", "Short Stay",
"CONFERENCE", "Medium Stay",
"VACATION", "Iong Stay",
"HOLIDAY", "Long Stay",
"V", "Leisure",
"UNKNOWN", "Unknown",
"Other")</f>
        <v>Iong Stay</v>
      </c>
    </row>
    <row r="1547" spans="1:11" x14ac:dyDescent="0.3">
      <c r="A1547" t="s">
        <v>4614</v>
      </c>
      <c r="B1547" t="s">
        <v>879</v>
      </c>
      <c r="C1547" t="s">
        <v>83</v>
      </c>
      <c r="D1547" t="s">
        <v>295</v>
      </c>
      <c r="E1547" t="s">
        <v>546</v>
      </c>
      <c r="F1547" t="s">
        <v>4615</v>
      </c>
      <c r="G1547" t="s">
        <v>179</v>
      </c>
      <c r="H1547" t="s">
        <v>1415</v>
      </c>
      <c r="I1547">
        <f t="shared" si="24"/>
        <v>4</v>
      </c>
      <c r="J1547" t="s">
        <v>18</v>
      </c>
      <c r="K1547" t="str" cm="1">
        <f t="array" ref="K1547">_xlfn.SWITCH(TRIM(UPPER(J1547)),
"BUSINESS", "Short Stay",
"CONFERENCE", "Medium Stay",
"VACATION", "Iong Stay",
"HOLIDAY", "Long Stay",
"V", "Leisure",
"UNKNOWN", "Unknown",
"Other")</f>
        <v>Short Stay</v>
      </c>
    </row>
    <row r="1548" spans="1:11" x14ac:dyDescent="0.3">
      <c r="A1548" t="s">
        <v>4616</v>
      </c>
      <c r="B1548" t="s">
        <v>1709</v>
      </c>
      <c r="C1548" t="s">
        <v>30</v>
      </c>
      <c r="D1548" t="s">
        <v>457</v>
      </c>
      <c r="E1548" t="s">
        <v>156</v>
      </c>
      <c r="F1548" t="s">
        <v>4617</v>
      </c>
      <c r="G1548" t="s">
        <v>133</v>
      </c>
      <c r="H1548" t="s">
        <v>2517</v>
      </c>
      <c r="I1548">
        <f t="shared" si="24"/>
        <v>1</v>
      </c>
      <c r="J1548" t="s">
        <v>121</v>
      </c>
      <c r="K1548" t="str" cm="1">
        <f t="array" ref="K1548">_xlfn.SWITCH(TRIM(UPPER(J1548)),
"BUSINESS", "Short Stay",
"CONFERENCE", "Medium Stay",
"VACATION", "Iong Stay",
"HOLIDAY", "Long Stay",
"V", "Leisure",
"UNKNOWN", "Unknown",
"Other")</f>
        <v>Iong Stay</v>
      </c>
    </row>
    <row r="1549" spans="1:11" x14ac:dyDescent="0.3">
      <c r="A1549" t="s">
        <v>4618</v>
      </c>
      <c r="B1549" t="s">
        <v>1534</v>
      </c>
      <c r="C1549" t="s">
        <v>54</v>
      </c>
      <c r="D1549" t="s">
        <v>1773</v>
      </c>
      <c r="E1549" t="s">
        <v>201</v>
      </c>
      <c r="F1549" t="s">
        <v>4619</v>
      </c>
      <c r="G1549" t="s">
        <v>152</v>
      </c>
      <c r="H1549" t="s">
        <v>1407</v>
      </c>
      <c r="I1549">
        <f t="shared" si="24"/>
        <v>4</v>
      </c>
      <c r="J1549" t="s">
        <v>27</v>
      </c>
      <c r="K1549" t="str" cm="1">
        <f t="array" ref="K1549">_xlfn.SWITCH(TRIM(UPPER(J1549)),
"BUSINESS", "Short Stay",
"CONFERENCE", "Medium Stay",
"VACATION", "Iong Stay",
"HOLIDAY", "Long Stay",
"V", "Leisure",
"UNKNOWN", "Unknown",
"Other")</f>
        <v>Medium Stay</v>
      </c>
    </row>
    <row r="1550" spans="1:11" x14ac:dyDescent="0.3">
      <c r="A1550" t="s">
        <v>4620</v>
      </c>
      <c r="B1550" t="s">
        <v>2904</v>
      </c>
      <c r="C1550" t="s">
        <v>83</v>
      </c>
      <c r="D1550" t="s">
        <v>889</v>
      </c>
      <c r="E1550" t="s">
        <v>69</v>
      </c>
      <c r="F1550" t="s">
        <v>4621</v>
      </c>
      <c r="G1550" t="s">
        <v>813</v>
      </c>
      <c r="H1550" t="s">
        <v>1316</v>
      </c>
      <c r="I1550">
        <f t="shared" si="24"/>
        <v>3</v>
      </c>
      <c r="J1550" t="s">
        <v>121</v>
      </c>
      <c r="K1550" t="str" cm="1">
        <f t="array" ref="K1550">_xlfn.SWITCH(TRIM(UPPER(J1550)),
"BUSINESS", "Short Stay",
"CONFERENCE", "Medium Stay",
"VACATION", "Iong Stay",
"HOLIDAY", "Long Stay",
"V", "Leisure",
"UNKNOWN", "Unknown",
"Other")</f>
        <v>Iong Stay</v>
      </c>
    </row>
    <row r="1551" spans="1:11" x14ac:dyDescent="0.3">
      <c r="A1551" t="s">
        <v>4622</v>
      </c>
      <c r="B1551" t="s">
        <v>141</v>
      </c>
      <c r="C1551" t="s">
        <v>97</v>
      </c>
      <c r="D1551" t="s">
        <v>2861</v>
      </c>
      <c r="E1551" t="s">
        <v>48</v>
      </c>
      <c r="F1551" t="s">
        <v>4623</v>
      </c>
      <c r="G1551" t="s">
        <v>144</v>
      </c>
      <c r="H1551" t="s">
        <v>1797</v>
      </c>
      <c r="I1551">
        <f t="shared" si="24"/>
        <v>2</v>
      </c>
      <c r="J1551" t="s">
        <v>18</v>
      </c>
      <c r="K1551" t="str" cm="1">
        <f t="array" ref="K1551">_xlfn.SWITCH(TRIM(UPPER(J1551)),
"BUSINESS", "Short Stay",
"CONFERENCE", "Medium Stay",
"VACATION", "Iong Stay",
"HOLIDAY", "Long Stay",
"V", "Leisure",
"UNKNOWN", "Unknown",
"Other")</f>
        <v>Short Stay</v>
      </c>
    </row>
    <row r="1552" spans="1:11" x14ac:dyDescent="0.3">
      <c r="A1552" t="s">
        <v>4624</v>
      </c>
      <c r="B1552" t="s">
        <v>395</v>
      </c>
      <c r="C1552" t="s">
        <v>174</v>
      </c>
      <c r="D1552" t="s">
        <v>4625</v>
      </c>
      <c r="E1552" t="s">
        <v>149</v>
      </c>
      <c r="F1552" t="s">
        <v>4626</v>
      </c>
      <c r="G1552" t="s">
        <v>398</v>
      </c>
      <c r="H1552" t="s">
        <v>971</v>
      </c>
      <c r="I1552">
        <f t="shared" si="24"/>
        <v>2</v>
      </c>
      <c r="J1552" t="s">
        <v>44</v>
      </c>
      <c r="K1552" t="str" cm="1">
        <f t="array" ref="K1552">_xlfn.SWITCH(TRIM(UPPER(J1552)),
"BUSINESS", "Short Stay",
"CONFERENCE", "Medium Stay",
"VACATION", "Iong Stay",
"HOLIDAY", "Long Stay",
"V", "Leisure",
"UNKNOWN", "Unknown",
"Other")</f>
        <v>Other</v>
      </c>
    </row>
    <row r="1553" spans="1:11" x14ac:dyDescent="0.3">
      <c r="A1553" t="s">
        <v>4627</v>
      </c>
      <c r="B1553" t="s">
        <v>2929</v>
      </c>
      <c r="C1553" t="s">
        <v>83</v>
      </c>
      <c r="D1553" t="s">
        <v>1651</v>
      </c>
      <c r="E1553" t="s">
        <v>156</v>
      </c>
      <c r="F1553" t="s">
        <v>4628</v>
      </c>
      <c r="G1553" t="s">
        <v>245</v>
      </c>
      <c r="H1553" t="s">
        <v>813</v>
      </c>
      <c r="I1553">
        <f t="shared" si="24"/>
        <v>4</v>
      </c>
      <c r="J1553" t="s">
        <v>121</v>
      </c>
      <c r="K1553" t="str" cm="1">
        <f t="array" ref="K1553">_xlfn.SWITCH(TRIM(UPPER(J1553)),
"BUSINESS", "Short Stay",
"CONFERENCE", "Medium Stay",
"VACATION", "Iong Stay",
"HOLIDAY", "Long Stay",
"V", "Leisure",
"UNKNOWN", "Unknown",
"Other")</f>
        <v>Iong Stay</v>
      </c>
    </row>
    <row r="1554" spans="1:11" x14ac:dyDescent="0.3">
      <c r="A1554" t="s">
        <v>4629</v>
      </c>
      <c r="B1554" t="s">
        <v>300</v>
      </c>
      <c r="C1554" t="s">
        <v>30</v>
      </c>
      <c r="D1554" t="s">
        <v>1402</v>
      </c>
      <c r="E1554" t="s">
        <v>546</v>
      </c>
      <c r="F1554" t="s">
        <v>4630</v>
      </c>
      <c r="G1554" t="s">
        <v>303</v>
      </c>
      <c r="H1554" t="s">
        <v>672</v>
      </c>
      <c r="I1554">
        <f t="shared" si="24"/>
        <v>2</v>
      </c>
      <c r="J1554" t="s">
        <v>27</v>
      </c>
      <c r="K1554" t="str" cm="1">
        <f t="array" ref="K1554">_xlfn.SWITCH(TRIM(UPPER(J1554)),
"BUSINESS", "Short Stay",
"CONFERENCE", "Medium Stay",
"VACATION", "Iong Stay",
"HOLIDAY", "Long Stay",
"V", "Leisure",
"UNKNOWN", "Unknown",
"Other")</f>
        <v>Medium Stay</v>
      </c>
    </row>
    <row r="1555" spans="1:11" x14ac:dyDescent="0.3">
      <c r="A1555" t="s">
        <v>4631</v>
      </c>
      <c r="B1555" t="s">
        <v>1429</v>
      </c>
      <c r="C1555" t="s">
        <v>30</v>
      </c>
      <c r="D1555" t="s">
        <v>200</v>
      </c>
      <c r="E1555" t="s">
        <v>430</v>
      </c>
      <c r="F1555" t="s">
        <v>4632</v>
      </c>
      <c r="G1555" t="s">
        <v>283</v>
      </c>
      <c r="H1555" t="s">
        <v>668</v>
      </c>
      <c r="I1555">
        <f t="shared" si="24"/>
        <v>4</v>
      </c>
      <c r="J1555" t="s">
        <v>44</v>
      </c>
      <c r="K1555" t="str" cm="1">
        <f t="array" ref="K1555">_xlfn.SWITCH(TRIM(UPPER(J1555)),
"BUSINESS", "Short Stay",
"CONFERENCE", "Medium Stay",
"VACATION", "Iong Stay",
"HOLIDAY", "Long Stay",
"V", "Leisure",
"UNKNOWN", "Unknown",
"Other")</f>
        <v>Other</v>
      </c>
    </row>
    <row r="1556" spans="1:11" x14ac:dyDescent="0.3">
      <c r="A1556" t="s">
        <v>4633</v>
      </c>
      <c r="B1556" t="s">
        <v>341</v>
      </c>
      <c r="C1556" t="s">
        <v>12</v>
      </c>
      <c r="D1556" t="s">
        <v>4634</v>
      </c>
      <c r="E1556" t="s">
        <v>149</v>
      </c>
      <c r="F1556" t="s">
        <v>4635</v>
      </c>
      <c r="G1556" t="s">
        <v>344</v>
      </c>
      <c r="H1556" t="s">
        <v>80</v>
      </c>
      <c r="I1556">
        <f t="shared" si="24"/>
        <v>3</v>
      </c>
      <c r="J1556" t="s">
        <v>44</v>
      </c>
      <c r="K1556" t="str" cm="1">
        <f t="array" ref="K1556">_xlfn.SWITCH(TRIM(UPPER(J1556)),
"BUSINESS", "Short Stay",
"CONFERENCE", "Medium Stay",
"VACATION", "Iong Stay",
"HOLIDAY", "Long Stay",
"V", "Leisure",
"UNKNOWN", "Unknown",
"Other")</f>
        <v>Other</v>
      </c>
    </row>
    <row r="1557" spans="1:11" x14ac:dyDescent="0.3">
      <c r="A1557" t="s">
        <v>4636</v>
      </c>
      <c r="B1557" t="s">
        <v>53</v>
      </c>
      <c r="C1557" t="s">
        <v>54</v>
      </c>
      <c r="D1557" t="s">
        <v>2220</v>
      </c>
      <c r="E1557" t="s">
        <v>149</v>
      </c>
      <c r="F1557" t="s">
        <v>4637</v>
      </c>
      <c r="G1557" t="s">
        <v>57</v>
      </c>
      <c r="H1557" t="s">
        <v>203</v>
      </c>
      <c r="I1557">
        <f t="shared" si="24"/>
        <v>1</v>
      </c>
      <c r="J1557" t="s">
        <v>18</v>
      </c>
      <c r="K1557" t="str" cm="1">
        <f t="array" ref="K1557">_xlfn.SWITCH(TRIM(UPPER(J1557)),
"BUSINESS", "Short Stay",
"CONFERENCE", "Medium Stay",
"VACATION", "Iong Stay",
"HOLIDAY", "Long Stay",
"V", "Leisure",
"UNKNOWN", "Unknown",
"Other")</f>
        <v>Short Stay</v>
      </c>
    </row>
    <row r="1558" spans="1:11" x14ac:dyDescent="0.3">
      <c r="A1558" t="s">
        <v>4638</v>
      </c>
      <c r="B1558" t="s">
        <v>565</v>
      </c>
      <c r="C1558" t="s">
        <v>21</v>
      </c>
      <c r="D1558" t="s">
        <v>2400</v>
      </c>
      <c r="E1558" t="s">
        <v>77</v>
      </c>
      <c r="F1558" t="s">
        <v>4639</v>
      </c>
      <c r="G1558" t="s">
        <v>568</v>
      </c>
      <c r="H1558" t="s">
        <v>553</v>
      </c>
      <c r="I1558">
        <f t="shared" si="24"/>
        <v>3</v>
      </c>
      <c r="J1558" t="s">
        <v>27</v>
      </c>
      <c r="K1558" t="str" cm="1">
        <f t="array" ref="K1558">_xlfn.SWITCH(TRIM(UPPER(J1558)),
"BUSINESS", "Short Stay",
"CONFERENCE", "Medium Stay",
"VACATION", "Iong Stay",
"HOLIDAY", "Long Stay",
"V", "Leisure",
"UNKNOWN", "Unknown",
"Other")</f>
        <v>Medium Stay</v>
      </c>
    </row>
    <row r="1559" spans="1:11" x14ac:dyDescent="0.3">
      <c r="A1559" t="s">
        <v>4640</v>
      </c>
      <c r="B1559" t="s">
        <v>933</v>
      </c>
      <c r="C1559" t="s">
        <v>30</v>
      </c>
      <c r="D1559" t="s">
        <v>4641</v>
      </c>
      <c r="E1559" t="s">
        <v>32</v>
      </c>
      <c r="F1559" t="s">
        <v>4642</v>
      </c>
      <c r="G1559" t="s">
        <v>936</v>
      </c>
      <c r="H1559" t="s">
        <v>937</v>
      </c>
      <c r="I1559">
        <f t="shared" si="24"/>
        <v>2</v>
      </c>
      <c r="J1559" t="s">
        <v>44</v>
      </c>
      <c r="K1559" t="str" cm="1">
        <f t="array" ref="K1559">_xlfn.SWITCH(TRIM(UPPER(J1559)),
"BUSINESS", "Short Stay",
"CONFERENCE", "Medium Stay",
"VACATION", "Iong Stay",
"HOLIDAY", "Long Stay",
"V", "Leisure",
"UNKNOWN", "Unknown",
"Other")</f>
        <v>Other</v>
      </c>
    </row>
    <row r="1560" spans="1:11" x14ac:dyDescent="0.3">
      <c r="A1560" t="s">
        <v>4643</v>
      </c>
      <c r="B1560" t="s">
        <v>652</v>
      </c>
      <c r="C1560" t="s">
        <v>54</v>
      </c>
      <c r="D1560" t="s">
        <v>2922</v>
      </c>
      <c r="E1560" t="s">
        <v>476</v>
      </c>
      <c r="F1560" t="s">
        <v>4644</v>
      </c>
      <c r="G1560" t="s">
        <v>127</v>
      </c>
      <c r="H1560" t="s">
        <v>422</v>
      </c>
      <c r="I1560">
        <f t="shared" si="24"/>
        <v>2</v>
      </c>
      <c r="J1560" t="s">
        <v>44</v>
      </c>
      <c r="K1560" t="str" cm="1">
        <f t="array" ref="K1560">_xlfn.SWITCH(TRIM(UPPER(J1560)),
"BUSINESS", "Short Stay",
"CONFERENCE", "Medium Stay",
"VACATION", "Iong Stay",
"HOLIDAY", "Long Stay",
"V", "Leisure",
"UNKNOWN", "Unknown",
"Other")</f>
        <v>Other</v>
      </c>
    </row>
    <row r="1561" spans="1:11" x14ac:dyDescent="0.3">
      <c r="A1561" t="s">
        <v>4645</v>
      </c>
      <c r="B1561" t="s">
        <v>1984</v>
      </c>
      <c r="C1561" t="s">
        <v>21</v>
      </c>
      <c r="D1561" t="s">
        <v>475</v>
      </c>
      <c r="E1561" t="s">
        <v>214</v>
      </c>
      <c r="F1561" t="s">
        <v>4646</v>
      </c>
      <c r="G1561" t="s">
        <v>443</v>
      </c>
      <c r="H1561" t="s">
        <v>398</v>
      </c>
      <c r="I1561">
        <f t="shared" si="24"/>
        <v>3</v>
      </c>
      <c r="J1561" t="s">
        <v>27</v>
      </c>
      <c r="K1561" t="str" cm="1">
        <f t="array" ref="K1561">_xlfn.SWITCH(TRIM(UPPER(J1561)),
"BUSINESS", "Short Stay",
"CONFERENCE", "Medium Stay",
"VACATION", "Iong Stay",
"HOLIDAY", "Long Stay",
"V", "Leisure",
"UNKNOWN", "Unknown",
"Other")</f>
        <v>Medium Stay</v>
      </c>
    </row>
    <row r="1562" spans="1:11" x14ac:dyDescent="0.3">
      <c r="A1562" t="s">
        <v>4647</v>
      </c>
      <c r="B1562" t="s">
        <v>1912</v>
      </c>
      <c r="C1562" t="s">
        <v>97</v>
      </c>
      <c r="D1562" t="s">
        <v>597</v>
      </c>
      <c r="E1562" t="s">
        <v>69</v>
      </c>
      <c r="F1562" t="s">
        <v>4648</v>
      </c>
      <c r="G1562" t="s">
        <v>363</v>
      </c>
      <c r="H1562" t="s">
        <v>1404</v>
      </c>
      <c r="I1562">
        <f t="shared" si="24"/>
        <v>2</v>
      </c>
      <c r="J1562" t="s">
        <v>44</v>
      </c>
      <c r="K1562" t="str" cm="1">
        <f t="array" ref="K1562">_xlfn.SWITCH(TRIM(UPPER(J1562)),
"BUSINESS", "Short Stay",
"CONFERENCE", "Medium Stay",
"VACATION", "Iong Stay",
"HOLIDAY", "Long Stay",
"V", "Leisure",
"UNKNOWN", "Unknown",
"Other")</f>
        <v>Other</v>
      </c>
    </row>
    <row r="1563" spans="1:11" x14ac:dyDescent="0.3">
      <c r="A1563" t="s">
        <v>4649</v>
      </c>
      <c r="B1563" t="s">
        <v>1650</v>
      </c>
      <c r="C1563" t="s">
        <v>174</v>
      </c>
      <c r="D1563" t="s">
        <v>483</v>
      </c>
      <c r="E1563" t="s">
        <v>430</v>
      </c>
      <c r="F1563" t="s">
        <v>4650</v>
      </c>
      <c r="G1563" t="s">
        <v>1160</v>
      </c>
      <c r="H1563" t="s">
        <v>106</v>
      </c>
      <c r="I1563">
        <f t="shared" si="24"/>
        <v>5</v>
      </c>
      <c r="J1563" t="s">
        <v>18</v>
      </c>
      <c r="K1563" t="str" cm="1">
        <f t="array" ref="K1563">_xlfn.SWITCH(TRIM(UPPER(J1563)),
"BUSINESS", "Short Stay",
"CONFERENCE", "Medium Stay",
"VACATION", "Iong Stay",
"HOLIDAY", "Long Stay",
"V", "Leisure",
"UNKNOWN", "Unknown",
"Other")</f>
        <v>Short Stay</v>
      </c>
    </row>
    <row r="1564" spans="1:11" x14ac:dyDescent="0.3">
      <c r="A1564" t="s">
        <v>4651</v>
      </c>
      <c r="B1564" t="s">
        <v>2875</v>
      </c>
      <c r="C1564" t="s">
        <v>12</v>
      </c>
      <c r="D1564" t="s">
        <v>4652</v>
      </c>
      <c r="E1564" t="s">
        <v>48</v>
      </c>
      <c r="F1564" t="s">
        <v>4653</v>
      </c>
      <c r="G1564" t="s">
        <v>731</v>
      </c>
      <c r="H1564" t="s">
        <v>1986</v>
      </c>
      <c r="I1564">
        <f t="shared" si="24"/>
        <v>3</v>
      </c>
      <c r="J1564" t="s">
        <v>121</v>
      </c>
      <c r="K1564" t="str" cm="1">
        <f t="array" ref="K1564">_xlfn.SWITCH(TRIM(UPPER(J1564)),
"BUSINESS", "Short Stay",
"CONFERENCE", "Medium Stay",
"VACATION", "Iong Stay",
"HOLIDAY", "Long Stay",
"V", "Leisure",
"UNKNOWN", "Unknown",
"Other")</f>
        <v>Iong Stay</v>
      </c>
    </row>
    <row r="1565" spans="1:11" x14ac:dyDescent="0.3">
      <c r="A1565" t="s">
        <v>4654</v>
      </c>
      <c r="B1565" t="s">
        <v>173</v>
      </c>
      <c r="C1565" t="s">
        <v>38</v>
      </c>
      <c r="D1565" t="s">
        <v>1329</v>
      </c>
      <c r="E1565" t="s">
        <v>149</v>
      </c>
      <c r="F1565" t="s">
        <v>4655</v>
      </c>
      <c r="G1565" t="s">
        <v>178</v>
      </c>
      <c r="H1565" t="s">
        <v>1025</v>
      </c>
      <c r="I1565">
        <f t="shared" si="24"/>
        <v>2</v>
      </c>
      <c r="J1565" t="s">
        <v>44</v>
      </c>
      <c r="K1565" t="str" cm="1">
        <f t="array" ref="K1565">_xlfn.SWITCH(TRIM(UPPER(J1565)),
"BUSINESS", "Short Stay",
"CONFERENCE", "Medium Stay",
"VACATION", "Iong Stay",
"HOLIDAY", "Long Stay",
"V", "Leisure",
"UNKNOWN", "Unknown",
"Other")</f>
        <v>Other</v>
      </c>
    </row>
    <row r="1566" spans="1:11" x14ac:dyDescent="0.3">
      <c r="A1566" t="s">
        <v>4656</v>
      </c>
      <c r="B1566" t="s">
        <v>206</v>
      </c>
      <c r="C1566" t="s">
        <v>174</v>
      </c>
      <c r="D1566" t="s">
        <v>2276</v>
      </c>
      <c r="E1566" t="s">
        <v>149</v>
      </c>
      <c r="F1566" t="s">
        <v>4657</v>
      </c>
      <c r="G1566" t="s">
        <v>209</v>
      </c>
      <c r="H1566" t="s">
        <v>759</v>
      </c>
      <c r="I1566">
        <f t="shared" si="24"/>
        <v>4</v>
      </c>
      <c r="J1566" t="s">
        <v>44</v>
      </c>
      <c r="K1566" t="str" cm="1">
        <f t="array" ref="K1566">_xlfn.SWITCH(TRIM(UPPER(J1566)),
"BUSINESS", "Short Stay",
"CONFERENCE", "Medium Stay",
"VACATION", "Iong Stay",
"HOLIDAY", "Long Stay",
"V", "Leisure",
"UNKNOWN", "Unknown",
"Other")</f>
        <v>Other</v>
      </c>
    </row>
    <row r="1567" spans="1:11" x14ac:dyDescent="0.3">
      <c r="A1567" t="s">
        <v>4658</v>
      </c>
      <c r="B1567" t="s">
        <v>2287</v>
      </c>
      <c r="C1567" t="s">
        <v>61</v>
      </c>
      <c r="D1567" t="s">
        <v>4659</v>
      </c>
      <c r="E1567" t="s">
        <v>201</v>
      </c>
      <c r="F1567" t="s">
        <v>3637</v>
      </c>
      <c r="G1567" t="s">
        <v>2290</v>
      </c>
      <c r="H1567" t="s">
        <v>398</v>
      </c>
      <c r="I1567">
        <f t="shared" si="24"/>
        <v>4</v>
      </c>
      <c r="J1567" t="s">
        <v>44</v>
      </c>
      <c r="K1567" t="str" cm="1">
        <f t="array" ref="K1567">_xlfn.SWITCH(TRIM(UPPER(J1567)),
"BUSINESS", "Short Stay",
"CONFERENCE", "Medium Stay",
"VACATION", "Iong Stay",
"HOLIDAY", "Long Stay",
"V", "Leisure",
"UNKNOWN", "Unknown",
"Other")</f>
        <v>Other</v>
      </c>
    </row>
    <row r="1568" spans="1:11" x14ac:dyDescent="0.3">
      <c r="A1568" t="s">
        <v>4660</v>
      </c>
      <c r="B1568" t="s">
        <v>1114</v>
      </c>
      <c r="C1568" t="s">
        <v>54</v>
      </c>
      <c r="D1568" t="s">
        <v>3615</v>
      </c>
      <c r="E1568" t="s">
        <v>430</v>
      </c>
      <c r="F1568" t="s">
        <v>4661</v>
      </c>
      <c r="G1568" t="s">
        <v>1117</v>
      </c>
      <c r="H1568" t="s">
        <v>495</v>
      </c>
      <c r="I1568">
        <f t="shared" si="24"/>
        <v>5</v>
      </c>
      <c r="J1568" t="s">
        <v>121</v>
      </c>
      <c r="K1568" t="str" cm="1">
        <f t="array" ref="K1568">_xlfn.SWITCH(TRIM(UPPER(J1568)),
"BUSINESS", "Short Stay",
"CONFERENCE", "Medium Stay",
"VACATION", "Iong Stay",
"HOLIDAY", "Long Stay",
"V", "Leisure",
"UNKNOWN", "Unknown",
"Other")</f>
        <v>Iong Stay</v>
      </c>
    </row>
    <row r="1569" spans="1:11" x14ac:dyDescent="0.3">
      <c r="A1569" t="s">
        <v>4662</v>
      </c>
      <c r="B1569" t="s">
        <v>218</v>
      </c>
      <c r="C1569" t="s">
        <v>83</v>
      </c>
      <c r="D1569" t="s">
        <v>1469</v>
      </c>
      <c r="E1569" t="s">
        <v>214</v>
      </c>
      <c r="F1569" t="s">
        <v>4663</v>
      </c>
      <c r="G1569" t="s">
        <v>221</v>
      </c>
      <c r="H1569" t="s">
        <v>1199</v>
      </c>
      <c r="I1569">
        <f t="shared" si="24"/>
        <v>1</v>
      </c>
      <c r="J1569" t="s">
        <v>121</v>
      </c>
      <c r="K1569" t="str" cm="1">
        <f t="array" ref="K1569">_xlfn.SWITCH(TRIM(UPPER(J1569)),
"BUSINESS", "Short Stay",
"CONFERENCE", "Medium Stay",
"VACATION", "Iong Stay",
"HOLIDAY", "Long Stay",
"V", "Leisure",
"UNKNOWN", "Unknown",
"Other")</f>
        <v>Iong Stay</v>
      </c>
    </row>
    <row r="1570" spans="1:11" x14ac:dyDescent="0.3">
      <c r="A1570" t="s">
        <v>4664</v>
      </c>
      <c r="B1570" t="s">
        <v>389</v>
      </c>
      <c r="C1570" t="s">
        <v>21</v>
      </c>
      <c r="D1570" t="s">
        <v>2281</v>
      </c>
      <c r="E1570" t="s">
        <v>117</v>
      </c>
      <c r="F1570" t="s">
        <v>4665</v>
      </c>
      <c r="G1570" t="s">
        <v>392</v>
      </c>
      <c r="H1570" t="s">
        <v>426</v>
      </c>
      <c r="I1570">
        <f t="shared" si="24"/>
        <v>3</v>
      </c>
      <c r="J1570" t="s">
        <v>121</v>
      </c>
      <c r="K1570" t="str" cm="1">
        <f t="array" ref="K1570">_xlfn.SWITCH(TRIM(UPPER(J1570)),
"BUSINESS", "Short Stay",
"CONFERENCE", "Medium Stay",
"VACATION", "Iong Stay",
"HOLIDAY", "Long Stay",
"V", "Leisure",
"UNKNOWN", "Unknown",
"Other")</f>
        <v>Iong Stay</v>
      </c>
    </row>
    <row r="1571" spans="1:11" x14ac:dyDescent="0.3">
      <c r="A1571" t="s">
        <v>4666</v>
      </c>
      <c r="B1571" t="s">
        <v>1358</v>
      </c>
      <c r="C1571" t="s">
        <v>97</v>
      </c>
      <c r="D1571" t="s">
        <v>2175</v>
      </c>
      <c r="E1571" t="s">
        <v>69</v>
      </c>
      <c r="F1571" t="s">
        <v>4667</v>
      </c>
      <c r="G1571" t="s">
        <v>924</v>
      </c>
      <c r="H1571" t="s">
        <v>1326</v>
      </c>
      <c r="I1571">
        <f t="shared" si="24"/>
        <v>3</v>
      </c>
      <c r="J1571" t="s">
        <v>18</v>
      </c>
      <c r="K1571" t="str" cm="1">
        <f t="array" ref="K1571">_xlfn.SWITCH(TRIM(UPPER(J1571)),
"BUSINESS", "Short Stay",
"CONFERENCE", "Medium Stay",
"VACATION", "Iong Stay",
"HOLIDAY", "Long Stay",
"V", "Leisure",
"UNKNOWN", "Unknown",
"Other")</f>
        <v>Short Stay</v>
      </c>
    </row>
    <row r="1572" spans="1:11" x14ac:dyDescent="0.3">
      <c r="A1572" t="s">
        <v>4668</v>
      </c>
      <c r="B1572" t="s">
        <v>29</v>
      </c>
      <c r="C1572" t="s">
        <v>97</v>
      </c>
      <c r="D1572" t="s">
        <v>3974</v>
      </c>
      <c r="E1572" t="s">
        <v>149</v>
      </c>
      <c r="F1572" t="s">
        <v>4635</v>
      </c>
      <c r="G1572" t="s">
        <v>34</v>
      </c>
      <c r="H1572" t="s">
        <v>35</v>
      </c>
      <c r="I1572">
        <f t="shared" si="24"/>
        <v>1</v>
      </c>
      <c r="J1572" t="s">
        <v>18</v>
      </c>
      <c r="K1572" t="str" cm="1">
        <f t="array" ref="K1572">_xlfn.SWITCH(TRIM(UPPER(J1572)),
"BUSINESS", "Short Stay",
"CONFERENCE", "Medium Stay",
"VACATION", "Iong Stay",
"HOLIDAY", "Long Stay",
"V", "Leisure",
"UNKNOWN", "Unknown",
"Other")</f>
        <v>Short Stay</v>
      </c>
    </row>
    <row r="1573" spans="1:11" x14ac:dyDescent="0.3">
      <c r="A1573" t="s">
        <v>4669</v>
      </c>
      <c r="B1573" t="s">
        <v>294</v>
      </c>
      <c r="C1573" t="s">
        <v>12</v>
      </c>
      <c r="D1573" t="s">
        <v>4670</v>
      </c>
      <c r="E1573" t="s">
        <v>156</v>
      </c>
      <c r="F1573" t="s">
        <v>4671</v>
      </c>
      <c r="G1573" t="s">
        <v>297</v>
      </c>
      <c r="H1573" t="s">
        <v>2160</v>
      </c>
      <c r="I1573">
        <f t="shared" si="24"/>
        <v>1</v>
      </c>
      <c r="J1573" t="s">
        <v>27</v>
      </c>
      <c r="K1573" t="str" cm="1">
        <f t="array" ref="K1573">_xlfn.SWITCH(TRIM(UPPER(J1573)),
"BUSINESS", "Short Stay",
"CONFERENCE", "Medium Stay",
"VACATION", "Iong Stay",
"HOLIDAY", "Long Stay",
"V", "Leisure",
"UNKNOWN", "Unknown",
"Other")</f>
        <v>Medium Stay</v>
      </c>
    </row>
    <row r="1574" spans="1:11" x14ac:dyDescent="0.3">
      <c r="A1574" t="s">
        <v>4672</v>
      </c>
      <c r="B1574" t="s">
        <v>3355</v>
      </c>
      <c r="C1574" t="s">
        <v>174</v>
      </c>
      <c r="D1574" t="s">
        <v>3162</v>
      </c>
      <c r="E1574" t="s">
        <v>32</v>
      </c>
      <c r="F1574" t="s">
        <v>4673</v>
      </c>
      <c r="G1574" t="s">
        <v>26</v>
      </c>
      <c r="H1574" t="s">
        <v>392</v>
      </c>
      <c r="I1574">
        <f t="shared" si="24"/>
        <v>3</v>
      </c>
      <c r="J1574" t="s">
        <v>27</v>
      </c>
      <c r="K1574" t="str" cm="1">
        <f t="array" ref="K1574">_xlfn.SWITCH(TRIM(UPPER(J1574)),
"BUSINESS", "Short Stay",
"CONFERENCE", "Medium Stay",
"VACATION", "Iong Stay",
"HOLIDAY", "Long Stay",
"V", "Leisure",
"UNKNOWN", "Unknown",
"Other")</f>
        <v>Medium Stay</v>
      </c>
    </row>
    <row r="1575" spans="1:11" x14ac:dyDescent="0.3">
      <c r="A1575" t="s">
        <v>4674</v>
      </c>
      <c r="B1575" t="s">
        <v>4675</v>
      </c>
      <c r="C1575" t="s">
        <v>38</v>
      </c>
      <c r="D1575" t="s">
        <v>2123</v>
      </c>
      <c r="E1575" t="s">
        <v>32</v>
      </c>
      <c r="F1575" t="s">
        <v>4676</v>
      </c>
      <c r="G1575" t="s">
        <v>2517</v>
      </c>
      <c r="H1575" t="s">
        <v>1646</v>
      </c>
      <c r="I1575">
        <f t="shared" si="24"/>
        <v>5</v>
      </c>
      <c r="J1575" t="s">
        <v>18</v>
      </c>
      <c r="K1575" t="str" cm="1">
        <f t="array" ref="K1575">_xlfn.SWITCH(TRIM(UPPER(J1575)),
"BUSINESS", "Short Stay",
"CONFERENCE", "Medium Stay",
"VACATION", "Iong Stay",
"HOLIDAY", "Long Stay",
"V", "Leisure",
"UNKNOWN", "Unknown",
"Other")</f>
        <v>Short Stay</v>
      </c>
    </row>
    <row r="1576" spans="1:11" x14ac:dyDescent="0.3">
      <c r="A1576" t="s">
        <v>4677</v>
      </c>
      <c r="B1576" t="s">
        <v>783</v>
      </c>
      <c r="C1576" t="s">
        <v>21</v>
      </c>
      <c r="D1576" t="s">
        <v>1287</v>
      </c>
      <c r="E1576" t="s">
        <v>40</v>
      </c>
      <c r="F1576" t="s">
        <v>4678</v>
      </c>
      <c r="G1576" t="s">
        <v>786</v>
      </c>
      <c r="H1576" t="s">
        <v>426</v>
      </c>
      <c r="I1576">
        <f t="shared" si="24"/>
        <v>2</v>
      </c>
      <c r="J1576" t="s">
        <v>121</v>
      </c>
      <c r="K1576" t="str" cm="1">
        <f t="array" ref="K1576">_xlfn.SWITCH(TRIM(UPPER(J1576)),
"BUSINESS", "Short Stay",
"CONFERENCE", "Medium Stay",
"VACATION", "Iong Stay",
"HOLIDAY", "Long Stay",
"V", "Leisure",
"UNKNOWN", "Unknown",
"Other")</f>
        <v>Iong Stay</v>
      </c>
    </row>
    <row r="1577" spans="1:11" x14ac:dyDescent="0.3">
      <c r="A1577" t="s">
        <v>4679</v>
      </c>
      <c r="B1577" t="s">
        <v>777</v>
      </c>
      <c r="C1577" t="s">
        <v>174</v>
      </c>
      <c r="D1577" t="s">
        <v>1290</v>
      </c>
      <c r="E1577" t="s">
        <v>201</v>
      </c>
      <c r="F1577" t="s">
        <v>4680</v>
      </c>
      <c r="G1577" t="s">
        <v>780</v>
      </c>
      <c r="H1577" t="s">
        <v>781</v>
      </c>
      <c r="I1577">
        <f t="shared" si="24"/>
        <v>4</v>
      </c>
      <c r="J1577" t="s">
        <v>121</v>
      </c>
      <c r="K1577" t="str" cm="1">
        <f t="array" ref="K1577">_xlfn.SWITCH(TRIM(UPPER(J1577)),
"BUSINESS", "Short Stay",
"CONFERENCE", "Medium Stay",
"VACATION", "Iong Stay",
"HOLIDAY", "Long Stay",
"V", "Leisure",
"UNKNOWN", "Unknown",
"Other")</f>
        <v>Iong Stay</v>
      </c>
    </row>
    <row r="1578" spans="1:11" x14ac:dyDescent="0.3">
      <c r="A1578" t="s">
        <v>4681</v>
      </c>
      <c r="B1578" t="s">
        <v>1397</v>
      </c>
      <c r="C1578" t="s">
        <v>75</v>
      </c>
      <c r="D1578" t="s">
        <v>867</v>
      </c>
      <c r="E1578" t="s">
        <v>85</v>
      </c>
      <c r="F1578" t="s">
        <v>4682</v>
      </c>
      <c r="G1578" t="s">
        <v>1268</v>
      </c>
      <c r="H1578" t="s">
        <v>588</v>
      </c>
      <c r="I1578">
        <f t="shared" si="24"/>
        <v>1</v>
      </c>
      <c r="J1578" t="s">
        <v>27</v>
      </c>
      <c r="K1578" t="str" cm="1">
        <f t="array" ref="K1578">_xlfn.SWITCH(TRIM(UPPER(J1578)),
"BUSINESS", "Short Stay",
"CONFERENCE", "Medium Stay",
"VACATION", "Iong Stay",
"HOLIDAY", "Long Stay",
"V", "Leisure",
"UNKNOWN", "Unknown",
"Other")</f>
        <v>Medium Stay</v>
      </c>
    </row>
    <row r="1579" spans="1:11" x14ac:dyDescent="0.3">
      <c r="A1579" t="s">
        <v>4683</v>
      </c>
      <c r="B1579" t="s">
        <v>1591</v>
      </c>
      <c r="C1579" t="s">
        <v>38</v>
      </c>
      <c r="D1579" t="s">
        <v>939</v>
      </c>
      <c r="E1579" t="s">
        <v>214</v>
      </c>
      <c r="F1579" t="s">
        <v>4684</v>
      </c>
      <c r="G1579" t="s">
        <v>426</v>
      </c>
      <c r="H1579" t="s">
        <v>309</v>
      </c>
      <c r="I1579">
        <f t="shared" si="24"/>
        <v>2</v>
      </c>
      <c r="J1579" t="s">
        <v>121</v>
      </c>
      <c r="K1579" t="str" cm="1">
        <f t="array" ref="K1579">_xlfn.SWITCH(TRIM(UPPER(J1579)),
"BUSINESS", "Short Stay",
"CONFERENCE", "Medium Stay",
"VACATION", "Iong Stay",
"HOLIDAY", "Long Stay",
"V", "Leisure",
"UNKNOWN", "Unknown",
"Other")</f>
        <v>Iong Stay</v>
      </c>
    </row>
    <row r="1580" spans="1:11" x14ac:dyDescent="0.3">
      <c r="A1580" t="s">
        <v>4685</v>
      </c>
      <c r="B1580" t="s">
        <v>1627</v>
      </c>
      <c r="C1580" t="s">
        <v>61</v>
      </c>
      <c r="D1580" t="s">
        <v>4038</v>
      </c>
      <c r="E1580" t="s">
        <v>176</v>
      </c>
      <c r="F1580" t="s">
        <v>4686</v>
      </c>
      <c r="G1580" t="s">
        <v>185</v>
      </c>
      <c r="H1580" t="s">
        <v>460</v>
      </c>
      <c r="I1580">
        <f t="shared" si="24"/>
        <v>1</v>
      </c>
      <c r="J1580" t="s">
        <v>18</v>
      </c>
      <c r="K1580" t="str" cm="1">
        <f t="array" ref="K1580">_xlfn.SWITCH(TRIM(UPPER(J1580)),
"BUSINESS", "Short Stay",
"CONFERENCE", "Medium Stay",
"VACATION", "Iong Stay",
"HOLIDAY", "Long Stay",
"V", "Leisure",
"UNKNOWN", "Unknown",
"Other")</f>
        <v>Short Stay</v>
      </c>
    </row>
    <row r="1581" spans="1:11" x14ac:dyDescent="0.3">
      <c r="A1581" t="s">
        <v>4687</v>
      </c>
      <c r="B1581" t="s">
        <v>1597</v>
      </c>
      <c r="C1581" t="s">
        <v>83</v>
      </c>
      <c r="D1581" t="s">
        <v>4688</v>
      </c>
      <c r="E1581" t="s">
        <v>32</v>
      </c>
      <c r="F1581" t="s">
        <v>4689</v>
      </c>
      <c r="G1581" t="s">
        <v>304</v>
      </c>
      <c r="H1581" t="s">
        <v>645</v>
      </c>
      <c r="I1581">
        <f t="shared" si="24"/>
        <v>2</v>
      </c>
      <c r="J1581" t="s">
        <v>27</v>
      </c>
      <c r="K1581" t="str" cm="1">
        <f t="array" ref="K1581">_xlfn.SWITCH(TRIM(UPPER(J1581)),
"BUSINESS", "Short Stay",
"CONFERENCE", "Medium Stay",
"VACATION", "Iong Stay",
"HOLIDAY", "Long Stay",
"V", "Leisure",
"UNKNOWN", "Unknown",
"Other")</f>
        <v>Medium Stay</v>
      </c>
    </row>
    <row r="1582" spans="1:11" x14ac:dyDescent="0.3">
      <c r="A1582" t="s">
        <v>4690</v>
      </c>
      <c r="B1582" t="s">
        <v>1667</v>
      </c>
      <c r="C1582" t="s">
        <v>174</v>
      </c>
      <c r="D1582" t="s">
        <v>3747</v>
      </c>
      <c r="E1582" t="s">
        <v>458</v>
      </c>
      <c r="F1582" t="s">
        <v>4691</v>
      </c>
      <c r="G1582" t="s">
        <v>1670</v>
      </c>
      <c r="H1582" t="s">
        <v>705</v>
      </c>
      <c r="I1582">
        <f t="shared" si="24"/>
        <v>4</v>
      </c>
      <c r="J1582" t="s">
        <v>121</v>
      </c>
      <c r="K1582" t="str" cm="1">
        <f t="array" ref="K1582">_xlfn.SWITCH(TRIM(UPPER(J1582)),
"BUSINESS", "Short Stay",
"CONFERENCE", "Medium Stay",
"VACATION", "Iong Stay",
"HOLIDAY", "Long Stay",
"V", "Leisure",
"UNKNOWN", "Unknown",
"Other")</f>
        <v>Iong Stay</v>
      </c>
    </row>
    <row r="1583" spans="1:11" x14ac:dyDescent="0.3">
      <c r="A1583" t="s">
        <v>4692</v>
      </c>
      <c r="B1583" t="s">
        <v>1678</v>
      </c>
      <c r="C1583" t="s">
        <v>38</v>
      </c>
      <c r="D1583" t="s">
        <v>4693</v>
      </c>
      <c r="E1583" t="s">
        <v>176</v>
      </c>
      <c r="F1583" t="s">
        <v>4694</v>
      </c>
      <c r="G1583" t="s">
        <v>1681</v>
      </c>
      <c r="H1583" t="s">
        <v>165</v>
      </c>
      <c r="I1583">
        <f t="shared" si="24"/>
        <v>3</v>
      </c>
      <c r="J1583" t="s">
        <v>18</v>
      </c>
      <c r="K1583" t="str" cm="1">
        <f t="array" ref="K1583">_xlfn.SWITCH(TRIM(UPPER(J1583)),
"BUSINESS", "Short Stay",
"CONFERENCE", "Medium Stay",
"VACATION", "Iong Stay",
"HOLIDAY", "Long Stay",
"V", "Leisure",
"UNKNOWN", "Unknown",
"Other")</f>
        <v>Short Stay</v>
      </c>
    </row>
    <row r="1584" spans="1:11" x14ac:dyDescent="0.3">
      <c r="A1584" t="s">
        <v>4695</v>
      </c>
      <c r="B1584" t="s">
        <v>1984</v>
      </c>
      <c r="C1584" t="s">
        <v>30</v>
      </c>
      <c r="D1584" t="s">
        <v>1483</v>
      </c>
      <c r="E1584" t="s">
        <v>117</v>
      </c>
      <c r="F1584" t="s">
        <v>4696</v>
      </c>
      <c r="G1584" t="s">
        <v>443</v>
      </c>
      <c r="H1584" t="s">
        <v>731</v>
      </c>
      <c r="I1584">
        <f t="shared" si="24"/>
        <v>1</v>
      </c>
      <c r="J1584" t="s">
        <v>121</v>
      </c>
      <c r="K1584" t="str" cm="1">
        <f t="array" ref="K1584">_xlfn.SWITCH(TRIM(UPPER(J1584)),
"BUSINESS", "Short Stay",
"CONFERENCE", "Medium Stay",
"VACATION", "Iong Stay",
"HOLIDAY", "Long Stay",
"V", "Leisure",
"UNKNOWN", "Unknown",
"Other")</f>
        <v>Iong Stay</v>
      </c>
    </row>
    <row r="1585" spans="1:11" x14ac:dyDescent="0.3">
      <c r="A1585" t="s">
        <v>4697</v>
      </c>
      <c r="B1585" t="s">
        <v>1239</v>
      </c>
      <c r="C1585" t="s">
        <v>61</v>
      </c>
      <c r="D1585" t="s">
        <v>4698</v>
      </c>
      <c r="E1585" t="s">
        <v>69</v>
      </c>
      <c r="F1585" t="s">
        <v>4699</v>
      </c>
      <c r="G1585" t="s">
        <v>1242</v>
      </c>
      <c r="H1585" t="s">
        <v>282</v>
      </c>
      <c r="I1585">
        <f t="shared" si="24"/>
        <v>2</v>
      </c>
      <c r="J1585" t="s">
        <v>44</v>
      </c>
      <c r="K1585" t="str" cm="1">
        <f t="array" ref="K1585">_xlfn.SWITCH(TRIM(UPPER(J1585)),
"BUSINESS", "Short Stay",
"CONFERENCE", "Medium Stay",
"VACATION", "Iong Stay",
"HOLIDAY", "Long Stay",
"V", "Leisure",
"UNKNOWN", "Unknown",
"Other")</f>
        <v>Other</v>
      </c>
    </row>
    <row r="1586" spans="1:11" x14ac:dyDescent="0.3">
      <c r="A1586" t="s">
        <v>4700</v>
      </c>
      <c r="B1586" t="s">
        <v>2335</v>
      </c>
      <c r="C1586" t="s">
        <v>38</v>
      </c>
      <c r="D1586" t="s">
        <v>4701</v>
      </c>
      <c r="E1586" t="s">
        <v>85</v>
      </c>
      <c r="F1586" t="s">
        <v>4702</v>
      </c>
      <c r="G1586" t="s">
        <v>1826</v>
      </c>
      <c r="H1586" t="s">
        <v>1768</v>
      </c>
      <c r="I1586">
        <f t="shared" si="24"/>
        <v>2</v>
      </c>
      <c r="J1586" t="s">
        <v>27</v>
      </c>
      <c r="K1586" t="str" cm="1">
        <f t="array" ref="K1586">_xlfn.SWITCH(TRIM(UPPER(J1586)),
"BUSINESS", "Short Stay",
"CONFERENCE", "Medium Stay",
"VACATION", "Iong Stay",
"HOLIDAY", "Long Stay",
"V", "Leisure",
"UNKNOWN", "Unknown",
"Other")</f>
        <v>Medium Stay</v>
      </c>
    </row>
    <row r="1587" spans="1:11" x14ac:dyDescent="0.3">
      <c r="A1587" t="s">
        <v>4703</v>
      </c>
      <c r="B1587" t="s">
        <v>1245</v>
      </c>
      <c r="C1587" t="s">
        <v>30</v>
      </c>
      <c r="D1587" t="s">
        <v>1383</v>
      </c>
      <c r="E1587" t="s">
        <v>14</v>
      </c>
      <c r="F1587" t="s">
        <v>4704</v>
      </c>
      <c r="G1587" t="s">
        <v>1248</v>
      </c>
      <c r="H1587" t="s">
        <v>553</v>
      </c>
      <c r="I1587">
        <f t="shared" si="24"/>
        <v>5</v>
      </c>
      <c r="J1587" t="s">
        <v>18</v>
      </c>
      <c r="K1587" t="str" cm="1">
        <f t="array" ref="K1587">_xlfn.SWITCH(TRIM(UPPER(J1587)),
"BUSINESS", "Short Stay",
"CONFERENCE", "Medium Stay",
"VACATION", "Iong Stay",
"HOLIDAY", "Long Stay",
"V", "Leisure",
"UNKNOWN", "Unknown",
"Other")</f>
        <v>Short Stay</v>
      </c>
    </row>
    <row r="1588" spans="1:11" x14ac:dyDescent="0.3">
      <c r="A1588" t="s">
        <v>4705</v>
      </c>
      <c r="B1588" t="s">
        <v>306</v>
      </c>
      <c r="C1588" t="s">
        <v>21</v>
      </c>
      <c r="D1588" t="s">
        <v>3215</v>
      </c>
      <c r="E1588" t="s">
        <v>23</v>
      </c>
      <c r="F1588" t="s">
        <v>4706</v>
      </c>
      <c r="G1588" t="s">
        <v>309</v>
      </c>
      <c r="H1588" t="s">
        <v>310</v>
      </c>
      <c r="I1588">
        <f t="shared" si="24"/>
        <v>4</v>
      </c>
      <c r="J1588" t="s">
        <v>44</v>
      </c>
      <c r="K1588" t="str" cm="1">
        <f t="array" ref="K1588">_xlfn.SWITCH(TRIM(UPPER(J1588)),
"BUSINESS", "Short Stay",
"CONFERENCE", "Medium Stay",
"VACATION", "Iong Stay",
"HOLIDAY", "Long Stay",
"V", "Leisure",
"UNKNOWN", "Unknown",
"Other")</f>
        <v>Other</v>
      </c>
    </row>
    <row r="1589" spans="1:11" x14ac:dyDescent="0.3">
      <c r="A1589" t="s">
        <v>4707</v>
      </c>
      <c r="B1589" t="s">
        <v>1799</v>
      </c>
      <c r="C1589" t="s">
        <v>83</v>
      </c>
      <c r="D1589" t="s">
        <v>1309</v>
      </c>
      <c r="E1589" t="s">
        <v>546</v>
      </c>
      <c r="F1589" t="s">
        <v>4708</v>
      </c>
      <c r="G1589" t="s">
        <v>1125</v>
      </c>
      <c r="H1589" t="s">
        <v>344</v>
      </c>
      <c r="I1589">
        <f t="shared" si="24"/>
        <v>5</v>
      </c>
      <c r="J1589" t="s">
        <v>44</v>
      </c>
      <c r="K1589" t="str" cm="1">
        <f t="array" ref="K1589">_xlfn.SWITCH(TRIM(UPPER(J1589)),
"BUSINESS", "Short Stay",
"CONFERENCE", "Medium Stay",
"VACATION", "Iong Stay",
"HOLIDAY", "Long Stay",
"V", "Leisure",
"UNKNOWN", "Unknown",
"Other")</f>
        <v>Other</v>
      </c>
    </row>
    <row r="1590" spans="1:11" x14ac:dyDescent="0.3">
      <c r="A1590" t="s">
        <v>4709</v>
      </c>
      <c r="B1590" t="s">
        <v>1063</v>
      </c>
      <c r="C1590" t="s">
        <v>61</v>
      </c>
      <c r="D1590" t="s">
        <v>2167</v>
      </c>
      <c r="E1590" t="s">
        <v>314</v>
      </c>
      <c r="F1590" t="s">
        <v>4710</v>
      </c>
      <c r="G1590" t="s">
        <v>1066</v>
      </c>
      <c r="H1590" t="s">
        <v>998</v>
      </c>
      <c r="I1590">
        <f t="shared" si="24"/>
        <v>5</v>
      </c>
      <c r="J1590" t="s">
        <v>44</v>
      </c>
      <c r="K1590" t="str" cm="1">
        <f t="array" ref="K1590">_xlfn.SWITCH(TRIM(UPPER(J1590)),
"BUSINESS", "Short Stay",
"CONFERENCE", "Medium Stay",
"VACATION", "Iong Stay",
"HOLIDAY", "Long Stay",
"V", "Leisure",
"UNKNOWN", "Unknown",
"Other")</f>
        <v>Other</v>
      </c>
    </row>
    <row r="1591" spans="1:11" x14ac:dyDescent="0.3">
      <c r="A1591" t="s">
        <v>4711</v>
      </c>
      <c r="B1591" t="s">
        <v>2423</v>
      </c>
      <c r="C1591" t="s">
        <v>61</v>
      </c>
      <c r="D1591" t="s">
        <v>1111</v>
      </c>
      <c r="E1591" t="s">
        <v>476</v>
      </c>
      <c r="F1591" t="s">
        <v>4712</v>
      </c>
      <c r="G1591" t="s">
        <v>621</v>
      </c>
      <c r="H1591" t="s">
        <v>958</v>
      </c>
      <c r="I1591">
        <f t="shared" si="24"/>
        <v>1</v>
      </c>
      <c r="J1591" t="s">
        <v>18</v>
      </c>
      <c r="K1591" t="str" cm="1">
        <f t="array" ref="K1591">_xlfn.SWITCH(TRIM(UPPER(J1591)),
"BUSINESS", "Short Stay",
"CONFERENCE", "Medium Stay",
"VACATION", "Iong Stay",
"HOLIDAY", "Long Stay",
"V", "Leisure",
"UNKNOWN", "Unknown",
"Other")</f>
        <v>Short Stay</v>
      </c>
    </row>
    <row r="1592" spans="1:11" x14ac:dyDescent="0.3">
      <c r="A1592" t="s">
        <v>4713</v>
      </c>
      <c r="B1592" t="s">
        <v>973</v>
      </c>
      <c r="C1592" t="s">
        <v>75</v>
      </c>
      <c r="D1592" t="s">
        <v>451</v>
      </c>
      <c r="E1592" t="s">
        <v>201</v>
      </c>
      <c r="F1592" t="s">
        <v>4714</v>
      </c>
      <c r="G1592" t="s">
        <v>626</v>
      </c>
      <c r="H1592" t="s">
        <v>1956</v>
      </c>
      <c r="I1592">
        <f t="shared" si="24"/>
        <v>5</v>
      </c>
      <c r="J1592" t="s">
        <v>44</v>
      </c>
      <c r="K1592" t="str" cm="1">
        <f t="array" ref="K1592">_xlfn.SWITCH(TRIM(UPPER(J1592)),
"BUSINESS", "Short Stay",
"CONFERENCE", "Medium Stay",
"VACATION", "Iong Stay",
"HOLIDAY", "Long Stay",
"V", "Leisure",
"UNKNOWN", "Unknown",
"Other")</f>
        <v>Other</v>
      </c>
    </row>
    <row r="1593" spans="1:11" x14ac:dyDescent="0.3">
      <c r="A1593" t="s">
        <v>4715</v>
      </c>
      <c r="B1593" t="s">
        <v>1429</v>
      </c>
      <c r="C1593" t="s">
        <v>75</v>
      </c>
      <c r="D1593" t="s">
        <v>4716</v>
      </c>
      <c r="E1593" t="s">
        <v>314</v>
      </c>
      <c r="F1593" t="s">
        <v>4717</v>
      </c>
      <c r="G1593" t="s">
        <v>283</v>
      </c>
      <c r="H1593" t="s">
        <v>2767</v>
      </c>
      <c r="I1593">
        <f t="shared" si="24"/>
        <v>1</v>
      </c>
      <c r="J1593" t="s">
        <v>44</v>
      </c>
      <c r="K1593" t="str" cm="1">
        <f t="array" ref="K1593">_xlfn.SWITCH(TRIM(UPPER(J1593)),
"BUSINESS", "Short Stay",
"CONFERENCE", "Medium Stay",
"VACATION", "Iong Stay",
"HOLIDAY", "Long Stay",
"V", "Leisure",
"UNKNOWN", "Unknown",
"Other")</f>
        <v>Other</v>
      </c>
    </row>
    <row r="1594" spans="1:11" x14ac:dyDescent="0.3">
      <c r="A1594" t="s">
        <v>4718</v>
      </c>
      <c r="B1594" t="s">
        <v>986</v>
      </c>
      <c r="C1594" t="s">
        <v>174</v>
      </c>
      <c r="D1594" t="s">
        <v>1550</v>
      </c>
      <c r="E1594" t="s">
        <v>40</v>
      </c>
      <c r="F1594" t="s">
        <v>4719</v>
      </c>
      <c r="G1594" t="s">
        <v>770</v>
      </c>
      <c r="H1594" t="s">
        <v>363</v>
      </c>
      <c r="I1594">
        <f t="shared" si="24"/>
        <v>2</v>
      </c>
      <c r="J1594" t="s">
        <v>27</v>
      </c>
      <c r="K1594" t="str" cm="1">
        <f t="array" ref="K1594">_xlfn.SWITCH(TRIM(UPPER(J1594)),
"BUSINESS", "Short Stay",
"CONFERENCE", "Medium Stay",
"VACATION", "Iong Stay",
"HOLIDAY", "Long Stay",
"V", "Leisure",
"UNKNOWN", "Unknown",
"Other")</f>
        <v>Medium Stay</v>
      </c>
    </row>
    <row r="1595" spans="1:11" x14ac:dyDescent="0.3">
      <c r="A1595" t="s">
        <v>4720</v>
      </c>
      <c r="B1595" t="s">
        <v>1844</v>
      </c>
      <c r="C1595" t="s">
        <v>30</v>
      </c>
      <c r="D1595" t="s">
        <v>4721</v>
      </c>
      <c r="E1595" t="s">
        <v>85</v>
      </c>
      <c r="F1595" t="s">
        <v>4722</v>
      </c>
      <c r="G1595" t="s">
        <v>1847</v>
      </c>
      <c r="H1595" t="s">
        <v>350</v>
      </c>
      <c r="I1595">
        <f t="shared" si="24"/>
        <v>3</v>
      </c>
      <c r="J1595" t="s">
        <v>27</v>
      </c>
      <c r="K1595" t="str" cm="1">
        <f t="array" ref="K1595">_xlfn.SWITCH(TRIM(UPPER(J1595)),
"BUSINESS", "Short Stay",
"CONFERENCE", "Medium Stay",
"VACATION", "Iong Stay",
"HOLIDAY", "Long Stay",
"V", "Leisure",
"UNKNOWN", "Unknown",
"Other")</f>
        <v>Medium Stay</v>
      </c>
    </row>
    <row r="1596" spans="1:11" x14ac:dyDescent="0.3">
      <c r="A1596" t="s">
        <v>4723</v>
      </c>
      <c r="B1596" t="s">
        <v>1017</v>
      </c>
      <c r="C1596" t="s">
        <v>30</v>
      </c>
      <c r="D1596" t="s">
        <v>2034</v>
      </c>
      <c r="E1596" t="s">
        <v>546</v>
      </c>
      <c r="F1596" t="s">
        <v>4724</v>
      </c>
      <c r="G1596" t="s">
        <v>1020</v>
      </c>
      <c r="H1596" t="s">
        <v>903</v>
      </c>
      <c r="I1596">
        <f t="shared" si="24"/>
        <v>4</v>
      </c>
      <c r="J1596" t="s">
        <v>18</v>
      </c>
      <c r="K1596" t="str" cm="1">
        <f t="array" ref="K1596">_xlfn.SWITCH(TRIM(UPPER(J1596)),
"BUSINESS", "Short Stay",
"CONFERENCE", "Medium Stay",
"VACATION", "Iong Stay",
"HOLIDAY", "Long Stay",
"V", "Leisure",
"UNKNOWN", "Unknown",
"Other")</f>
        <v>Short Stay</v>
      </c>
    </row>
    <row r="1597" spans="1:11" x14ac:dyDescent="0.3">
      <c r="A1597" t="s">
        <v>4725</v>
      </c>
      <c r="B1597" t="s">
        <v>863</v>
      </c>
      <c r="C1597" t="s">
        <v>174</v>
      </c>
      <c r="D1597" t="s">
        <v>3019</v>
      </c>
      <c r="E1597" t="s">
        <v>430</v>
      </c>
      <c r="F1597" t="s">
        <v>4726</v>
      </c>
      <c r="G1597" t="s">
        <v>548</v>
      </c>
      <c r="H1597" t="s">
        <v>344</v>
      </c>
      <c r="I1597">
        <f t="shared" si="24"/>
        <v>3</v>
      </c>
      <c r="J1597" t="s">
        <v>121</v>
      </c>
      <c r="K1597" t="str" cm="1">
        <f t="array" ref="K1597">_xlfn.SWITCH(TRIM(UPPER(J1597)),
"BUSINESS", "Short Stay",
"CONFERENCE", "Medium Stay",
"VACATION", "Iong Stay",
"HOLIDAY", "Long Stay",
"V", "Leisure",
"UNKNOWN", "Unknown",
"Other")</f>
        <v>Iong Stay</v>
      </c>
    </row>
    <row r="1598" spans="1:11" x14ac:dyDescent="0.3">
      <c r="A1598" t="s">
        <v>4727</v>
      </c>
      <c r="B1598" t="s">
        <v>1933</v>
      </c>
      <c r="C1598" t="s">
        <v>61</v>
      </c>
      <c r="D1598" t="s">
        <v>4728</v>
      </c>
      <c r="E1598" t="s">
        <v>176</v>
      </c>
      <c r="F1598" t="s">
        <v>4729</v>
      </c>
      <c r="G1598" t="s">
        <v>726</v>
      </c>
      <c r="H1598" t="s">
        <v>739</v>
      </c>
      <c r="I1598">
        <f t="shared" si="24"/>
        <v>5</v>
      </c>
      <c r="J1598" t="s">
        <v>121</v>
      </c>
      <c r="K1598" t="str" cm="1">
        <f t="array" ref="K1598">_xlfn.SWITCH(TRIM(UPPER(J1598)),
"BUSINESS", "Short Stay",
"CONFERENCE", "Medium Stay",
"VACATION", "Iong Stay",
"HOLIDAY", "Long Stay",
"V", "Leisure",
"UNKNOWN", "Unknown",
"Other")</f>
        <v>Iong Stay</v>
      </c>
    </row>
    <row r="1599" spans="1:11" x14ac:dyDescent="0.3">
      <c r="A1599" t="s">
        <v>4730</v>
      </c>
      <c r="B1599" t="s">
        <v>67</v>
      </c>
      <c r="C1599" t="s">
        <v>30</v>
      </c>
      <c r="D1599" t="s">
        <v>2191</v>
      </c>
      <c r="E1599" t="s">
        <v>546</v>
      </c>
      <c r="F1599" t="s">
        <v>4731</v>
      </c>
      <c r="G1599" t="s">
        <v>71</v>
      </c>
      <c r="H1599" t="s">
        <v>931</v>
      </c>
      <c r="I1599">
        <f t="shared" si="24"/>
        <v>5</v>
      </c>
      <c r="J1599" t="s">
        <v>121</v>
      </c>
      <c r="K1599" t="str" cm="1">
        <f t="array" ref="K1599">_xlfn.SWITCH(TRIM(UPPER(J1599)),
"BUSINESS", "Short Stay",
"CONFERENCE", "Medium Stay",
"VACATION", "Iong Stay",
"HOLIDAY", "Long Stay",
"V", "Leisure",
"UNKNOWN", "Unknown",
"Other")</f>
        <v>Iong Stay</v>
      </c>
    </row>
    <row r="1600" spans="1:11" x14ac:dyDescent="0.3">
      <c r="A1600" t="s">
        <v>4732</v>
      </c>
      <c r="B1600" t="s">
        <v>306</v>
      </c>
      <c r="C1600" t="s">
        <v>54</v>
      </c>
      <c r="D1600" t="s">
        <v>3917</v>
      </c>
      <c r="E1600" t="s">
        <v>156</v>
      </c>
      <c r="F1600" t="s">
        <v>4733</v>
      </c>
      <c r="G1600" t="s">
        <v>309</v>
      </c>
      <c r="H1600" t="s">
        <v>310</v>
      </c>
      <c r="I1600">
        <f t="shared" si="24"/>
        <v>4</v>
      </c>
      <c r="J1600" t="s">
        <v>27</v>
      </c>
      <c r="K1600" t="str" cm="1">
        <f t="array" ref="K1600">_xlfn.SWITCH(TRIM(UPPER(J1600)),
"BUSINESS", "Short Stay",
"CONFERENCE", "Medium Stay",
"VACATION", "Iong Stay",
"HOLIDAY", "Long Stay",
"V", "Leisure",
"UNKNOWN", "Unknown",
"Other")</f>
        <v>Medium Stay</v>
      </c>
    </row>
    <row r="1601" spans="1:11" x14ac:dyDescent="0.3">
      <c r="A1601" t="s">
        <v>4734</v>
      </c>
      <c r="B1601" t="s">
        <v>247</v>
      </c>
      <c r="C1601" t="s">
        <v>75</v>
      </c>
      <c r="D1601" t="s">
        <v>2708</v>
      </c>
      <c r="E1601" t="s">
        <v>32</v>
      </c>
      <c r="F1601" t="s">
        <v>3484</v>
      </c>
      <c r="G1601" t="s">
        <v>250</v>
      </c>
      <c r="H1601" t="s">
        <v>1048</v>
      </c>
      <c r="I1601">
        <f t="shared" si="24"/>
        <v>4</v>
      </c>
      <c r="J1601" t="s">
        <v>18</v>
      </c>
      <c r="K1601" t="str" cm="1">
        <f t="array" ref="K1601">_xlfn.SWITCH(TRIM(UPPER(J1601)),
"BUSINESS", "Short Stay",
"CONFERENCE", "Medium Stay",
"VACATION", "Iong Stay",
"HOLIDAY", "Long Stay",
"V", "Leisure",
"UNKNOWN", "Unknown",
"Other")</f>
        <v>Short Stay</v>
      </c>
    </row>
    <row r="1602" spans="1:11" x14ac:dyDescent="0.3">
      <c r="A1602" t="s">
        <v>4735</v>
      </c>
      <c r="B1602" t="s">
        <v>1273</v>
      </c>
      <c r="C1602" t="s">
        <v>83</v>
      </c>
      <c r="D1602" t="s">
        <v>4224</v>
      </c>
      <c r="E1602" t="s">
        <v>149</v>
      </c>
      <c r="F1602" t="s">
        <v>4736</v>
      </c>
      <c r="G1602" t="s">
        <v>797</v>
      </c>
      <c r="H1602" t="s">
        <v>1759</v>
      </c>
      <c r="I1602">
        <f t="shared" si="24"/>
        <v>1</v>
      </c>
      <c r="J1602" t="s">
        <v>44</v>
      </c>
      <c r="K1602" t="str" cm="1">
        <f t="array" ref="K1602">_xlfn.SWITCH(TRIM(UPPER(J1602)),
"BUSINESS", "Short Stay",
"CONFERENCE", "Medium Stay",
"VACATION", "Iong Stay",
"HOLIDAY", "Long Stay",
"V", "Leisure",
"UNKNOWN", "Unknown",
"Other")</f>
        <v>Other</v>
      </c>
    </row>
    <row r="1603" spans="1:11" x14ac:dyDescent="0.3">
      <c r="A1603" t="s">
        <v>4737</v>
      </c>
      <c r="B1603" t="s">
        <v>294</v>
      </c>
      <c r="C1603" t="s">
        <v>12</v>
      </c>
      <c r="D1603" t="s">
        <v>2726</v>
      </c>
      <c r="E1603" t="s">
        <v>214</v>
      </c>
      <c r="F1603" t="s">
        <v>4738</v>
      </c>
      <c r="G1603" t="s">
        <v>297</v>
      </c>
      <c r="H1603" t="s">
        <v>227</v>
      </c>
      <c r="I1603">
        <f t="shared" ref="I1603:I1666" si="25">H1603-G1603</f>
        <v>2</v>
      </c>
      <c r="J1603" t="s">
        <v>121</v>
      </c>
      <c r="K1603" t="str" cm="1">
        <f t="array" ref="K1603">_xlfn.SWITCH(TRIM(UPPER(J1603)),
"BUSINESS", "Short Stay",
"CONFERENCE", "Medium Stay",
"VACATION", "Iong Stay",
"HOLIDAY", "Long Stay",
"V", "Leisure",
"UNKNOWN", "Unknown",
"Other")</f>
        <v>Iong Stay</v>
      </c>
    </row>
    <row r="1604" spans="1:11" x14ac:dyDescent="0.3">
      <c r="A1604" t="s">
        <v>4739</v>
      </c>
      <c r="B1604" t="s">
        <v>1162</v>
      </c>
      <c r="C1604" t="s">
        <v>83</v>
      </c>
      <c r="D1604" t="s">
        <v>1672</v>
      </c>
      <c r="E1604" t="s">
        <v>149</v>
      </c>
      <c r="F1604" t="s">
        <v>4740</v>
      </c>
      <c r="G1604" t="s">
        <v>1164</v>
      </c>
      <c r="H1604" t="s">
        <v>1160</v>
      </c>
      <c r="I1604">
        <f t="shared" si="25"/>
        <v>5</v>
      </c>
      <c r="J1604" t="s">
        <v>121</v>
      </c>
      <c r="K1604" t="str" cm="1">
        <f t="array" ref="K1604">_xlfn.SWITCH(TRIM(UPPER(J1604)),
"BUSINESS", "Short Stay",
"CONFERENCE", "Medium Stay",
"VACATION", "Iong Stay",
"HOLIDAY", "Long Stay",
"V", "Leisure",
"UNKNOWN", "Unknown",
"Other")</f>
        <v>Iong Stay</v>
      </c>
    </row>
    <row r="1605" spans="1:11" x14ac:dyDescent="0.3">
      <c r="A1605" t="s">
        <v>4741</v>
      </c>
      <c r="B1605" t="s">
        <v>324</v>
      </c>
      <c r="C1605" t="s">
        <v>174</v>
      </c>
      <c r="D1605" t="s">
        <v>2201</v>
      </c>
      <c r="E1605" t="s">
        <v>23</v>
      </c>
      <c r="F1605" t="s">
        <v>4742</v>
      </c>
      <c r="G1605" t="s">
        <v>327</v>
      </c>
      <c r="H1605" t="s">
        <v>328</v>
      </c>
      <c r="I1605">
        <f t="shared" si="25"/>
        <v>5</v>
      </c>
      <c r="J1605" t="s">
        <v>18</v>
      </c>
      <c r="K1605" t="str" cm="1">
        <f t="array" ref="K1605">_xlfn.SWITCH(TRIM(UPPER(J1605)),
"BUSINESS", "Short Stay",
"CONFERENCE", "Medium Stay",
"VACATION", "Iong Stay",
"HOLIDAY", "Long Stay",
"V", "Leisure",
"UNKNOWN", "Unknown",
"Other")</f>
        <v>Short Stay</v>
      </c>
    </row>
    <row r="1606" spans="1:11" x14ac:dyDescent="0.3">
      <c r="A1606" t="s">
        <v>4743</v>
      </c>
      <c r="B1606" t="s">
        <v>109</v>
      </c>
      <c r="C1606" t="s">
        <v>174</v>
      </c>
      <c r="D1606" t="s">
        <v>3552</v>
      </c>
      <c r="E1606" t="s">
        <v>176</v>
      </c>
      <c r="F1606" t="s">
        <v>4744</v>
      </c>
      <c r="G1606" t="s">
        <v>112</v>
      </c>
      <c r="H1606" t="s">
        <v>426</v>
      </c>
      <c r="I1606">
        <f t="shared" si="25"/>
        <v>4</v>
      </c>
      <c r="J1606" t="s">
        <v>27</v>
      </c>
      <c r="K1606" t="str" cm="1">
        <f t="array" ref="K1606">_xlfn.SWITCH(TRIM(UPPER(J1606)),
"BUSINESS", "Short Stay",
"CONFERENCE", "Medium Stay",
"VACATION", "Iong Stay",
"HOLIDAY", "Long Stay",
"V", "Leisure",
"UNKNOWN", "Unknown",
"Other")</f>
        <v>Medium Stay</v>
      </c>
    </row>
    <row r="1607" spans="1:11" x14ac:dyDescent="0.3">
      <c r="A1607" t="s">
        <v>4745</v>
      </c>
      <c r="B1607" t="s">
        <v>1017</v>
      </c>
      <c r="C1607" t="s">
        <v>21</v>
      </c>
      <c r="D1607" t="s">
        <v>4746</v>
      </c>
      <c r="E1607" t="s">
        <v>476</v>
      </c>
      <c r="F1607" t="s">
        <v>3507</v>
      </c>
      <c r="G1607" t="s">
        <v>1020</v>
      </c>
      <c r="H1607" t="s">
        <v>1220</v>
      </c>
      <c r="I1607">
        <f t="shared" si="25"/>
        <v>2</v>
      </c>
      <c r="J1607" t="s">
        <v>18</v>
      </c>
      <c r="K1607" t="str" cm="1">
        <f t="array" ref="K1607">_xlfn.SWITCH(TRIM(UPPER(J1607)),
"BUSINESS", "Short Stay",
"CONFERENCE", "Medium Stay",
"VACATION", "Iong Stay",
"HOLIDAY", "Long Stay",
"V", "Leisure",
"UNKNOWN", "Unknown",
"Other")</f>
        <v>Short Stay</v>
      </c>
    </row>
    <row r="1608" spans="1:11" x14ac:dyDescent="0.3">
      <c r="A1608" t="s">
        <v>4747</v>
      </c>
      <c r="B1608" t="s">
        <v>1757</v>
      </c>
      <c r="C1608" t="s">
        <v>21</v>
      </c>
      <c r="D1608" t="s">
        <v>832</v>
      </c>
      <c r="E1608" t="s">
        <v>458</v>
      </c>
      <c r="F1608" t="s">
        <v>4748</v>
      </c>
      <c r="G1608" t="s">
        <v>1759</v>
      </c>
      <c r="H1608" t="s">
        <v>126</v>
      </c>
      <c r="I1608">
        <f t="shared" si="25"/>
        <v>4</v>
      </c>
      <c r="J1608" t="s">
        <v>18</v>
      </c>
      <c r="K1608" t="str" cm="1">
        <f t="array" ref="K1608">_xlfn.SWITCH(TRIM(UPPER(J1608)),
"BUSINESS", "Short Stay",
"CONFERENCE", "Medium Stay",
"VACATION", "Iong Stay",
"HOLIDAY", "Long Stay",
"V", "Leisure",
"UNKNOWN", "Unknown",
"Other")</f>
        <v>Short Stay</v>
      </c>
    </row>
    <row r="1609" spans="1:11" x14ac:dyDescent="0.3">
      <c r="A1609" t="s">
        <v>4749</v>
      </c>
      <c r="B1609" t="s">
        <v>218</v>
      </c>
      <c r="C1609" t="s">
        <v>97</v>
      </c>
      <c r="D1609" t="s">
        <v>666</v>
      </c>
      <c r="E1609" t="s">
        <v>201</v>
      </c>
      <c r="F1609" t="s">
        <v>4750</v>
      </c>
      <c r="G1609" t="s">
        <v>221</v>
      </c>
      <c r="H1609" t="s">
        <v>178</v>
      </c>
      <c r="I1609">
        <f t="shared" si="25"/>
        <v>5</v>
      </c>
      <c r="J1609" t="s">
        <v>27</v>
      </c>
      <c r="K1609" t="str" cm="1">
        <f t="array" ref="K1609">_xlfn.SWITCH(TRIM(UPPER(J1609)),
"BUSINESS", "Short Stay",
"CONFERENCE", "Medium Stay",
"VACATION", "Iong Stay",
"HOLIDAY", "Long Stay",
"V", "Leisure",
"UNKNOWN", "Unknown",
"Other")</f>
        <v>Medium Stay</v>
      </c>
    </row>
    <row r="1610" spans="1:11" x14ac:dyDescent="0.3">
      <c r="A1610" t="s">
        <v>4751</v>
      </c>
      <c r="B1610" t="s">
        <v>2374</v>
      </c>
      <c r="C1610" t="s">
        <v>61</v>
      </c>
      <c r="D1610" t="s">
        <v>2261</v>
      </c>
      <c r="E1610" t="s">
        <v>40</v>
      </c>
      <c r="F1610" t="s">
        <v>4752</v>
      </c>
      <c r="G1610" t="s">
        <v>113</v>
      </c>
      <c r="H1610" t="s">
        <v>1151</v>
      </c>
      <c r="I1610">
        <f t="shared" si="25"/>
        <v>5</v>
      </c>
      <c r="J1610" t="s">
        <v>44</v>
      </c>
      <c r="K1610" t="str" cm="1">
        <f t="array" ref="K1610">_xlfn.SWITCH(TRIM(UPPER(J1610)),
"BUSINESS", "Short Stay",
"CONFERENCE", "Medium Stay",
"VACATION", "Iong Stay",
"HOLIDAY", "Long Stay",
"V", "Leisure",
"UNKNOWN", "Unknown",
"Other")</f>
        <v>Other</v>
      </c>
    </row>
    <row r="1611" spans="1:11" x14ac:dyDescent="0.3">
      <c r="A1611" t="s">
        <v>4753</v>
      </c>
      <c r="B1611" t="s">
        <v>380</v>
      </c>
      <c r="C1611" t="s">
        <v>61</v>
      </c>
      <c r="D1611" t="s">
        <v>4754</v>
      </c>
      <c r="E1611" t="s">
        <v>214</v>
      </c>
      <c r="F1611" t="s">
        <v>4755</v>
      </c>
      <c r="G1611" t="s">
        <v>383</v>
      </c>
      <c r="H1611" t="s">
        <v>490</v>
      </c>
      <c r="I1611">
        <f t="shared" si="25"/>
        <v>4</v>
      </c>
      <c r="J1611" t="s">
        <v>18</v>
      </c>
      <c r="K1611" t="str" cm="1">
        <f t="array" ref="K1611">_xlfn.SWITCH(TRIM(UPPER(J1611)),
"BUSINESS", "Short Stay",
"CONFERENCE", "Medium Stay",
"VACATION", "Iong Stay",
"HOLIDAY", "Long Stay",
"V", "Leisure",
"UNKNOWN", "Unknown",
"Other")</f>
        <v>Short Stay</v>
      </c>
    </row>
    <row r="1612" spans="1:11" x14ac:dyDescent="0.3">
      <c r="A1612" t="s">
        <v>4756</v>
      </c>
      <c r="B1612" t="s">
        <v>1795</v>
      </c>
      <c r="C1612" t="s">
        <v>54</v>
      </c>
      <c r="D1612" t="s">
        <v>76</v>
      </c>
      <c r="E1612" t="s">
        <v>458</v>
      </c>
      <c r="F1612" t="s">
        <v>4757</v>
      </c>
      <c r="G1612" t="s">
        <v>1797</v>
      </c>
      <c r="H1612" t="s">
        <v>725</v>
      </c>
      <c r="I1612">
        <f t="shared" si="25"/>
        <v>2</v>
      </c>
      <c r="J1612" t="s">
        <v>44</v>
      </c>
      <c r="K1612" t="str" cm="1">
        <f t="array" ref="K1612">_xlfn.SWITCH(TRIM(UPPER(J1612)),
"BUSINESS", "Short Stay",
"CONFERENCE", "Medium Stay",
"VACATION", "Iong Stay",
"HOLIDAY", "Long Stay",
"V", "Leisure",
"UNKNOWN", "Unknown",
"Other")</f>
        <v>Other</v>
      </c>
    </row>
    <row r="1613" spans="1:11" x14ac:dyDescent="0.3">
      <c r="A1613" t="s">
        <v>4758</v>
      </c>
      <c r="B1613" t="s">
        <v>268</v>
      </c>
      <c r="C1613" t="s">
        <v>174</v>
      </c>
      <c r="D1613" t="s">
        <v>4759</v>
      </c>
      <c r="E1613" t="s">
        <v>156</v>
      </c>
      <c r="F1613" t="s">
        <v>4760</v>
      </c>
      <c r="G1613" t="s">
        <v>271</v>
      </c>
      <c r="H1613" t="s">
        <v>171</v>
      </c>
      <c r="I1613">
        <f t="shared" si="25"/>
        <v>4</v>
      </c>
      <c r="J1613" t="s">
        <v>121</v>
      </c>
      <c r="K1613" t="str" cm="1">
        <f t="array" ref="K1613">_xlfn.SWITCH(TRIM(UPPER(J1613)),
"BUSINESS", "Short Stay",
"CONFERENCE", "Medium Stay",
"VACATION", "Iong Stay",
"HOLIDAY", "Long Stay",
"V", "Leisure",
"UNKNOWN", "Unknown",
"Other")</f>
        <v>Iong Stay</v>
      </c>
    </row>
    <row r="1614" spans="1:11" x14ac:dyDescent="0.3">
      <c r="A1614" t="s">
        <v>4761</v>
      </c>
      <c r="B1614" t="s">
        <v>858</v>
      </c>
      <c r="C1614" t="s">
        <v>83</v>
      </c>
      <c r="D1614" t="s">
        <v>1569</v>
      </c>
      <c r="E1614" t="s">
        <v>69</v>
      </c>
      <c r="F1614" t="s">
        <v>2751</v>
      </c>
      <c r="G1614" t="s">
        <v>861</v>
      </c>
      <c r="H1614" t="s">
        <v>764</v>
      </c>
      <c r="I1614">
        <f t="shared" si="25"/>
        <v>2</v>
      </c>
      <c r="J1614" t="s">
        <v>44</v>
      </c>
      <c r="K1614" t="str" cm="1">
        <f t="array" ref="K1614">_xlfn.SWITCH(TRIM(UPPER(J1614)),
"BUSINESS", "Short Stay",
"CONFERENCE", "Medium Stay",
"VACATION", "Iong Stay",
"HOLIDAY", "Long Stay",
"V", "Leisure",
"UNKNOWN", "Unknown",
"Other")</f>
        <v>Other</v>
      </c>
    </row>
    <row r="1615" spans="1:11" x14ac:dyDescent="0.3">
      <c r="A1615" t="s">
        <v>4762</v>
      </c>
      <c r="B1615" t="s">
        <v>353</v>
      </c>
      <c r="C1615" t="s">
        <v>38</v>
      </c>
      <c r="D1615" t="s">
        <v>4206</v>
      </c>
      <c r="E1615" t="s">
        <v>156</v>
      </c>
      <c r="F1615" t="s">
        <v>4763</v>
      </c>
      <c r="G1615" t="s">
        <v>356</v>
      </c>
      <c r="H1615" t="s">
        <v>1670</v>
      </c>
      <c r="I1615">
        <f t="shared" si="25"/>
        <v>1</v>
      </c>
      <c r="J1615" t="s">
        <v>44</v>
      </c>
      <c r="K1615" t="str" cm="1">
        <f t="array" ref="K1615">_xlfn.SWITCH(TRIM(UPPER(J1615)),
"BUSINESS", "Short Stay",
"CONFERENCE", "Medium Stay",
"VACATION", "Iong Stay",
"HOLIDAY", "Long Stay",
"V", "Leisure",
"UNKNOWN", "Unknown",
"Other")</f>
        <v>Other</v>
      </c>
    </row>
    <row r="1616" spans="1:11" x14ac:dyDescent="0.3">
      <c r="A1616" t="s">
        <v>4764</v>
      </c>
      <c r="B1616" t="s">
        <v>212</v>
      </c>
      <c r="C1616" t="s">
        <v>12</v>
      </c>
      <c r="D1616" t="s">
        <v>4765</v>
      </c>
      <c r="E1616" t="s">
        <v>314</v>
      </c>
      <c r="F1616" t="s">
        <v>4766</v>
      </c>
      <c r="G1616" t="s">
        <v>165</v>
      </c>
      <c r="H1616" t="s">
        <v>216</v>
      </c>
      <c r="I1616">
        <f t="shared" si="25"/>
        <v>1</v>
      </c>
      <c r="J1616" t="s">
        <v>27</v>
      </c>
      <c r="K1616" t="str" cm="1">
        <f t="array" ref="K1616">_xlfn.SWITCH(TRIM(UPPER(J1616)),
"BUSINESS", "Short Stay",
"CONFERENCE", "Medium Stay",
"VACATION", "Iong Stay",
"HOLIDAY", "Long Stay",
"V", "Leisure",
"UNKNOWN", "Unknown",
"Other")</f>
        <v>Medium Stay</v>
      </c>
    </row>
    <row r="1617" spans="1:11" x14ac:dyDescent="0.3">
      <c r="A1617" t="s">
        <v>4767</v>
      </c>
      <c r="B1617" t="s">
        <v>2717</v>
      </c>
      <c r="C1617" t="s">
        <v>75</v>
      </c>
      <c r="D1617" t="s">
        <v>3639</v>
      </c>
      <c r="E1617" t="s">
        <v>117</v>
      </c>
      <c r="F1617" t="s">
        <v>4768</v>
      </c>
      <c r="G1617" t="s">
        <v>239</v>
      </c>
      <c r="H1617" t="s">
        <v>903</v>
      </c>
      <c r="I1617">
        <f t="shared" si="25"/>
        <v>5</v>
      </c>
      <c r="J1617" t="s">
        <v>27</v>
      </c>
      <c r="K1617" t="str" cm="1">
        <f t="array" ref="K1617">_xlfn.SWITCH(TRIM(UPPER(J1617)),
"BUSINESS", "Short Stay",
"CONFERENCE", "Medium Stay",
"VACATION", "Iong Stay",
"HOLIDAY", "Long Stay",
"V", "Leisure",
"UNKNOWN", "Unknown",
"Other")</f>
        <v>Medium Stay</v>
      </c>
    </row>
    <row r="1618" spans="1:11" x14ac:dyDescent="0.3">
      <c r="A1618" t="s">
        <v>4769</v>
      </c>
      <c r="B1618" t="s">
        <v>1451</v>
      </c>
      <c r="C1618" t="s">
        <v>174</v>
      </c>
      <c r="D1618" t="s">
        <v>4286</v>
      </c>
      <c r="E1618" t="s">
        <v>69</v>
      </c>
      <c r="F1618" t="s">
        <v>4770</v>
      </c>
      <c r="G1618" t="s">
        <v>615</v>
      </c>
      <c r="H1618" t="s">
        <v>1204</v>
      </c>
      <c r="I1618">
        <f t="shared" si="25"/>
        <v>5</v>
      </c>
      <c r="J1618" t="s">
        <v>121</v>
      </c>
      <c r="K1618" t="str" cm="1">
        <f t="array" ref="K1618">_xlfn.SWITCH(TRIM(UPPER(J1618)),
"BUSINESS", "Short Stay",
"CONFERENCE", "Medium Stay",
"VACATION", "Iong Stay",
"HOLIDAY", "Long Stay",
"V", "Leisure",
"UNKNOWN", "Unknown",
"Other")</f>
        <v>Iong Stay</v>
      </c>
    </row>
    <row r="1619" spans="1:11" x14ac:dyDescent="0.3">
      <c r="A1619" t="s">
        <v>4771</v>
      </c>
      <c r="B1619" t="s">
        <v>1997</v>
      </c>
      <c r="C1619" t="s">
        <v>61</v>
      </c>
      <c r="D1619" t="s">
        <v>360</v>
      </c>
      <c r="E1619" t="s">
        <v>149</v>
      </c>
      <c r="F1619" t="s">
        <v>4772</v>
      </c>
      <c r="G1619" t="s">
        <v>1199</v>
      </c>
      <c r="H1619" t="s">
        <v>222</v>
      </c>
      <c r="I1619">
        <f t="shared" si="25"/>
        <v>1</v>
      </c>
      <c r="J1619" t="s">
        <v>27</v>
      </c>
      <c r="K1619" t="str" cm="1">
        <f t="array" ref="K1619">_xlfn.SWITCH(TRIM(UPPER(J1619)),
"BUSINESS", "Short Stay",
"CONFERENCE", "Medium Stay",
"VACATION", "Iong Stay",
"HOLIDAY", "Long Stay",
"V", "Leisure",
"UNKNOWN", "Unknown",
"Other")</f>
        <v>Medium Stay</v>
      </c>
    </row>
    <row r="1620" spans="1:11" x14ac:dyDescent="0.3">
      <c r="A1620" t="s">
        <v>4773</v>
      </c>
      <c r="B1620" t="s">
        <v>1859</v>
      </c>
      <c r="C1620" t="s">
        <v>54</v>
      </c>
      <c r="D1620" t="s">
        <v>4641</v>
      </c>
      <c r="E1620" t="s">
        <v>149</v>
      </c>
      <c r="F1620" t="s">
        <v>4774</v>
      </c>
      <c r="G1620" t="s">
        <v>1861</v>
      </c>
      <c r="H1620" t="s">
        <v>1456</v>
      </c>
      <c r="I1620">
        <f t="shared" si="25"/>
        <v>5</v>
      </c>
      <c r="J1620" t="s">
        <v>44</v>
      </c>
      <c r="K1620" t="str" cm="1">
        <f t="array" ref="K1620">_xlfn.SWITCH(TRIM(UPPER(J1620)),
"BUSINESS", "Short Stay",
"CONFERENCE", "Medium Stay",
"VACATION", "Iong Stay",
"HOLIDAY", "Long Stay",
"V", "Leisure",
"UNKNOWN", "Unknown",
"Other")</f>
        <v>Other</v>
      </c>
    </row>
    <row r="1621" spans="1:11" x14ac:dyDescent="0.3">
      <c r="A1621" t="s">
        <v>4775</v>
      </c>
      <c r="B1621" t="s">
        <v>648</v>
      </c>
      <c r="C1621" t="s">
        <v>97</v>
      </c>
      <c r="D1621" t="s">
        <v>1466</v>
      </c>
      <c r="E1621" t="s">
        <v>156</v>
      </c>
      <c r="F1621" t="s">
        <v>4776</v>
      </c>
      <c r="G1621" t="s">
        <v>572</v>
      </c>
      <c r="H1621" t="s">
        <v>383</v>
      </c>
      <c r="I1621">
        <f t="shared" si="25"/>
        <v>4</v>
      </c>
      <c r="J1621" t="s">
        <v>27</v>
      </c>
      <c r="K1621" t="str" cm="1">
        <f t="array" ref="K1621">_xlfn.SWITCH(TRIM(UPPER(J1621)),
"BUSINESS", "Short Stay",
"CONFERENCE", "Medium Stay",
"VACATION", "Iong Stay",
"HOLIDAY", "Long Stay",
"V", "Leisure",
"UNKNOWN", "Unknown",
"Other")</f>
        <v>Medium Stay</v>
      </c>
    </row>
    <row r="1622" spans="1:11" x14ac:dyDescent="0.3">
      <c r="A1622" t="s">
        <v>4777</v>
      </c>
      <c r="B1622" t="s">
        <v>4778</v>
      </c>
      <c r="C1622" t="s">
        <v>75</v>
      </c>
      <c r="D1622" t="s">
        <v>4779</v>
      </c>
      <c r="E1622" t="s">
        <v>458</v>
      </c>
      <c r="F1622" t="s">
        <v>3044</v>
      </c>
      <c r="G1622" t="s">
        <v>1220</v>
      </c>
      <c r="H1622" t="s">
        <v>672</v>
      </c>
      <c r="I1622">
        <f t="shared" si="25"/>
        <v>1</v>
      </c>
      <c r="J1622" t="s">
        <v>44</v>
      </c>
      <c r="K1622" t="str" cm="1">
        <f t="array" ref="K1622">_xlfn.SWITCH(TRIM(UPPER(J1622)),
"BUSINESS", "Short Stay",
"CONFERENCE", "Medium Stay",
"VACATION", "Iong Stay",
"HOLIDAY", "Long Stay",
"V", "Leisure",
"UNKNOWN", "Unknown",
"Other")</f>
        <v>Other</v>
      </c>
    </row>
    <row r="1623" spans="1:11" x14ac:dyDescent="0.3">
      <c r="A1623" t="s">
        <v>4780</v>
      </c>
      <c r="B1623" t="s">
        <v>1835</v>
      </c>
      <c r="C1623" t="s">
        <v>38</v>
      </c>
      <c r="D1623" t="s">
        <v>2689</v>
      </c>
      <c r="E1623" t="s">
        <v>476</v>
      </c>
      <c r="F1623" t="s">
        <v>4781</v>
      </c>
      <c r="G1623" t="s">
        <v>803</v>
      </c>
      <c r="H1623" t="s">
        <v>120</v>
      </c>
      <c r="I1623">
        <f t="shared" si="25"/>
        <v>3</v>
      </c>
      <c r="J1623" t="s">
        <v>18</v>
      </c>
      <c r="K1623" t="str" cm="1">
        <f t="array" ref="K1623">_xlfn.SWITCH(TRIM(UPPER(J1623)),
"BUSINESS", "Short Stay",
"CONFERENCE", "Medium Stay",
"VACATION", "Iong Stay",
"HOLIDAY", "Long Stay",
"V", "Leisure",
"UNKNOWN", "Unknown",
"Other")</f>
        <v>Short Stay</v>
      </c>
    </row>
    <row r="1624" spans="1:11" x14ac:dyDescent="0.3">
      <c r="A1624" t="s">
        <v>4782</v>
      </c>
      <c r="B1624" t="s">
        <v>722</v>
      </c>
      <c r="C1624" t="s">
        <v>54</v>
      </c>
      <c r="D1624" t="s">
        <v>4783</v>
      </c>
      <c r="E1624" t="s">
        <v>149</v>
      </c>
      <c r="F1624" t="s">
        <v>4784</v>
      </c>
      <c r="G1624" t="s">
        <v>725</v>
      </c>
      <c r="H1624" t="s">
        <v>634</v>
      </c>
      <c r="I1624">
        <f t="shared" si="25"/>
        <v>4</v>
      </c>
      <c r="J1624" t="s">
        <v>121</v>
      </c>
      <c r="K1624" t="str" cm="1">
        <f t="array" ref="K1624">_xlfn.SWITCH(TRIM(UPPER(J1624)),
"BUSINESS", "Short Stay",
"CONFERENCE", "Medium Stay",
"VACATION", "Iong Stay",
"HOLIDAY", "Long Stay",
"V", "Leisure",
"UNKNOWN", "Unknown",
"Other")</f>
        <v>Iong Stay</v>
      </c>
    </row>
    <row r="1625" spans="1:11" x14ac:dyDescent="0.3">
      <c r="A1625" t="s">
        <v>4785</v>
      </c>
      <c r="B1625" t="s">
        <v>456</v>
      </c>
      <c r="C1625" t="s">
        <v>75</v>
      </c>
      <c r="D1625" t="s">
        <v>1499</v>
      </c>
      <c r="E1625" t="s">
        <v>546</v>
      </c>
      <c r="F1625" t="s">
        <v>4786</v>
      </c>
      <c r="G1625" t="s">
        <v>454</v>
      </c>
      <c r="H1625" t="s">
        <v>1195</v>
      </c>
      <c r="I1625">
        <f t="shared" si="25"/>
        <v>3</v>
      </c>
      <c r="J1625" t="s">
        <v>121</v>
      </c>
      <c r="K1625" t="str" cm="1">
        <f t="array" ref="K1625">_xlfn.SWITCH(TRIM(UPPER(J1625)),
"BUSINESS", "Short Stay",
"CONFERENCE", "Medium Stay",
"VACATION", "Iong Stay",
"HOLIDAY", "Long Stay",
"V", "Leisure",
"UNKNOWN", "Unknown",
"Other")</f>
        <v>Iong Stay</v>
      </c>
    </row>
    <row r="1626" spans="1:11" x14ac:dyDescent="0.3">
      <c r="A1626" t="s">
        <v>4787</v>
      </c>
      <c r="B1626" t="s">
        <v>1869</v>
      </c>
      <c r="C1626" t="s">
        <v>75</v>
      </c>
      <c r="D1626" t="s">
        <v>1088</v>
      </c>
      <c r="E1626" t="s">
        <v>85</v>
      </c>
      <c r="F1626" t="s">
        <v>4788</v>
      </c>
      <c r="G1626" t="s">
        <v>404</v>
      </c>
      <c r="H1626" t="s">
        <v>1020</v>
      </c>
      <c r="I1626">
        <f t="shared" si="25"/>
        <v>4</v>
      </c>
      <c r="J1626" t="s">
        <v>121</v>
      </c>
      <c r="K1626" t="str" cm="1">
        <f t="array" ref="K1626">_xlfn.SWITCH(TRIM(UPPER(J1626)),
"BUSINESS", "Short Stay",
"CONFERENCE", "Medium Stay",
"VACATION", "Iong Stay",
"HOLIDAY", "Long Stay",
"V", "Leisure",
"UNKNOWN", "Unknown",
"Other")</f>
        <v>Iong Stay</v>
      </c>
    </row>
    <row r="1627" spans="1:11" x14ac:dyDescent="0.3">
      <c r="A1627" t="s">
        <v>4789</v>
      </c>
      <c r="B1627" t="s">
        <v>841</v>
      </c>
      <c r="C1627" t="s">
        <v>21</v>
      </c>
      <c r="D1627" t="s">
        <v>1254</v>
      </c>
      <c r="E1627" t="s">
        <v>32</v>
      </c>
      <c r="F1627" t="s">
        <v>4790</v>
      </c>
      <c r="G1627" t="s">
        <v>844</v>
      </c>
      <c r="H1627" t="s">
        <v>861</v>
      </c>
      <c r="I1627">
        <f t="shared" si="25"/>
        <v>3</v>
      </c>
      <c r="J1627" t="s">
        <v>18</v>
      </c>
      <c r="K1627" t="str" cm="1">
        <f t="array" ref="K1627">_xlfn.SWITCH(TRIM(UPPER(J1627)),
"BUSINESS", "Short Stay",
"CONFERENCE", "Medium Stay",
"VACATION", "Iong Stay",
"HOLIDAY", "Long Stay",
"V", "Leisure",
"UNKNOWN", "Unknown",
"Other")</f>
        <v>Short Stay</v>
      </c>
    </row>
    <row r="1628" spans="1:11" x14ac:dyDescent="0.3">
      <c r="A1628" t="s">
        <v>4791</v>
      </c>
      <c r="B1628" t="s">
        <v>1032</v>
      </c>
      <c r="C1628" t="s">
        <v>21</v>
      </c>
      <c r="D1628" t="s">
        <v>1246</v>
      </c>
      <c r="E1628" t="s">
        <v>69</v>
      </c>
      <c r="F1628" t="s">
        <v>4047</v>
      </c>
      <c r="G1628" t="s">
        <v>1035</v>
      </c>
      <c r="H1628" t="s">
        <v>963</v>
      </c>
      <c r="I1628">
        <f t="shared" si="25"/>
        <v>3</v>
      </c>
      <c r="J1628" t="s">
        <v>18</v>
      </c>
      <c r="K1628" t="str" cm="1">
        <f t="array" ref="K1628">_xlfn.SWITCH(TRIM(UPPER(J1628)),
"BUSINESS", "Short Stay",
"CONFERENCE", "Medium Stay",
"VACATION", "Iong Stay",
"HOLIDAY", "Long Stay",
"V", "Leisure",
"UNKNOWN", "Unknown",
"Other")</f>
        <v>Short Stay</v>
      </c>
    </row>
    <row r="1629" spans="1:11" x14ac:dyDescent="0.3">
      <c r="A1629" t="s">
        <v>4792</v>
      </c>
      <c r="B1629" t="s">
        <v>809</v>
      </c>
      <c r="C1629" t="s">
        <v>97</v>
      </c>
      <c r="D1629" t="s">
        <v>4793</v>
      </c>
      <c r="E1629" t="s">
        <v>117</v>
      </c>
      <c r="F1629" t="s">
        <v>2780</v>
      </c>
      <c r="G1629" t="s">
        <v>812</v>
      </c>
      <c r="H1629" t="s">
        <v>813</v>
      </c>
      <c r="I1629">
        <f t="shared" si="25"/>
        <v>1</v>
      </c>
      <c r="J1629" t="s">
        <v>121</v>
      </c>
      <c r="K1629" t="str" cm="1">
        <f t="array" ref="K1629">_xlfn.SWITCH(TRIM(UPPER(J1629)),
"BUSINESS", "Short Stay",
"CONFERENCE", "Medium Stay",
"VACATION", "Iong Stay",
"HOLIDAY", "Long Stay",
"V", "Leisure",
"UNKNOWN", "Unknown",
"Other")</f>
        <v>Iong Stay</v>
      </c>
    </row>
    <row r="1630" spans="1:11" x14ac:dyDescent="0.3">
      <c r="A1630" t="s">
        <v>4794</v>
      </c>
      <c r="B1630" t="s">
        <v>2142</v>
      </c>
      <c r="C1630" t="s">
        <v>38</v>
      </c>
      <c r="D1630" t="s">
        <v>1780</v>
      </c>
      <c r="E1630" t="s">
        <v>176</v>
      </c>
      <c r="F1630" t="s">
        <v>4795</v>
      </c>
      <c r="G1630" t="s">
        <v>999</v>
      </c>
      <c r="H1630" t="s">
        <v>895</v>
      </c>
      <c r="I1630">
        <f t="shared" si="25"/>
        <v>1</v>
      </c>
      <c r="J1630" t="s">
        <v>121</v>
      </c>
      <c r="K1630" t="str" cm="1">
        <f t="array" ref="K1630">_xlfn.SWITCH(TRIM(UPPER(J1630)),
"BUSINESS", "Short Stay",
"CONFERENCE", "Medium Stay",
"VACATION", "Iong Stay",
"HOLIDAY", "Long Stay",
"V", "Leisure",
"UNKNOWN", "Unknown",
"Other")</f>
        <v>Iong Stay</v>
      </c>
    </row>
    <row r="1631" spans="1:11" x14ac:dyDescent="0.3">
      <c r="A1631" t="s">
        <v>4796</v>
      </c>
      <c r="B1631" t="s">
        <v>1055</v>
      </c>
      <c r="C1631" t="s">
        <v>174</v>
      </c>
      <c r="D1631" t="s">
        <v>1236</v>
      </c>
      <c r="E1631" t="s">
        <v>176</v>
      </c>
      <c r="F1631" t="s">
        <v>4797</v>
      </c>
      <c r="G1631" t="s">
        <v>310</v>
      </c>
      <c r="H1631" t="s">
        <v>1242</v>
      </c>
      <c r="I1631">
        <f t="shared" si="25"/>
        <v>1</v>
      </c>
      <c r="J1631" t="s">
        <v>27</v>
      </c>
      <c r="K1631" t="str" cm="1">
        <f t="array" ref="K1631">_xlfn.SWITCH(TRIM(UPPER(J1631)),
"BUSINESS", "Short Stay",
"CONFERENCE", "Medium Stay",
"VACATION", "Iong Stay",
"HOLIDAY", "Long Stay",
"V", "Leisure",
"UNKNOWN", "Unknown",
"Other")</f>
        <v>Medium Stay</v>
      </c>
    </row>
    <row r="1632" spans="1:11" x14ac:dyDescent="0.3">
      <c r="A1632" t="s">
        <v>4798</v>
      </c>
      <c r="B1632" t="s">
        <v>2572</v>
      </c>
      <c r="C1632" t="s">
        <v>83</v>
      </c>
      <c r="D1632" t="s">
        <v>1250</v>
      </c>
      <c r="E1632" t="s">
        <v>156</v>
      </c>
      <c r="F1632" t="s">
        <v>4799</v>
      </c>
      <c r="G1632" t="s">
        <v>1121</v>
      </c>
      <c r="H1632" t="s">
        <v>277</v>
      </c>
      <c r="I1632">
        <f t="shared" si="25"/>
        <v>5</v>
      </c>
      <c r="J1632" t="s">
        <v>18</v>
      </c>
      <c r="K1632" t="str" cm="1">
        <f t="array" ref="K1632">_xlfn.SWITCH(TRIM(UPPER(J1632)),
"BUSINESS", "Short Stay",
"CONFERENCE", "Medium Stay",
"VACATION", "Iong Stay",
"HOLIDAY", "Long Stay",
"V", "Leisure",
"UNKNOWN", "Unknown",
"Other")</f>
        <v>Short Stay</v>
      </c>
    </row>
    <row r="1633" spans="1:11" x14ac:dyDescent="0.3">
      <c r="A1633" t="s">
        <v>4800</v>
      </c>
      <c r="B1633" t="s">
        <v>3098</v>
      </c>
      <c r="C1633" t="s">
        <v>21</v>
      </c>
      <c r="D1633" t="s">
        <v>527</v>
      </c>
      <c r="E1633" t="s">
        <v>32</v>
      </c>
      <c r="F1633" t="s">
        <v>4801</v>
      </c>
      <c r="G1633" t="s">
        <v>2767</v>
      </c>
      <c r="H1633" t="s">
        <v>668</v>
      </c>
      <c r="I1633">
        <f t="shared" si="25"/>
        <v>3</v>
      </c>
      <c r="J1633" t="s">
        <v>44</v>
      </c>
      <c r="K1633" t="str" cm="1">
        <f t="array" ref="K1633">_xlfn.SWITCH(TRIM(UPPER(J1633)),
"BUSINESS", "Short Stay",
"CONFERENCE", "Medium Stay",
"VACATION", "Iong Stay",
"HOLIDAY", "Long Stay",
"V", "Leisure",
"UNKNOWN", "Unknown",
"Other")</f>
        <v>Other</v>
      </c>
    </row>
    <row r="1634" spans="1:11" x14ac:dyDescent="0.3">
      <c r="A1634" t="s">
        <v>4802</v>
      </c>
      <c r="B1634" t="s">
        <v>1353</v>
      </c>
      <c r="C1634" t="s">
        <v>38</v>
      </c>
      <c r="D1634" t="s">
        <v>136</v>
      </c>
      <c r="E1634" t="s">
        <v>63</v>
      </c>
      <c r="F1634" t="s">
        <v>4803</v>
      </c>
      <c r="G1634" t="s">
        <v>1356</v>
      </c>
      <c r="H1634" t="s">
        <v>1432</v>
      </c>
      <c r="I1634">
        <f t="shared" si="25"/>
        <v>1</v>
      </c>
      <c r="J1634" t="s">
        <v>27</v>
      </c>
      <c r="K1634" t="str" cm="1">
        <f t="array" ref="K1634">_xlfn.SWITCH(TRIM(UPPER(J1634)),
"BUSINESS", "Short Stay",
"CONFERENCE", "Medium Stay",
"VACATION", "Iong Stay",
"HOLIDAY", "Long Stay",
"V", "Leisure",
"UNKNOWN", "Unknown",
"Other")</f>
        <v>Medium Stay</v>
      </c>
    </row>
    <row r="1635" spans="1:11" x14ac:dyDescent="0.3">
      <c r="A1635" t="s">
        <v>4804</v>
      </c>
      <c r="B1635" t="s">
        <v>1009</v>
      </c>
      <c r="C1635" t="s">
        <v>61</v>
      </c>
      <c r="D1635" t="s">
        <v>4059</v>
      </c>
      <c r="E1635" t="s">
        <v>176</v>
      </c>
      <c r="F1635" t="s">
        <v>4805</v>
      </c>
      <c r="G1635" t="s">
        <v>1012</v>
      </c>
      <c r="H1635" t="s">
        <v>409</v>
      </c>
      <c r="I1635">
        <f t="shared" si="25"/>
        <v>4</v>
      </c>
      <c r="J1635" t="s">
        <v>18</v>
      </c>
      <c r="K1635" t="str" cm="1">
        <f t="array" ref="K1635">_xlfn.SWITCH(TRIM(UPPER(J1635)),
"BUSINESS", "Short Stay",
"CONFERENCE", "Medium Stay",
"VACATION", "Iong Stay",
"HOLIDAY", "Long Stay",
"V", "Leisure",
"UNKNOWN", "Unknown",
"Other")</f>
        <v>Short Stay</v>
      </c>
    </row>
    <row r="1636" spans="1:11" x14ac:dyDescent="0.3">
      <c r="A1636" t="s">
        <v>4806</v>
      </c>
      <c r="B1636" t="s">
        <v>262</v>
      </c>
      <c r="C1636" t="s">
        <v>83</v>
      </c>
      <c r="D1636" t="s">
        <v>2901</v>
      </c>
      <c r="E1636" t="s">
        <v>149</v>
      </c>
      <c r="F1636" t="s">
        <v>4807</v>
      </c>
      <c r="G1636" t="s">
        <v>265</v>
      </c>
      <c r="H1636" t="s">
        <v>473</v>
      </c>
      <c r="I1636">
        <f t="shared" si="25"/>
        <v>2</v>
      </c>
      <c r="J1636" t="s">
        <v>27</v>
      </c>
      <c r="K1636" t="str" cm="1">
        <f t="array" ref="K1636">_xlfn.SWITCH(TRIM(UPPER(J1636)),
"BUSINESS", "Short Stay",
"CONFERENCE", "Medium Stay",
"VACATION", "Iong Stay",
"HOLIDAY", "Long Stay",
"V", "Leisure",
"UNKNOWN", "Unknown",
"Other")</f>
        <v>Medium Stay</v>
      </c>
    </row>
    <row r="1637" spans="1:11" x14ac:dyDescent="0.3">
      <c r="A1637" t="s">
        <v>4808</v>
      </c>
      <c r="B1637" t="s">
        <v>1828</v>
      </c>
      <c r="C1637" t="s">
        <v>83</v>
      </c>
      <c r="D1637" t="s">
        <v>864</v>
      </c>
      <c r="E1637" t="s">
        <v>201</v>
      </c>
      <c r="F1637" t="s">
        <v>4809</v>
      </c>
      <c r="G1637" t="s">
        <v>1151</v>
      </c>
      <c r="H1637" t="s">
        <v>1058</v>
      </c>
      <c r="I1637">
        <f t="shared" si="25"/>
        <v>4</v>
      </c>
      <c r="J1637" t="s">
        <v>18</v>
      </c>
      <c r="K1637" t="str" cm="1">
        <f t="array" ref="K1637">_xlfn.SWITCH(TRIM(UPPER(J1637)),
"BUSINESS", "Short Stay",
"CONFERENCE", "Medium Stay",
"VACATION", "Iong Stay",
"HOLIDAY", "Long Stay",
"V", "Leisure",
"UNKNOWN", "Unknown",
"Other")</f>
        <v>Short Stay</v>
      </c>
    </row>
    <row r="1638" spans="1:11" x14ac:dyDescent="0.3">
      <c r="A1638" t="s">
        <v>4810</v>
      </c>
      <c r="B1638" t="s">
        <v>617</v>
      </c>
      <c r="C1638" t="s">
        <v>30</v>
      </c>
      <c r="D1638" t="s">
        <v>2591</v>
      </c>
      <c r="E1638" t="s">
        <v>69</v>
      </c>
      <c r="F1638" t="s">
        <v>4811</v>
      </c>
      <c r="G1638" t="s">
        <v>620</v>
      </c>
      <c r="H1638" t="s">
        <v>958</v>
      </c>
      <c r="I1638">
        <f t="shared" si="25"/>
        <v>2</v>
      </c>
      <c r="J1638" t="s">
        <v>27</v>
      </c>
      <c r="K1638" t="str" cm="1">
        <f t="array" ref="K1638">_xlfn.SWITCH(TRIM(UPPER(J1638)),
"BUSINESS", "Short Stay",
"CONFERENCE", "Medium Stay",
"VACATION", "Iong Stay",
"HOLIDAY", "Long Stay",
"V", "Leisure",
"UNKNOWN", "Unknown",
"Other")</f>
        <v>Medium Stay</v>
      </c>
    </row>
    <row r="1639" spans="1:11" x14ac:dyDescent="0.3">
      <c r="A1639" t="s">
        <v>4812</v>
      </c>
      <c r="B1639" t="s">
        <v>1368</v>
      </c>
      <c r="C1639" t="s">
        <v>21</v>
      </c>
      <c r="D1639" t="s">
        <v>1179</v>
      </c>
      <c r="E1639" t="s">
        <v>85</v>
      </c>
      <c r="F1639" t="s">
        <v>4813</v>
      </c>
      <c r="G1639" t="s">
        <v>941</v>
      </c>
      <c r="H1639" t="s">
        <v>1371</v>
      </c>
      <c r="I1639">
        <f t="shared" si="25"/>
        <v>4</v>
      </c>
      <c r="J1639" t="s">
        <v>44</v>
      </c>
      <c r="K1639" t="str" cm="1">
        <f t="array" ref="K1639">_xlfn.SWITCH(TRIM(UPPER(J1639)),
"BUSINESS", "Short Stay",
"CONFERENCE", "Medium Stay",
"VACATION", "Iong Stay",
"HOLIDAY", "Long Stay",
"V", "Leisure",
"UNKNOWN", "Unknown",
"Other")</f>
        <v>Other</v>
      </c>
    </row>
    <row r="1640" spans="1:11" x14ac:dyDescent="0.3">
      <c r="A1640" t="s">
        <v>4814</v>
      </c>
      <c r="B1640" t="s">
        <v>129</v>
      </c>
      <c r="C1640" t="s">
        <v>12</v>
      </c>
      <c r="D1640" t="s">
        <v>800</v>
      </c>
      <c r="E1640" t="s">
        <v>23</v>
      </c>
      <c r="F1640" t="s">
        <v>4815</v>
      </c>
      <c r="G1640" t="s">
        <v>132</v>
      </c>
      <c r="H1640" t="s">
        <v>133</v>
      </c>
      <c r="I1640">
        <f t="shared" si="25"/>
        <v>4</v>
      </c>
      <c r="J1640" t="s">
        <v>27</v>
      </c>
      <c r="K1640" t="str" cm="1">
        <f t="array" ref="K1640">_xlfn.SWITCH(TRIM(UPPER(J1640)),
"BUSINESS", "Short Stay",
"CONFERENCE", "Medium Stay",
"VACATION", "Iong Stay",
"HOLIDAY", "Long Stay",
"V", "Leisure",
"UNKNOWN", "Unknown",
"Other")</f>
        <v>Medium Stay</v>
      </c>
    </row>
    <row r="1641" spans="1:11" x14ac:dyDescent="0.3">
      <c r="A1641" t="s">
        <v>4816</v>
      </c>
      <c r="B1641" t="s">
        <v>90</v>
      </c>
      <c r="C1641" t="s">
        <v>75</v>
      </c>
      <c r="D1641" t="s">
        <v>4721</v>
      </c>
      <c r="E1641" t="s">
        <v>48</v>
      </c>
      <c r="F1641" t="s">
        <v>4817</v>
      </c>
      <c r="G1641" t="s">
        <v>93</v>
      </c>
      <c r="H1641" t="s">
        <v>731</v>
      </c>
      <c r="I1641">
        <f t="shared" si="25"/>
        <v>5</v>
      </c>
      <c r="J1641" t="s">
        <v>121</v>
      </c>
      <c r="K1641" t="str" cm="1">
        <f t="array" ref="K1641">_xlfn.SWITCH(TRIM(UPPER(J1641)),
"BUSINESS", "Short Stay",
"CONFERENCE", "Medium Stay",
"VACATION", "Iong Stay",
"HOLIDAY", "Long Stay",
"V", "Leisure",
"UNKNOWN", "Unknown",
"Other")</f>
        <v>Iong Stay</v>
      </c>
    </row>
    <row r="1642" spans="1:11" x14ac:dyDescent="0.3">
      <c r="A1642" t="s">
        <v>4818</v>
      </c>
      <c r="B1642" t="s">
        <v>235</v>
      </c>
      <c r="C1642" t="s">
        <v>54</v>
      </c>
      <c r="D1642" t="s">
        <v>4236</v>
      </c>
      <c r="E1642" t="s">
        <v>23</v>
      </c>
      <c r="F1642" t="s">
        <v>4819</v>
      </c>
      <c r="G1642" t="s">
        <v>238</v>
      </c>
      <c r="H1642" t="s">
        <v>239</v>
      </c>
      <c r="I1642">
        <f t="shared" si="25"/>
        <v>5</v>
      </c>
      <c r="J1642" t="s">
        <v>44</v>
      </c>
      <c r="K1642" t="str" cm="1">
        <f t="array" ref="K1642">_xlfn.SWITCH(TRIM(UPPER(J1642)),
"BUSINESS", "Short Stay",
"CONFERENCE", "Medium Stay",
"VACATION", "Iong Stay",
"HOLIDAY", "Long Stay",
"V", "Leisure",
"UNKNOWN", "Unknown",
"Other")</f>
        <v>Other</v>
      </c>
    </row>
    <row r="1643" spans="1:11" x14ac:dyDescent="0.3">
      <c r="A1643" t="s">
        <v>4820</v>
      </c>
      <c r="B1643" t="s">
        <v>643</v>
      </c>
      <c r="C1643" t="s">
        <v>97</v>
      </c>
      <c r="D1643" t="s">
        <v>1010</v>
      </c>
      <c r="E1643" t="s">
        <v>176</v>
      </c>
      <c r="F1643" t="s">
        <v>4821</v>
      </c>
      <c r="G1643" t="s">
        <v>645</v>
      </c>
      <c r="H1643" t="s">
        <v>646</v>
      </c>
      <c r="I1643">
        <f t="shared" si="25"/>
        <v>3</v>
      </c>
      <c r="J1643" t="s">
        <v>121</v>
      </c>
      <c r="K1643" t="str" cm="1">
        <f t="array" ref="K1643">_xlfn.SWITCH(TRIM(UPPER(J1643)),
"BUSINESS", "Short Stay",
"CONFERENCE", "Medium Stay",
"VACATION", "Iong Stay",
"HOLIDAY", "Long Stay",
"V", "Leisure",
"UNKNOWN", "Unknown",
"Other")</f>
        <v>Iong Stay</v>
      </c>
    </row>
    <row r="1644" spans="1:11" x14ac:dyDescent="0.3">
      <c r="A1644" t="s">
        <v>4822</v>
      </c>
      <c r="B1644" t="s">
        <v>2073</v>
      </c>
      <c r="C1644" t="s">
        <v>30</v>
      </c>
      <c r="D1644" t="s">
        <v>1960</v>
      </c>
      <c r="E1644" t="s">
        <v>40</v>
      </c>
      <c r="F1644" t="s">
        <v>4823</v>
      </c>
      <c r="G1644" t="s">
        <v>1300</v>
      </c>
      <c r="H1644" t="s">
        <v>983</v>
      </c>
      <c r="I1644">
        <f t="shared" si="25"/>
        <v>5</v>
      </c>
      <c r="J1644" t="s">
        <v>44</v>
      </c>
      <c r="K1644" t="str" cm="1">
        <f t="array" ref="K1644">_xlfn.SWITCH(TRIM(UPPER(J1644)),
"BUSINESS", "Short Stay",
"CONFERENCE", "Medium Stay",
"VACATION", "Iong Stay",
"HOLIDAY", "Long Stay",
"V", "Leisure",
"UNKNOWN", "Unknown",
"Other")</f>
        <v>Other</v>
      </c>
    </row>
    <row r="1645" spans="1:11" x14ac:dyDescent="0.3">
      <c r="A1645" t="s">
        <v>4824</v>
      </c>
      <c r="B1645" t="s">
        <v>1795</v>
      </c>
      <c r="C1645" t="s">
        <v>12</v>
      </c>
      <c r="D1645" t="s">
        <v>545</v>
      </c>
      <c r="E1645" t="s">
        <v>69</v>
      </c>
      <c r="F1645" t="s">
        <v>4825</v>
      </c>
      <c r="G1645" t="s">
        <v>1797</v>
      </c>
      <c r="H1645" t="s">
        <v>725</v>
      </c>
      <c r="I1645">
        <f t="shared" si="25"/>
        <v>2</v>
      </c>
      <c r="J1645" t="s">
        <v>44</v>
      </c>
      <c r="K1645" t="str" cm="1">
        <f t="array" ref="K1645">_xlfn.SWITCH(TRIM(UPPER(J1645)),
"BUSINESS", "Short Stay",
"CONFERENCE", "Medium Stay",
"VACATION", "Iong Stay",
"HOLIDAY", "Long Stay",
"V", "Leisure",
"UNKNOWN", "Unknown",
"Other")</f>
        <v>Other</v>
      </c>
    </row>
    <row r="1646" spans="1:11" x14ac:dyDescent="0.3">
      <c r="A1646" t="s">
        <v>4826</v>
      </c>
      <c r="B1646" t="s">
        <v>1133</v>
      </c>
      <c r="C1646" t="s">
        <v>21</v>
      </c>
      <c r="D1646" t="s">
        <v>4779</v>
      </c>
      <c r="E1646" t="s">
        <v>149</v>
      </c>
      <c r="F1646" t="s">
        <v>4827</v>
      </c>
      <c r="G1646" t="s">
        <v>107</v>
      </c>
      <c r="H1646" t="s">
        <v>685</v>
      </c>
      <c r="I1646">
        <f t="shared" si="25"/>
        <v>2</v>
      </c>
      <c r="J1646" t="s">
        <v>27</v>
      </c>
      <c r="K1646" t="str" cm="1">
        <f t="array" ref="K1646">_xlfn.SWITCH(TRIM(UPPER(J1646)),
"BUSINESS", "Short Stay",
"CONFERENCE", "Medium Stay",
"VACATION", "Iong Stay",
"HOLIDAY", "Long Stay",
"V", "Leisure",
"UNKNOWN", "Unknown",
"Other")</f>
        <v>Medium Stay</v>
      </c>
    </row>
    <row r="1647" spans="1:11" x14ac:dyDescent="0.3">
      <c r="A1647" t="s">
        <v>4828</v>
      </c>
      <c r="B1647" t="s">
        <v>1627</v>
      </c>
      <c r="C1647" t="s">
        <v>61</v>
      </c>
      <c r="D1647" t="s">
        <v>4829</v>
      </c>
      <c r="E1647" t="s">
        <v>430</v>
      </c>
      <c r="F1647" t="s">
        <v>4830</v>
      </c>
      <c r="G1647" t="s">
        <v>185</v>
      </c>
      <c r="H1647" t="s">
        <v>35</v>
      </c>
      <c r="I1647">
        <f t="shared" si="25"/>
        <v>5</v>
      </c>
      <c r="J1647" t="s">
        <v>18</v>
      </c>
      <c r="K1647" t="str" cm="1">
        <f t="array" ref="K1647">_xlfn.SWITCH(TRIM(UPPER(J1647)),
"BUSINESS", "Short Stay",
"CONFERENCE", "Medium Stay",
"VACATION", "Iong Stay",
"HOLIDAY", "Long Stay",
"V", "Leisure",
"UNKNOWN", "Unknown",
"Other")</f>
        <v>Short Stay</v>
      </c>
    </row>
    <row r="1648" spans="1:11" x14ac:dyDescent="0.3">
      <c r="A1648" t="s">
        <v>4831</v>
      </c>
      <c r="B1648" t="s">
        <v>514</v>
      </c>
      <c r="C1648" t="s">
        <v>75</v>
      </c>
      <c r="D1648" t="s">
        <v>4832</v>
      </c>
      <c r="E1648" t="s">
        <v>117</v>
      </c>
      <c r="F1648" t="s">
        <v>4833</v>
      </c>
      <c r="G1648" t="s">
        <v>517</v>
      </c>
      <c r="H1648" t="s">
        <v>1117</v>
      </c>
      <c r="I1648">
        <f t="shared" si="25"/>
        <v>5</v>
      </c>
      <c r="J1648" t="s">
        <v>18</v>
      </c>
      <c r="K1648" t="str" cm="1">
        <f t="array" ref="K1648">_xlfn.SWITCH(TRIM(UPPER(J1648)),
"BUSINESS", "Short Stay",
"CONFERENCE", "Medium Stay",
"VACATION", "Iong Stay",
"HOLIDAY", "Long Stay",
"V", "Leisure",
"UNKNOWN", "Unknown",
"Other")</f>
        <v>Short Stay</v>
      </c>
    </row>
    <row r="1649" spans="1:11" x14ac:dyDescent="0.3">
      <c r="A1649" t="s">
        <v>4834</v>
      </c>
      <c r="B1649" t="s">
        <v>1473</v>
      </c>
      <c r="C1649" t="s">
        <v>83</v>
      </c>
      <c r="D1649" t="s">
        <v>875</v>
      </c>
      <c r="E1649" t="s">
        <v>149</v>
      </c>
      <c r="F1649" t="s">
        <v>4835</v>
      </c>
      <c r="G1649" t="s">
        <v>191</v>
      </c>
      <c r="H1649" t="s">
        <v>1905</v>
      </c>
      <c r="I1649">
        <f t="shared" si="25"/>
        <v>2</v>
      </c>
      <c r="J1649" t="s">
        <v>44</v>
      </c>
      <c r="K1649" t="str" cm="1">
        <f t="array" ref="K1649">_xlfn.SWITCH(TRIM(UPPER(J1649)),
"BUSINESS", "Short Stay",
"CONFERENCE", "Medium Stay",
"VACATION", "Iong Stay",
"HOLIDAY", "Long Stay",
"V", "Leisure",
"UNKNOWN", "Unknown",
"Other")</f>
        <v>Other</v>
      </c>
    </row>
    <row r="1650" spans="1:11" x14ac:dyDescent="0.3">
      <c r="A1650" t="s">
        <v>4836</v>
      </c>
      <c r="B1650" t="s">
        <v>1022</v>
      </c>
      <c r="C1650" t="s">
        <v>21</v>
      </c>
      <c r="D1650" t="s">
        <v>1668</v>
      </c>
      <c r="E1650" t="s">
        <v>14</v>
      </c>
      <c r="F1650" t="s">
        <v>4837</v>
      </c>
      <c r="G1650" t="s">
        <v>1025</v>
      </c>
      <c r="H1650" t="s">
        <v>151</v>
      </c>
      <c r="I1650">
        <f t="shared" si="25"/>
        <v>4</v>
      </c>
      <c r="J1650" t="s">
        <v>44</v>
      </c>
      <c r="K1650" t="str" cm="1">
        <f t="array" ref="K1650">_xlfn.SWITCH(TRIM(UPPER(J1650)),
"BUSINESS", "Short Stay",
"CONFERENCE", "Medium Stay",
"VACATION", "Iong Stay",
"HOLIDAY", "Long Stay",
"V", "Leisure",
"UNKNOWN", "Unknown",
"Other")</f>
        <v>Other</v>
      </c>
    </row>
    <row r="1651" spans="1:11" x14ac:dyDescent="0.3">
      <c r="A1651" t="s">
        <v>4838</v>
      </c>
      <c r="B1651" t="s">
        <v>2063</v>
      </c>
      <c r="C1651" t="s">
        <v>12</v>
      </c>
      <c r="D1651" t="s">
        <v>4286</v>
      </c>
      <c r="E1651" t="s">
        <v>85</v>
      </c>
      <c r="F1651" t="s">
        <v>4839</v>
      </c>
      <c r="G1651" t="s">
        <v>1243</v>
      </c>
      <c r="H1651" t="s">
        <v>668</v>
      </c>
      <c r="I1651">
        <f t="shared" si="25"/>
        <v>5</v>
      </c>
      <c r="J1651" t="s">
        <v>18</v>
      </c>
      <c r="K1651" t="str" cm="1">
        <f t="array" ref="K1651">_xlfn.SWITCH(TRIM(UPPER(J1651)),
"BUSINESS", "Short Stay",
"CONFERENCE", "Medium Stay",
"VACATION", "Iong Stay",
"HOLIDAY", "Long Stay",
"V", "Leisure",
"UNKNOWN", "Unknown",
"Other")</f>
        <v>Short Stay</v>
      </c>
    </row>
    <row r="1652" spans="1:11" x14ac:dyDescent="0.3">
      <c r="A1652" t="s">
        <v>4840</v>
      </c>
      <c r="B1652" t="s">
        <v>1585</v>
      </c>
      <c r="C1652" t="s">
        <v>54</v>
      </c>
      <c r="D1652" t="s">
        <v>922</v>
      </c>
      <c r="E1652" t="s">
        <v>314</v>
      </c>
      <c r="F1652" t="s">
        <v>4841</v>
      </c>
      <c r="G1652" t="s">
        <v>1588</v>
      </c>
      <c r="H1652" t="s">
        <v>796</v>
      </c>
      <c r="I1652">
        <f t="shared" si="25"/>
        <v>2</v>
      </c>
      <c r="J1652" t="s">
        <v>44</v>
      </c>
      <c r="K1652" t="str" cm="1">
        <f t="array" ref="K1652">_xlfn.SWITCH(TRIM(UPPER(J1652)),
"BUSINESS", "Short Stay",
"CONFERENCE", "Medium Stay",
"VACATION", "Iong Stay",
"HOLIDAY", "Long Stay",
"V", "Leisure",
"UNKNOWN", "Unknown",
"Other")</f>
        <v>Other</v>
      </c>
    </row>
    <row r="1653" spans="1:11" x14ac:dyDescent="0.3">
      <c r="A1653" t="s">
        <v>4842</v>
      </c>
      <c r="B1653" t="s">
        <v>3718</v>
      </c>
      <c r="C1653" t="s">
        <v>30</v>
      </c>
      <c r="D1653" t="s">
        <v>435</v>
      </c>
      <c r="E1653" t="s">
        <v>85</v>
      </c>
      <c r="F1653" t="s">
        <v>4843</v>
      </c>
      <c r="G1653" t="s">
        <v>672</v>
      </c>
      <c r="H1653" t="s">
        <v>903</v>
      </c>
      <c r="I1653">
        <f t="shared" si="25"/>
        <v>1</v>
      </c>
      <c r="J1653" t="s">
        <v>44</v>
      </c>
      <c r="K1653" t="str" cm="1">
        <f t="array" ref="K1653">_xlfn.SWITCH(TRIM(UPPER(J1653)),
"BUSINESS", "Short Stay",
"CONFERENCE", "Medium Stay",
"VACATION", "Iong Stay",
"HOLIDAY", "Long Stay",
"V", "Leisure",
"UNKNOWN", "Unknown",
"Other")</f>
        <v>Other</v>
      </c>
    </row>
    <row r="1654" spans="1:11" x14ac:dyDescent="0.3">
      <c r="A1654" t="s">
        <v>4844</v>
      </c>
      <c r="B1654" t="s">
        <v>380</v>
      </c>
      <c r="C1654" t="s">
        <v>83</v>
      </c>
      <c r="D1654" t="s">
        <v>542</v>
      </c>
      <c r="E1654" t="s">
        <v>214</v>
      </c>
      <c r="F1654" t="s">
        <v>4845</v>
      </c>
      <c r="G1654" t="s">
        <v>383</v>
      </c>
      <c r="H1654" t="s">
        <v>490</v>
      </c>
      <c r="I1654">
        <f t="shared" si="25"/>
        <v>4</v>
      </c>
      <c r="J1654" t="s">
        <v>27</v>
      </c>
      <c r="K1654" t="str" cm="1">
        <f t="array" ref="K1654">_xlfn.SWITCH(TRIM(UPPER(J1654)),
"BUSINESS", "Short Stay",
"CONFERENCE", "Medium Stay",
"VACATION", "Iong Stay",
"HOLIDAY", "Long Stay",
"V", "Leisure",
"UNKNOWN", "Unknown",
"Other")</f>
        <v>Medium Stay</v>
      </c>
    </row>
    <row r="1655" spans="1:11" x14ac:dyDescent="0.3">
      <c r="A1655" t="s">
        <v>4846</v>
      </c>
      <c r="B1655" t="s">
        <v>596</v>
      </c>
      <c r="C1655" t="s">
        <v>97</v>
      </c>
      <c r="D1655" t="s">
        <v>313</v>
      </c>
      <c r="E1655" t="s">
        <v>546</v>
      </c>
      <c r="F1655" t="s">
        <v>4847</v>
      </c>
      <c r="G1655" t="s">
        <v>599</v>
      </c>
      <c r="H1655" t="s">
        <v>204</v>
      </c>
      <c r="I1655">
        <f t="shared" si="25"/>
        <v>3</v>
      </c>
      <c r="J1655" t="s">
        <v>121</v>
      </c>
      <c r="K1655" t="str" cm="1">
        <f t="array" ref="K1655">_xlfn.SWITCH(TRIM(UPPER(J1655)),
"BUSINESS", "Short Stay",
"CONFERENCE", "Medium Stay",
"VACATION", "Iong Stay",
"HOLIDAY", "Long Stay",
"V", "Leisure",
"UNKNOWN", "Unknown",
"Other")</f>
        <v>Iong Stay</v>
      </c>
    </row>
    <row r="1656" spans="1:11" x14ac:dyDescent="0.3">
      <c r="A1656" t="s">
        <v>4848</v>
      </c>
      <c r="B1656" t="s">
        <v>4849</v>
      </c>
      <c r="C1656" t="s">
        <v>75</v>
      </c>
      <c r="D1656" t="s">
        <v>3838</v>
      </c>
      <c r="E1656" t="s">
        <v>149</v>
      </c>
      <c r="F1656" t="s">
        <v>4850</v>
      </c>
      <c r="G1656" t="s">
        <v>908</v>
      </c>
      <c r="H1656" t="s">
        <v>1204</v>
      </c>
      <c r="I1656">
        <f t="shared" si="25"/>
        <v>2</v>
      </c>
      <c r="J1656" t="s">
        <v>18</v>
      </c>
      <c r="K1656" t="str" cm="1">
        <f t="array" ref="K1656">_xlfn.SWITCH(TRIM(UPPER(J1656)),
"BUSINESS", "Short Stay",
"CONFERENCE", "Medium Stay",
"VACATION", "Iong Stay",
"HOLIDAY", "Long Stay",
"V", "Leisure",
"UNKNOWN", "Unknown",
"Other")</f>
        <v>Short Stay</v>
      </c>
    </row>
    <row r="1657" spans="1:11" x14ac:dyDescent="0.3">
      <c r="A1657" t="s">
        <v>4851</v>
      </c>
      <c r="B1657" t="s">
        <v>2328</v>
      </c>
      <c r="C1657" t="s">
        <v>12</v>
      </c>
      <c r="D1657" t="s">
        <v>4852</v>
      </c>
      <c r="E1657" t="s">
        <v>430</v>
      </c>
      <c r="F1657" t="s">
        <v>3359</v>
      </c>
      <c r="G1657" t="s">
        <v>533</v>
      </c>
      <c r="H1657" t="s">
        <v>1363</v>
      </c>
      <c r="I1657">
        <f t="shared" si="25"/>
        <v>5</v>
      </c>
      <c r="J1657" t="s">
        <v>27</v>
      </c>
      <c r="K1657" t="str" cm="1">
        <f t="array" ref="K1657">_xlfn.SWITCH(TRIM(UPPER(J1657)),
"BUSINESS", "Short Stay",
"CONFERENCE", "Medium Stay",
"VACATION", "Iong Stay",
"HOLIDAY", "Long Stay",
"V", "Leisure",
"UNKNOWN", "Unknown",
"Other")</f>
        <v>Medium Stay</v>
      </c>
    </row>
    <row r="1658" spans="1:11" x14ac:dyDescent="0.3">
      <c r="A1658" t="s">
        <v>4853</v>
      </c>
      <c r="B1658" t="s">
        <v>1040</v>
      </c>
      <c r="C1658" t="s">
        <v>83</v>
      </c>
      <c r="D1658" t="s">
        <v>1143</v>
      </c>
      <c r="E1658" t="s">
        <v>214</v>
      </c>
      <c r="F1658" t="s">
        <v>2812</v>
      </c>
      <c r="G1658" t="s">
        <v>1043</v>
      </c>
      <c r="H1658" t="s">
        <v>378</v>
      </c>
      <c r="I1658">
        <f t="shared" si="25"/>
        <v>3</v>
      </c>
      <c r="J1658" t="s">
        <v>27</v>
      </c>
      <c r="K1658" t="str" cm="1">
        <f t="array" ref="K1658">_xlfn.SWITCH(TRIM(UPPER(J1658)),
"BUSINESS", "Short Stay",
"CONFERENCE", "Medium Stay",
"VACATION", "Iong Stay",
"HOLIDAY", "Long Stay",
"V", "Leisure",
"UNKNOWN", "Unknown",
"Other")</f>
        <v>Medium Stay</v>
      </c>
    </row>
    <row r="1659" spans="1:11" x14ac:dyDescent="0.3">
      <c r="A1659" t="s">
        <v>4854</v>
      </c>
      <c r="B1659" t="s">
        <v>1282</v>
      </c>
      <c r="C1659" t="s">
        <v>12</v>
      </c>
      <c r="D1659" t="s">
        <v>2765</v>
      </c>
      <c r="E1659" t="s">
        <v>156</v>
      </c>
      <c r="F1659" t="s">
        <v>4855</v>
      </c>
      <c r="G1659" t="s">
        <v>1285</v>
      </c>
      <c r="H1659" t="s">
        <v>838</v>
      </c>
      <c r="I1659">
        <f t="shared" si="25"/>
        <v>2</v>
      </c>
      <c r="J1659" t="s">
        <v>44</v>
      </c>
      <c r="K1659" t="str" cm="1">
        <f t="array" ref="K1659">_xlfn.SWITCH(TRIM(UPPER(J1659)),
"BUSINESS", "Short Stay",
"CONFERENCE", "Medium Stay",
"VACATION", "Iong Stay",
"HOLIDAY", "Long Stay",
"V", "Leisure",
"UNKNOWN", "Unknown",
"Other")</f>
        <v>Other</v>
      </c>
    </row>
    <row r="1660" spans="1:11" x14ac:dyDescent="0.3">
      <c r="A1660" t="s">
        <v>4856</v>
      </c>
      <c r="B1660" t="s">
        <v>1253</v>
      </c>
      <c r="C1660" t="s">
        <v>83</v>
      </c>
      <c r="D1660" t="s">
        <v>3120</v>
      </c>
      <c r="E1660" t="s">
        <v>458</v>
      </c>
      <c r="F1660" t="s">
        <v>4857</v>
      </c>
      <c r="G1660" t="s">
        <v>1256</v>
      </c>
      <c r="H1660" t="s">
        <v>719</v>
      </c>
      <c r="I1660">
        <f t="shared" si="25"/>
        <v>1</v>
      </c>
      <c r="J1660" t="s">
        <v>27</v>
      </c>
      <c r="K1660" t="str" cm="1">
        <f t="array" ref="K1660">_xlfn.SWITCH(TRIM(UPPER(J1660)),
"BUSINESS", "Short Stay",
"CONFERENCE", "Medium Stay",
"VACATION", "Iong Stay",
"HOLIDAY", "Long Stay",
"V", "Leisure",
"UNKNOWN", "Unknown",
"Other")</f>
        <v>Medium Stay</v>
      </c>
    </row>
    <row r="1661" spans="1:11" x14ac:dyDescent="0.3">
      <c r="A1661" t="s">
        <v>4858</v>
      </c>
      <c r="B1661" t="s">
        <v>2157</v>
      </c>
      <c r="C1661" t="s">
        <v>30</v>
      </c>
      <c r="D1661" t="s">
        <v>2960</v>
      </c>
      <c r="E1661" t="s">
        <v>48</v>
      </c>
      <c r="F1661" t="s">
        <v>4859</v>
      </c>
      <c r="G1661" t="s">
        <v>2160</v>
      </c>
      <c r="H1661" t="s">
        <v>298</v>
      </c>
      <c r="I1661">
        <f t="shared" si="25"/>
        <v>2</v>
      </c>
      <c r="J1661" t="s">
        <v>44</v>
      </c>
      <c r="K1661" t="str" cm="1">
        <f t="array" ref="K1661">_xlfn.SWITCH(TRIM(UPPER(J1661)),
"BUSINESS", "Short Stay",
"CONFERENCE", "Medium Stay",
"VACATION", "Iong Stay",
"HOLIDAY", "Long Stay",
"V", "Leisure",
"UNKNOWN", "Unknown",
"Other")</f>
        <v>Other</v>
      </c>
    </row>
    <row r="1662" spans="1:11" x14ac:dyDescent="0.3">
      <c r="A1662" t="s">
        <v>4860</v>
      </c>
      <c r="B1662" t="s">
        <v>90</v>
      </c>
      <c r="C1662" t="s">
        <v>12</v>
      </c>
      <c r="D1662" t="s">
        <v>1390</v>
      </c>
      <c r="E1662" t="s">
        <v>149</v>
      </c>
      <c r="F1662" t="s">
        <v>4861</v>
      </c>
      <c r="G1662" t="s">
        <v>93</v>
      </c>
      <c r="H1662" t="s">
        <v>443</v>
      </c>
      <c r="I1662">
        <f t="shared" si="25"/>
        <v>4</v>
      </c>
      <c r="J1662" t="s">
        <v>18</v>
      </c>
      <c r="K1662" t="str" cm="1">
        <f t="array" ref="K1662">_xlfn.SWITCH(TRIM(UPPER(J1662)),
"BUSINESS", "Short Stay",
"CONFERENCE", "Medium Stay",
"VACATION", "Iong Stay",
"HOLIDAY", "Long Stay",
"V", "Leisure",
"UNKNOWN", "Unknown",
"Other")</f>
        <v>Short Stay</v>
      </c>
    </row>
    <row r="1663" spans="1:11" x14ac:dyDescent="0.3">
      <c r="A1663" t="s">
        <v>4862</v>
      </c>
      <c r="B1663" t="s">
        <v>2115</v>
      </c>
      <c r="C1663" t="s">
        <v>61</v>
      </c>
      <c r="D1663" t="s">
        <v>4136</v>
      </c>
      <c r="E1663" t="s">
        <v>546</v>
      </c>
      <c r="F1663" t="s">
        <v>4863</v>
      </c>
      <c r="G1663" t="s">
        <v>159</v>
      </c>
      <c r="H1663" t="s">
        <v>65</v>
      </c>
      <c r="I1663">
        <f t="shared" si="25"/>
        <v>3</v>
      </c>
      <c r="J1663" t="s">
        <v>18</v>
      </c>
      <c r="K1663" t="str" cm="1">
        <f t="array" ref="K1663">_xlfn.SWITCH(TRIM(UPPER(J1663)),
"BUSINESS", "Short Stay",
"CONFERENCE", "Medium Stay",
"VACATION", "Iong Stay",
"HOLIDAY", "Long Stay",
"V", "Leisure",
"UNKNOWN", "Unknown",
"Other")</f>
        <v>Short Stay</v>
      </c>
    </row>
    <row r="1664" spans="1:11" x14ac:dyDescent="0.3">
      <c r="A1664" t="s">
        <v>4864</v>
      </c>
      <c r="B1664" t="s">
        <v>2146</v>
      </c>
      <c r="C1664" t="s">
        <v>54</v>
      </c>
      <c r="D1664" t="s">
        <v>2686</v>
      </c>
      <c r="E1664" t="s">
        <v>314</v>
      </c>
      <c r="F1664" t="s">
        <v>4865</v>
      </c>
      <c r="G1664" t="s">
        <v>328</v>
      </c>
      <c r="H1664" t="s">
        <v>184</v>
      </c>
      <c r="I1664">
        <f t="shared" si="25"/>
        <v>3</v>
      </c>
      <c r="J1664" t="s">
        <v>27</v>
      </c>
      <c r="K1664" t="str" cm="1">
        <f t="array" ref="K1664">_xlfn.SWITCH(TRIM(UPPER(J1664)),
"BUSINESS", "Short Stay",
"CONFERENCE", "Medium Stay",
"VACATION", "Iong Stay",
"HOLIDAY", "Long Stay",
"V", "Leisure",
"UNKNOWN", "Unknown",
"Other")</f>
        <v>Medium Stay</v>
      </c>
    </row>
    <row r="1665" spans="1:11" x14ac:dyDescent="0.3">
      <c r="A1665" t="s">
        <v>4866</v>
      </c>
      <c r="B1665" t="s">
        <v>2219</v>
      </c>
      <c r="C1665" t="s">
        <v>75</v>
      </c>
      <c r="D1665" t="s">
        <v>84</v>
      </c>
      <c r="E1665" t="s">
        <v>117</v>
      </c>
      <c r="F1665" t="s">
        <v>4867</v>
      </c>
      <c r="G1665" t="s">
        <v>1085</v>
      </c>
      <c r="H1665" t="s">
        <v>1861</v>
      </c>
      <c r="I1665">
        <f t="shared" si="25"/>
        <v>1</v>
      </c>
      <c r="J1665" t="s">
        <v>44</v>
      </c>
      <c r="K1665" t="str" cm="1">
        <f t="array" ref="K1665">_xlfn.SWITCH(TRIM(UPPER(J1665)),
"BUSINESS", "Short Stay",
"CONFERENCE", "Medium Stay",
"VACATION", "Iong Stay",
"HOLIDAY", "Long Stay",
"V", "Leisure",
"UNKNOWN", "Unknown",
"Other")</f>
        <v>Other</v>
      </c>
    </row>
    <row r="1666" spans="1:11" x14ac:dyDescent="0.3">
      <c r="A1666" t="s">
        <v>4868</v>
      </c>
      <c r="B1666" t="s">
        <v>2142</v>
      </c>
      <c r="C1666" t="s">
        <v>38</v>
      </c>
      <c r="D1666" t="s">
        <v>4869</v>
      </c>
      <c r="E1666" t="s">
        <v>214</v>
      </c>
      <c r="F1666" t="s">
        <v>3123</v>
      </c>
      <c r="G1666" t="s">
        <v>999</v>
      </c>
      <c r="H1666" t="s">
        <v>1505</v>
      </c>
      <c r="I1666">
        <f t="shared" si="25"/>
        <v>2</v>
      </c>
      <c r="J1666" t="s">
        <v>44</v>
      </c>
      <c r="K1666" t="str" cm="1">
        <f t="array" ref="K1666">_xlfn.SWITCH(TRIM(UPPER(J1666)),
"BUSINESS", "Short Stay",
"CONFERENCE", "Medium Stay",
"VACATION", "Iong Stay",
"HOLIDAY", "Long Stay",
"V", "Leisure",
"UNKNOWN", "Unknown",
"Other")</f>
        <v>Other</v>
      </c>
    </row>
    <row r="1667" spans="1:11" x14ac:dyDescent="0.3">
      <c r="A1667" t="s">
        <v>4870</v>
      </c>
      <c r="B1667" t="s">
        <v>1844</v>
      </c>
      <c r="C1667" t="s">
        <v>21</v>
      </c>
      <c r="D1667" t="s">
        <v>2292</v>
      </c>
      <c r="E1667" t="s">
        <v>63</v>
      </c>
      <c r="F1667" t="s">
        <v>4871</v>
      </c>
      <c r="G1667" t="s">
        <v>1847</v>
      </c>
      <c r="H1667" t="s">
        <v>812</v>
      </c>
      <c r="I1667">
        <f t="shared" ref="I1667:I1730" si="26">H1667-G1667</f>
        <v>5</v>
      </c>
      <c r="J1667" t="s">
        <v>18</v>
      </c>
      <c r="K1667" t="str" cm="1">
        <f t="array" ref="K1667">_xlfn.SWITCH(TRIM(UPPER(J1667)),
"BUSINESS", "Short Stay",
"CONFERENCE", "Medium Stay",
"VACATION", "Iong Stay",
"HOLIDAY", "Long Stay",
"V", "Leisure",
"UNKNOWN", "Unknown",
"Other")</f>
        <v>Short Stay</v>
      </c>
    </row>
    <row r="1668" spans="1:11" x14ac:dyDescent="0.3">
      <c r="A1668" t="s">
        <v>4872</v>
      </c>
      <c r="B1668" t="s">
        <v>1966</v>
      </c>
      <c r="C1668" t="s">
        <v>61</v>
      </c>
      <c r="D1668" t="s">
        <v>2991</v>
      </c>
      <c r="E1668" t="s">
        <v>32</v>
      </c>
      <c r="F1668" t="s">
        <v>4873</v>
      </c>
      <c r="G1668" t="s">
        <v>1176</v>
      </c>
      <c r="H1668" t="s">
        <v>485</v>
      </c>
      <c r="I1668">
        <f t="shared" si="26"/>
        <v>2</v>
      </c>
      <c r="J1668" t="s">
        <v>18</v>
      </c>
      <c r="K1668" t="str" cm="1">
        <f t="array" ref="K1668">_xlfn.SWITCH(TRIM(UPPER(J1668)),
"BUSINESS", "Short Stay",
"CONFERENCE", "Medium Stay",
"VACATION", "Iong Stay",
"HOLIDAY", "Long Stay",
"V", "Leisure",
"UNKNOWN", "Unknown",
"Other")</f>
        <v>Short Stay</v>
      </c>
    </row>
    <row r="1669" spans="1:11" x14ac:dyDescent="0.3">
      <c r="A1669" t="s">
        <v>4874</v>
      </c>
      <c r="B1669" t="s">
        <v>2190</v>
      </c>
      <c r="C1669" t="s">
        <v>12</v>
      </c>
      <c r="D1669" t="s">
        <v>1137</v>
      </c>
      <c r="E1669" t="s">
        <v>476</v>
      </c>
      <c r="F1669" t="s">
        <v>4875</v>
      </c>
      <c r="G1669" t="s">
        <v>1471</v>
      </c>
      <c r="H1669" t="s">
        <v>145</v>
      </c>
      <c r="I1669">
        <f t="shared" si="26"/>
        <v>4</v>
      </c>
      <c r="J1669" t="s">
        <v>18</v>
      </c>
      <c r="K1669" t="str" cm="1">
        <f t="array" ref="K1669">_xlfn.SWITCH(TRIM(UPPER(J1669)),
"BUSINESS", "Short Stay",
"CONFERENCE", "Medium Stay",
"VACATION", "Iong Stay",
"HOLIDAY", "Long Stay",
"V", "Leisure",
"UNKNOWN", "Unknown",
"Other")</f>
        <v>Short Stay</v>
      </c>
    </row>
    <row r="1670" spans="1:11" x14ac:dyDescent="0.3">
      <c r="A1670" t="s">
        <v>4876</v>
      </c>
      <c r="B1670" t="s">
        <v>1667</v>
      </c>
      <c r="C1670" t="s">
        <v>174</v>
      </c>
      <c r="D1670" t="s">
        <v>2131</v>
      </c>
      <c r="E1670" t="s">
        <v>85</v>
      </c>
      <c r="F1670" t="s">
        <v>4877</v>
      </c>
      <c r="G1670" t="s">
        <v>1670</v>
      </c>
      <c r="H1670" t="s">
        <v>43</v>
      </c>
      <c r="I1670">
        <f t="shared" si="26"/>
        <v>1</v>
      </c>
      <c r="J1670" t="s">
        <v>18</v>
      </c>
      <c r="K1670" t="str" cm="1">
        <f t="array" ref="K1670">_xlfn.SWITCH(TRIM(UPPER(J1670)),
"BUSINESS", "Short Stay",
"CONFERENCE", "Medium Stay",
"VACATION", "Iong Stay",
"HOLIDAY", "Long Stay",
"V", "Leisure",
"UNKNOWN", "Unknown",
"Other")</f>
        <v>Short Stay</v>
      </c>
    </row>
    <row r="1671" spans="1:11" x14ac:dyDescent="0.3">
      <c r="A1671" t="s">
        <v>4878</v>
      </c>
      <c r="B1671" t="s">
        <v>1133</v>
      </c>
      <c r="C1671" t="s">
        <v>61</v>
      </c>
      <c r="D1671" t="s">
        <v>1715</v>
      </c>
      <c r="E1671" t="s">
        <v>14</v>
      </c>
      <c r="F1671" t="s">
        <v>1850</v>
      </c>
      <c r="G1671" t="s">
        <v>107</v>
      </c>
      <c r="H1671" t="s">
        <v>1395</v>
      </c>
      <c r="I1671">
        <f t="shared" si="26"/>
        <v>3</v>
      </c>
      <c r="J1671" t="s">
        <v>18</v>
      </c>
      <c r="K1671" t="str" cm="1">
        <f t="array" ref="K1671">_xlfn.SWITCH(TRIM(UPPER(J1671)),
"BUSINESS", "Short Stay",
"CONFERENCE", "Medium Stay",
"VACATION", "Iong Stay",
"HOLIDAY", "Long Stay",
"V", "Leisure",
"UNKNOWN", "Unknown",
"Other")</f>
        <v>Short Stay</v>
      </c>
    </row>
    <row r="1672" spans="1:11" x14ac:dyDescent="0.3">
      <c r="A1672" t="s">
        <v>4879</v>
      </c>
      <c r="B1672" t="s">
        <v>1156</v>
      </c>
      <c r="C1672" t="s">
        <v>174</v>
      </c>
      <c r="D1672" t="s">
        <v>3367</v>
      </c>
      <c r="E1672" t="s">
        <v>48</v>
      </c>
      <c r="F1672" t="s">
        <v>4880</v>
      </c>
      <c r="G1672" t="s">
        <v>1159</v>
      </c>
      <c r="H1672" t="s">
        <v>277</v>
      </c>
      <c r="I1672">
        <f t="shared" si="26"/>
        <v>3</v>
      </c>
      <c r="J1672" t="s">
        <v>44</v>
      </c>
      <c r="K1672" t="str" cm="1">
        <f t="array" ref="K1672">_xlfn.SWITCH(TRIM(UPPER(J1672)),
"BUSINESS", "Short Stay",
"CONFERENCE", "Medium Stay",
"VACATION", "Iong Stay",
"HOLIDAY", "Long Stay",
"V", "Leisure",
"UNKNOWN", "Unknown",
"Other")</f>
        <v>Other</v>
      </c>
    </row>
    <row r="1673" spans="1:11" x14ac:dyDescent="0.3">
      <c r="A1673" t="s">
        <v>4881</v>
      </c>
      <c r="B1673" t="s">
        <v>3206</v>
      </c>
      <c r="C1673" t="s">
        <v>174</v>
      </c>
      <c r="D1673" t="s">
        <v>1496</v>
      </c>
      <c r="E1673" t="s">
        <v>546</v>
      </c>
      <c r="F1673" t="s">
        <v>4882</v>
      </c>
      <c r="G1673" t="s">
        <v>416</v>
      </c>
      <c r="H1673" t="s">
        <v>1611</v>
      </c>
      <c r="I1673">
        <f t="shared" si="26"/>
        <v>2</v>
      </c>
      <c r="J1673" t="s">
        <v>18</v>
      </c>
      <c r="K1673" t="str" cm="1">
        <f t="array" ref="K1673">_xlfn.SWITCH(TRIM(UPPER(J1673)),
"BUSINESS", "Short Stay",
"CONFERENCE", "Medium Stay",
"VACATION", "Iong Stay",
"HOLIDAY", "Long Stay",
"V", "Leisure",
"UNKNOWN", "Unknown",
"Other")</f>
        <v>Short Stay</v>
      </c>
    </row>
    <row r="1674" spans="1:11" x14ac:dyDescent="0.3">
      <c r="A1674" t="s">
        <v>4883</v>
      </c>
      <c r="B1674" t="s">
        <v>2711</v>
      </c>
      <c r="C1674" t="s">
        <v>83</v>
      </c>
      <c r="D1674" t="s">
        <v>4884</v>
      </c>
      <c r="E1674" t="s">
        <v>85</v>
      </c>
      <c r="F1674" t="s">
        <v>4885</v>
      </c>
      <c r="G1674" t="s">
        <v>222</v>
      </c>
      <c r="H1674" t="s">
        <v>1105</v>
      </c>
      <c r="I1674">
        <f t="shared" si="26"/>
        <v>4</v>
      </c>
      <c r="J1674" t="s">
        <v>44</v>
      </c>
      <c r="K1674" t="str" cm="1">
        <f t="array" ref="K1674">_xlfn.SWITCH(TRIM(UPPER(J1674)),
"BUSINESS", "Short Stay",
"CONFERENCE", "Medium Stay",
"VACATION", "Iong Stay",
"HOLIDAY", "Long Stay",
"V", "Leisure",
"UNKNOWN", "Unknown",
"Other")</f>
        <v>Other</v>
      </c>
    </row>
    <row r="1675" spans="1:11" x14ac:dyDescent="0.3">
      <c r="A1675" t="s">
        <v>4886</v>
      </c>
      <c r="B1675" t="s">
        <v>440</v>
      </c>
      <c r="C1675" t="s">
        <v>61</v>
      </c>
      <c r="D1675" t="s">
        <v>2131</v>
      </c>
      <c r="E1675" t="s">
        <v>14</v>
      </c>
      <c r="F1675" t="s">
        <v>4887</v>
      </c>
      <c r="G1675" t="s">
        <v>94</v>
      </c>
      <c r="H1675" t="s">
        <v>730</v>
      </c>
      <c r="I1675">
        <f t="shared" si="26"/>
        <v>1</v>
      </c>
      <c r="J1675" t="s">
        <v>121</v>
      </c>
      <c r="K1675" t="str" cm="1">
        <f t="array" ref="K1675">_xlfn.SWITCH(TRIM(UPPER(J1675)),
"BUSINESS", "Short Stay",
"CONFERENCE", "Medium Stay",
"VACATION", "Iong Stay",
"HOLIDAY", "Long Stay",
"V", "Leisure",
"UNKNOWN", "Unknown",
"Other")</f>
        <v>Iong Stay</v>
      </c>
    </row>
    <row r="1676" spans="1:11" x14ac:dyDescent="0.3">
      <c r="A1676" t="s">
        <v>4888</v>
      </c>
      <c r="B1676" t="s">
        <v>556</v>
      </c>
      <c r="C1676" t="s">
        <v>38</v>
      </c>
      <c r="D1676" t="s">
        <v>2932</v>
      </c>
      <c r="E1676" t="s">
        <v>117</v>
      </c>
      <c r="F1676" t="s">
        <v>4889</v>
      </c>
      <c r="G1676" t="s">
        <v>559</v>
      </c>
      <c r="H1676" t="s">
        <v>1159</v>
      </c>
      <c r="I1676">
        <f t="shared" si="26"/>
        <v>4</v>
      </c>
      <c r="J1676" t="s">
        <v>27</v>
      </c>
      <c r="K1676" t="str" cm="1">
        <f t="array" ref="K1676">_xlfn.SWITCH(TRIM(UPPER(J1676)),
"BUSINESS", "Short Stay",
"CONFERENCE", "Medium Stay",
"VACATION", "Iong Stay",
"HOLIDAY", "Long Stay",
"V", "Leisure",
"UNKNOWN", "Unknown",
"Other")</f>
        <v>Medium Stay</v>
      </c>
    </row>
    <row r="1677" spans="1:11" x14ac:dyDescent="0.3">
      <c r="A1677" t="s">
        <v>4890</v>
      </c>
      <c r="B1677" t="s">
        <v>1643</v>
      </c>
      <c r="C1677" t="s">
        <v>21</v>
      </c>
      <c r="D1677" t="s">
        <v>3207</v>
      </c>
      <c r="E1677" t="s">
        <v>32</v>
      </c>
      <c r="F1677" t="s">
        <v>4891</v>
      </c>
      <c r="G1677" t="s">
        <v>1646</v>
      </c>
      <c r="H1677" t="s">
        <v>663</v>
      </c>
      <c r="I1677">
        <f t="shared" si="26"/>
        <v>2</v>
      </c>
      <c r="J1677" t="s">
        <v>27</v>
      </c>
      <c r="K1677" t="str" cm="1">
        <f t="array" ref="K1677">_xlfn.SWITCH(TRIM(UPPER(J1677)),
"BUSINESS", "Short Stay",
"CONFERENCE", "Medium Stay",
"VACATION", "Iong Stay",
"HOLIDAY", "Long Stay",
"V", "Leisure",
"UNKNOWN", "Unknown",
"Other")</f>
        <v>Medium Stay</v>
      </c>
    </row>
    <row r="1678" spans="1:11" x14ac:dyDescent="0.3">
      <c r="A1678" t="s">
        <v>4892</v>
      </c>
      <c r="B1678" t="s">
        <v>1071</v>
      </c>
      <c r="C1678" t="s">
        <v>97</v>
      </c>
      <c r="D1678" t="s">
        <v>466</v>
      </c>
      <c r="E1678" t="s">
        <v>85</v>
      </c>
      <c r="F1678" t="s">
        <v>4893</v>
      </c>
      <c r="G1678" t="s">
        <v>1073</v>
      </c>
      <c r="H1678" t="s">
        <v>373</v>
      </c>
      <c r="I1678">
        <f t="shared" si="26"/>
        <v>1</v>
      </c>
      <c r="J1678" t="s">
        <v>121</v>
      </c>
      <c r="K1678" t="str" cm="1">
        <f t="array" ref="K1678">_xlfn.SWITCH(TRIM(UPPER(J1678)),
"BUSINESS", "Short Stay",
"CONFERENCE", "Medium Stay",
"VACATION", "Iong Stay",
"HOLIDAY", "Long Stay",
"V", "Leisure",
"UNKNOWN", "Unknown",
"Other")</f>
        <v>Iong Stay</v>
      </c>
    </row>
    <row r="1679" spans="1:11" x14ac:dyDescent="0.3">
      <c r="A1679" t="s">
        <v>4894</v>
      </c>
      <c r="B1679" t="s">
        <v>2363</v>
      </c>
      <c r="C1679" t="s">
        <v>30</v>
      </c>
      <c r="D1679" t="s">
        <v>1287</v>
      </c>
      <c r="E1679" t="s">
        <v>63</v>
      </c>
      <c r="F1679" t="s">
        <v>4895</v>
      </c>
      <c r="G1679" t="s">
        <v>357</v>
      </c>
      <c r="H1679" t="s">
        <v>132</v>
      </c>
      <c r="I1679">
        <f t="shared" si="26"/>
        <v>4</v>
      </c>
      <c r="J1679" t="s">
        <v>121</v>
      </c>
      <c r="K1679" t="str" cm="1">
        <f t="array" ref="K1679">_xlfn.SWITCH(TRIM(UPPER(J1679)),
"BUSINESS", "Short Stay",
"CONFERENCE", "Medium Stay",
"VACATION", "Iong Stay",
"HOLIDAY", "Long Stay",
"V", "Leisure",
"UNKNOWN", "Unknown",
"Other")</f>
        <v>Iong Stay</v>
      </c>
    </row>
    <row r="1680" spans="1:11" x14ac:dyDescent="0.3">
      <c r="A1680" t="s">
        <v>4896</v>
      </c>
      <c r="B1680" t="s">
        <v>470</v>
      </c>
      <c r="C1680" t="s">
        <v>12</v>
      </c>
      <c r="D1680" t="s">
        <v>527</v>
      </c>
      <c r="E1680" t="s">
        <v>117</v>
      </c>
      <c r="F1680" t="s">
        <v>4897</v>
      </c>
      <c r="G1680" t="s">
        <v>473</v>
      </c>
      <c r="H1680" t="s">
        <v>158</v>
      </c>
      <c r="I1680">
        <f t="shared" si="26"/>
        <v>5</v>
      </c>
      <c r="J1680" t="s">
        <v>44</v>
      </c>
      <c r="K1680" t="str" cm="1">
        <f t="array" ref="K1680">_xlfn.SWITCH(TRIM(UPPER(J1680)),
"BUSINESS", "Short Stay",
"CONFERENCE", "Medium Stay",
"VACATION", "Iong Stay",
"HOLIDAY", "Long Stay",
"V", "Leisure",
"UNKNOWN", "Unknown",
"Other")</f>
        <v>Other</v>
      </c>
    </row>
    <row r="1681" spans="1:11" x14ac:dyDescent="0.3">
      <c r="A1681" t="s">
        <v>4898</v>
      </c>
      <c r="B1681" t="s">
        <v>631</v>
      </c>
      <c r="C1681" t="s">
        <v>174</v>
      </c>
      <c r="D1681" t="s">
        <v>168</v>
      </c>
      <c r="E1681" t="s">
        <v>156</v>
      </c>
      <c r="F1681" t="s">
        <v>4899</v>
      </c>
      <c r="G1681" t="s">
        <v>634</v>
      </c>
      <c r="H1681" t="s">
        <v>739</v>
      </c>
      <c r="I1681">
        <f t="shared" si="26"/>
        <v>3</v>
      </c>
      <c r="J1681" t="s">
        <v>27</v>
      </c>
      <c r="K1681" t="str" cm="1">
        <f t="array" ref="K1681">_xlfn.SWITCH(TRIM(UPPER(J1681)),
"BUSINESS", "Short Stay",
"CONFERENCE", "Medium Stay",
"VACATION", "Iong Stay",
"HOLIDAY", "Long Stay",
"V", "Leisure",
"UNKNOWN", "Unknown",
"Other")</f>
        <v>Medium Stay</v>
      </c>
    </row>
    <row r="1682" spans="1:11" x14ac:dyDescent="0.3">
      <c r="A1682" t="s">
        <v>4900</v>
      </c>
      <c r="B1682" t="s">
        <v>590</v>
      </c>
      <c r="C1682" t="s">
        <v>21</v>
      </c>
      <c r="D1682" t="s">
        <v>542</v>
      </c>
      <c r="E1682" t="s">
        <v>476</v>
      </c>
      <c r="F1682" t="s">
        <v>4901</v>
      </c>
      <c r="G1682" t="s">
        <v>593</v>
      </c>
      <c r="H1682" t="s">
        <v>1646</v>
      </c>
      <c r="I1682">
        <f t="shared" si="26"/>
        <v>3</v>
      </c>
      <c r="J1682" t="s">
        <v>44</v>
      </c>
      <c r="K1682" t="str" cm="1">
        <f t="array" ref="K1682">_xlfn.SWITCH(TRIM(UPPER(J1682)),
"BUSINESS", "Short Stay",
"CONFERENCE", "Medium Stay",
"VACATION", "Iong Stay",
"HOLIDAY", "Long Stay",
"V", "Leisure",
"UNKNOWN", "Unknown",
"Other")</f>
        <v>Other</v>
      </c>
    </row>
    <row r="1683" spans="1:11" x14ac:dyDescent="0.3">
      <c r="A1683" t="s">
        <v>4902</v>
      </c>
      <c r="B1683" t="s">
        <v>1028</v>
      </c>
      <c r="C1683" t="s">
        <v>75</v>
      </c>
      <c r="D1683" t="s">
        <v>3731</v>
      </c>
      <c r="E1683" t="s">
        <v>430</v>
      </c>
      <c r="F1683" t="s">
        <v>4903</v>
      </c>
      <c r="G1683" t="s">
        <v>1030</v>
      </c>
      <c r="H1683" t="s">
        <v>1543</v>
      </c>
      <c r="I1683">
        <f t="shared" si="26"/>
        <v>1</v>
      </c>
      <c r="J1683" t="s">
        <v>121</v>
      </c>
      <c r="K1683" t="str" cm="1">
        <f t="array" ref="K1683">_xlfn.SWITCH(TRIM(UPPER(J1683)),
"BUSINESS", "Short Stay",
"CONFERENCE", "Medium Stay",
"VACATION", "Iong Stay",
"HOLIDAY", "Long Stay",
"V", "Leisure",
"UNKNOWN", "Unknown",
"Other")</f>
        <v>Iong Stay</v>
      </c>
    </row>
    <row r="1684" spans="1:11" x14ac:dyDescent="0.3">
      <c r="A1684" t="s">
        <v>4904</v>
      </c>
      <c r="B1684" t="s">
        <v>851</v>
      </c>
      <c r="C1684" t="s">
        <v>30</v>
      </c>
      <c r="D1684" t="s">
        <v>1802</v>
      </c>
      <c r="E1684" t="s">
        <v>23</v>
      </c>
      <c r="F1684" t="s">
        <v>4905</v>
      </c>
      <c r="G1684" t="s">
        <v>204</v>
      </c>
      <c r="H1684" t="s">
        <v>539</v>
      </c>
      <c r="I1684">
        <f t="shared" si="26"/>
        <v>4</v>
      </c>
      <c r="J1684" t="s">
        <v>121</v>
      </c>
      <c r="K1684" t="str" cm="1">
        <f t="array" ref="K1684">_xlfn.SWITCH(TRIM(UPPER(J1684)),
"BUSINESS", "Short Stay",
"CONFERENCE", "Medium Stay",
"VACATION", "Iong Stay",
"HOLIDAY", "Long Stay",
"V", "Leisure",
"UNKNOWN", "Unknown",
"Other")</f>
        <v>Iong Stay</v>
      </c>
    </row>
    <row r="1685" spans="1:11" x14ac:dyDescent="0.3">
      <c r="A1685" t="s">
        <v>4906</v>
      </c>
      <c r="B1685" t="s">
        <v>697</v>
      </c>
      <c r="C1685" t="s">
        <v>12</v>
      </c>
      <c r="D1685" t="s">
        <v>3841</v>
      </c>
      <c r="E1685" t="s">
        <v>23</v>
      </c>
      <c r="F1685" t="s">
        <v>4907</v>
      </c>
      <c r="G1685" t="s">
        <v>700</v>
      </c>
      <c r="H1685" t="s">
        <v>2517</v>
      </c>
      <c r="I1685">
        <f t="shared" si="26"/>
        <v>3</v>
      </c>
      <c r="J1685" t="s">
        <v>18</v>
      </c>
      <c r="K1685" t="str" cm="1">
        <f t="array" ref="K1685">_xlfn.SWITCH(TRIM(UPPER(J1685)),
"BUSINESS", "Short Stay",
"CONFERENCE", "Medium Stay",
"VACATION", "Iong Stay",
"HOLIDAY", "Long Stay",
"V", "Leisure",
"UNKNOWN", "Unknown",
"Other")</f>
        <v>Short Stay</v>
      </c>
    </row>
    <row r="1686" spans="1:11" x14ac:dyDescent="0.3">
      <c r="A1686" t="s">
        <v>4908</v>
      </c>
      <c r="B1686" t="s">
        <v>652</v>
      </c>
      <c r="C1686" t="s">
        <v>21</v>
      </c>
      <c r="D1686" t="s">
        <v>2775</v>
      </c>
      <c r="E1686" t="s">
        <v>23</v>
      </c>
      <c r="F1686" t="s">
        <v>4909</v>
      </c>
      <c r="G1686" t="s">
        <v>127</v>
      </c>
      <c r="H1686" t="s">
        <v>1109</v>
      </c>
      <c r="I1686">
        <f t="shared" si="26"/>
        <v>1</v>
      </c>
      <c r="J1686" t="s">
        <v>18</v>
      </c>
      <c r="K1686" t="str" cm="1">
        <f t="array" ref="K1686">_xlfn.SWITCH(TRIM(UPPER(J1686)),
"BUSINESS", "Short Stay",
"CONFERENCE", "Medium Stay",
"VACATION", "Iong Stay",
"HOLIDAY", "Long Stay",
"V", "Leisure",
"UNKNOWN", "Unknown",
"Other")</f>
        <v>Short Stay</v>
      </c>
    </row>
    <row r="1687" spans="1:11" x14ac:dyDescent="0.3">
      <c r="A1687" t="s">
        <v>4910</v>
      </c>
      <c r="B1687" t="s">
        <v>218</v>
      </c>
      <c r="C1687" t="s">
        <v>83</v>
      </c>
      <c r="D1687" t="s">
        <v>91</v>
      </c>
      <c r="E1687" t="s">
        <v>69</v>
      </c>
      <c r="F1687" t="s">
        <v>4911</v>
      </c>
      <c r="G1687" t="s">
        <v>221</v>
      </c>
      <c r="H1687" t="s">
        <v>178</v>
      </c>
      <c r="I1687">
        <f t="shared" si="26"/>
        <v>5</v>
      </c>
      <c r="J1687" t="s">
        <v>18</v>
      </c>
      <c r="K1687" t="str" cm="1">
        <f t="array" ref="K1687">_xlfn.SWITCH(TRIM(UPPER(J1687)),
"BUSINESS", "Short Stay",
"CONFERENCE", "Medium Stay",
"VACATION", "Iong Stay",
"HOLIDAY", "Long Stay",
"V", "Leisure",
"UNKNOWN", "Unknown",
"Other")</f>
        <v>Short Stay</v>
      </c>
    </row>
    <row r="1688" spans="1:11" x14ac:dyDescent="0.3">
      <c r="A1688" t="s">
        <v>4912</v>
      </c>
      <c r="B1688" t="s">
        <v>530</v>
      </c>
      <c r="C1688" t="s">
        <v>54</v>
      </c>
      <c r="D1688" t="s">
        <v>2357</v>
      </c>
      <c r="E1688" t="s">
        <v>214</v>
      </c>
      <c r="F1688" t="s">
        <v>4913</v>
      </c>
      <c r="G1688" t="s">
        <v>512</v>
      </c>
      <c r="H1688" t="s">
        <v>524</v>
      </c>
      <c r="I1688">
        <f t="shared" si="26"/>
        <v>5</v>
      </c>
      <c r="J1688" t="s">
        <v>121</v>
      </c>
      <c r="K1688" t="str" cm="1">
        <f t="array" ref="K1688">_xlfn.SWITCH(TRIM(UPPER(J1688)),
"BUSINESS", "Short Stay",
"CONFERENCE", "Medium Stay",
"VACATION", "Iong Stay",
"HOLIDAY", "Long Stay",
"V", "Leisure",
"UNKNOWN", "Unknown",
"Other")</f>
        <v>Iong Stay</v>
      </c>
    </row>
    <row r="1689" spans="1:11" x14ac:dyDescent="0.3">
      <c r="A1689" t="s">
        <v>4914</v>
      </c>
      <c r="B1689" t="s">
        <v>1718</v>
      </c>
      <c r="C1689" t="s">
        <v>54</v>
      </c>
      <c r="D1689" t="s">
        <v>4915</v>
      </c>
      <c r="E1689" t="s">
        <v>476</v>
      </c>
      <c r="F1689" t="s">
        <v>4916</v>
      </c>
      <c r="G1689" t="s">
        <v>877</v>
      </c>
      <c r="H1689" t="s">
        <v>42</v>
      </c>
      <c r="I1689">
        <f t="shared" si="26"/>
        <v>1</v>
      </c>
      <c r="J1689" t="s">
        <v>121</v>
      </c>
      <c r="K1689" t="str" cm="1">
        <f t="array" ref="K1689">_xlfn.SWITCH(TRIM(UPPER(J1689)),
"BUSINESS", "Short Stay",
"CONFERENCE", "Medium Stay",
"VACATION", "Iong Stay",
"HOLIDAY", "Long Stay",
"V", "Leisure",
"UNKNOWN", "Unknown",
"Other")</f>
        <v>Iong Stay</v>
      </c>
    </row>
    <row r="1690" spans="1:11" x14ac:dyDescent="0.3">
      <c r="A1690" t="s">
        <v>4917</v>
      </c>
      <c r="B1690" t="s">
        <v>60</v>
      </c>
      <c r="C1690" t="s">
        <v>61</v>
      </c>
      <c r="D1690" t="s">
        <v>767</v>
      </c>
      <c r="E1690" t="s">
        <v>85</v>
      </c>
      <c r="F1690" t="s">
        <v>3628</v>
      </c>
      <c r="G1690" t="s">
        <v>65</v>
      </c>
      <c r="H1690" t="s">
        <v>1159</v>
      </c>
      <c r="I1690">
        <f t="shared" si="26"/>
        <v>3</v>
      </c>
      <c r="J1690" t="s">
        <v>44</v>
      </c>
      <c r="K1690" t="str" cm="1">
        <f t="array" ref="K1690">_xlfn.SWITCH(TRIM(UPPER(J1690)),
"BUSINESS", "Short Stay",
"CONFERENCE", "Medium Stay",
"VACATION", "Iong Stay",
"HOLIDAY", "Long Stay",
"V", "Leisure",
"UNKNOWN", "Unknown",
"Other")</f>
        <v>Other</v>
      </c>
    </row>
    <row r="1691" spans="1:11" x14ac:dyDescent="0.3">
      <c r="A1691" t="s">
        <v>4918</v>
      </c>
      <c r="B1691" t="s">
        <v>606</v>
      </c>
      <c r="C1691" t="s">
        <v>12</v>
      </c>
      <c r="D1691" t="s">
        <v>3532</v>
      </c>
      <c r="E1691" t="s">
        <v>69</v>
      </c>
      <c r="F1691" t="s">
        <v>4919</v>
      </c>
      <c r="G1691" t="s">
        <v>604</v>
      </c>
      <c r="H1691" t="s">
        <v>1659</v>
      </c>
      <c r="I1691">
        <f t="shared" si="26"/>
        <v>2</v>
      </c>
      <c r="J1691" t="s">
        <v>18</v>
      </c>
      <c r="K1691" t="str" cm="1">
        <f t="array" ref="K1691">_xlfn.SWITCH(TRIM(UPPER(J1691)),
"BUSINESS", "Short Stay",
"CONFERENCE", "Medium Stay",
"VACATION", "Iong Stay",
"HOLIDAY", "Long Stay",
"V", "Leisure",
"UNKNOWN", "Unknown",
"Other")</f>
        <v>Short Stay</v>
      </c>
    </row>
    <row r="1692" spans="1:11" x14ac:dyDescent="0.3">
      <c r="A1692" t="s">
        <v>4920</v>
      </c>
      <c r="B1692" t="s">
        <v>980</v>
      </c>
      <c r="C1692" t="s">
        <v>12</v>
      </c>
      <c r="D1692" t="s">
        <v>4921</v>
      </c>
      <c r="E1692" t="s">
        <v>156</v>
      </c>
      <c r="F1692" t="s">
        <v>4922</v>
      </c>
      <c r="G1692" t="s">
        <v>983</v>
      </c>
      <c r="H1692" t="s">
        <v>327</v>
      </c>
      <c r="I1692">
        <f t="shared" si="26"/>
        <v>5</v>
      </c>
      <c r="J1692" t="s">
        <v>44</v>
      </c>
      <c r="K1692" t="str" cm="1">
        <f t="array" ref="K1692">_xlfn.SWITCH(TRIM(UPPER(J1692)),
"BUSINESS", "Short Stay",
"CONFERENCE", "Medium Stay",
"VACATION", "Iong Stay",
"HOLIDAY", "Long Stay",
"V", "Leisure",
"UNKNOWN", "Unknown",
"Other")</f>
        <v>Other</v>
      </c>
    </row>
    <row r="1693" spans="1:11" x14ac:dyDescent="0.3">
      <c r="A1693" t="s">
        <v>4923</v>
      </c>
      <c r="B1693" t="s">
        <v>385</v>
      </c>
      <c r="C1693" t="s">
        <v>54</v>
      </c>
      <c r="D1693" t="s">
        <v>3147</v>
      </c>
      <c r="E1693" t="s">
        <v>458</v>
      </c>
      <c r="F1693" t="s">
        <v>4924</v>
      </c>
      <c r="G1693" t="s">
        <v>80</v>
      </c>
      <c r="H1693" t="s">
        <v>345</v>
      </c>
      <c r="I1693">
        <f t="shared" si="26"/>
        <v>1</v>
      </c>
      <c r="J1693" t="s">
        <v>27</v>
      </c>
      <c r="K1693" t="str" cm="1">
        <f t="array" ref="K1693">_xlfn.SWITCH(TRIM(UPPER(J1693)),
"BUSINESS", "Short Stay",
"CONFERENCE", "Medium Stay",
"VACATION", "Iong Stay",
"HOLIDAY", "Long Stay",
"V", "Leisure",
"UNKNOWN", "Unknown",
"Other")</f>
        <v>Medium Stay</v>
      </c>
    </row>
    <row r="1694" spans="1:11" x14ac:dyDescent="0.3">
      <c r="A1694" t="s">
        <v>4925</v>
      </c>
      <c r="B1694" t="s">
        <v>456</v>
      </c>
      <c r="C1694" t="s">
        <v>61</v>
      </c>
      <c r="D1694" t="s">
        <v>3500</v>
      </c>
      <c r="E1694" t="s">
        <v>32</v>
      </c>
      <c r="F1694" t="s">
        <v>4926</v>
      </c>
      <c r="G1694" t="s">
        <v>454</v>
      </c>
      <c r="H1694" t="s">
        <v>460</v>
      </c>
      <c r="I1694">
        <f t="shared" si="26"/>
        <v>2</v>
      </c>
      <c r="J1694" t="s">
        <v>27</v>
      </c>
      <c r="K1694" t="str" cm="1">
        <f t="array" ref="K1694">_xlfn.SWITCH(TRIM(UPPER(J1694)),
"BUSINESS", "Short Stay",
"CONFERENCE", "Medium Stay",
"VACATION", "Iong Stay",
"HOLIDAY", "Long Stay",
"V", "Leisure",
"UNKNOWN", "Unknown",
"Other")</f>
        <v>Medium Stay</v>
      </c>
    </row>
    <row r="1695" spans="1:11" x14ac:dyDescent="0.3">
      <c r="A1695" t="s">
        <v>4927</v>
      </c>
      <c r="B1695" t="s">
        <v>3275</v>
      </c>
      <c r="C1695" t="s">
        <v>54</v>
      </c>
      <c r="D1695" t="s">
        <v>4928</v>
      </c>
      <c r="E1695" t="s">
        <v>48</v>
      </c>
      <c r="F1695" t="s">
        <v>4929</v>
      </c>
      <c r="G1695" t="s">
        <v>2677</v>
      </c>
      <c r="H1695" t="s">
        <v>877</v>
      </c>
      <c r="I1695">
        <f t="shared" si="26"/>
        <v>2</v>
      </c>
      <c r="J1695" t="s">
        <v>27</v>
      </c>
      <c r="K1695" t="str" cm="1">
        <f t="array" ref="K1695">_xlfn.SWITCH(TRIM(UPPER(J1695)),
"BUSINESS", "Short Stay",
"CONFERENCE", "Medium Stay",
"VACATION", "Iong Stay",
"HOLIDAY", "Long Stay",
"V", "Leisure",
"UNKNOWN", "Unknown",
"Other")</f>
        <v>Medium Stay</v>
      </c>
    </row>
    <row r="1696" spans="1:11" x14ac:dyDescent="0.3">
      <c r="A1696" t="s">
        <v>4930</v>
      </c>
      <c r="B1696" t="s">
        <v>682</v>
      </c>
      <c r="C1696" t="s">
        <v>97</v>
      </c>
      <c r="D1696" t="s">
        <v>1948</v>
      </c>
      <c r="E1696" t="s">
        <v>214</v>
      </c>
      <c r="F1696" t="s">
        <v>4931</v>
      </c>
      <c r="G1696" t="s">
        <v>685</v>
      </c>
      <c r="H1696" t="s">
        <v>1256</v>
      </c>
      <c r="I1696">
        <f t="shared" si="26"/>
        <v>3</v>
      </c>
      <c r="J1696" t="s">
        <v>121</v>
      </c>
      <c r="K1696" t="str" cm="1">
        <f t="array" ref="K1696">_xlfn.SWITCH(TRIM(UPPER(J1696)),
"BUSINESS", "Short Stay",
"CONFERENCE", "Medium Stay",
"VACATION", "Iong Stay",
"HOLIDAY", "Long Stay",
"V", "Leisure",
"UNKNOWN", "Unknown",
"Other")</f>
        <v>Iong Stay</v>
      </c>
    </row>
    <row r="1697" spans="1:11" x14ac:dyDescent="0.3">
      <c r="A1697" t="s">
        <v>4932</v>
      </c>
      <c r="B1697" t="s">
        <v>1698</v>
      </c>
      <c r="C1697" t="s">
        <v>61</v>
      </c>
      <c r="D1697" t="s">
        <v>3895</v>
      </c>
      <c r="E1697" t="s">
        <v>69</v>
      </c>
      <c r="F1697" t="s">
        <v>4933</v>
      </c>
      <c r="G1697" t="s">
        <v>759</v>
      </c>
      <c r="H1697" t="s">
        <v>119</v>
      </c>
      <c r="I1697">
        <f t="shared" si="26"/>
        <v>4</v>
      </c>
      <c r="J1697" t="s">
        <v>18</v>
      </c>
      <c r="K1697" t="str" cm="1">
        <f t="array" ref="K1697">_xlfn.SWITCH(TRIM(UPPER(J1697)),
"BUSINESS", "Short Stay",
"CONFERENCE", "Medium Stay",
"VACATION", "Iong Stay",
"HOLIDAY", "Long Stay",
"V", "Leisure",
"UNKNOWN", "Unknown",
"Other")</f>
        <v>Short Stay</v>
      </c>
    </row>
    <row r="1698" spans="1:11" x14ac:dyDescent="0.3">
      <c r="A1698" t="s">
        <v>4934</v>
      </c>
      <c r="B1698" t="s">
        <v>1709</v>
      </c>
      <c r="C1698" t="s">
        <v>30</v>
      </c>
      <c r="D1698" t="s">
        <v>1462</v>
      </c>
      <c r="E1698" t="s">
        <v>149</v>
      </c>
      <c r="F1698" t="s">
        <v>4935</v>
      </c>
      <c r="G1698" t="s">
        <v>133</v>
      </c>
      <c r="H1698" t="s">
        <v>593</v>
      </c>
      <c r="I1698">
        <f t="shared" si="26"/>
        <v>3</v>
      </c>
      <c r="J1698" t="s">
        <v>18</v>
      </c>
      <c r="K1698" t="str" cm="1">
        <f t="array" ref="K1698">_xlfn.SWITCH(TRIM(UPPER(J1698)),
"BUSINESS", "Short Stay",
"CONFERENCE", "Medium Stay",
"VACATION", "Iong Stay",
"HOLIDAY", "Long Stay",
"V", "Leisure",
"UNKNOWN", "Unknown",
"Other")</f>
        <v>Short Stay</v>
      </c>
    </row>
    <row r="1699" spans="1:11" x14ac:dyDescent="0.3">
      <c r="A1699" t="s">
        <v>4936</v>
      </c>
      <c r="B1699" t="s">
        <v>4778</v>
      </c>
      <c r="C1699" t="s">
        <v>174</v>
      </c>
      <c r="D1699" t="s">
        <v>1664</v>
      </c>
      <c r="E1699" t="s">
        <v>430</v>
      </c>
      <c r="F1699" t="s">
        <v>4937</v>
      </c>
      <c r="G1699" t="s">
        <v>1220</v>
      </c>
      <c r="H1699" t="s">
        <v>1100</v>
      </c>
      <c r="I1699">
        <f t="shared" si="26"/>
        <v>4</v>
      </c>
      <c r="J1699" t="s">
        <v>18</v>
      </c>
      <c r="K1699" t="str" cm="1">
        <f t="array" ref="K1699">_xlfn.SWITCH(TRIM(UPPER(J1699)),
"BUSINESS", "Short Stay",
"CONFERENCE", "Medium Stay",
"VACATION", "Iong Stay",
"HOLIDAY", "Long Stay",
"V", "Leisure",
"UNKNOWN", "Unknown",
"Other")</f>
        <v>Short Stay</v>
      </c>
    </row>
    <row r="1700" spans="1:11" x14ac:dyDescent="0.3">
      <c r="A1700" t="s">
        <v>4938</v>
      </c>
      <c r="B1700" t="s">
        <v>2374</v>
      </c>
      <c r="C1700" t="s">
        <v>21</v>
      </c>
      <c r="D1700" t="s">
        <v>1094</v>
      </c>
      <c r="E1700" t="s">
        <v>476</v>
      </c>
      <c r="F1700" t="s">
        <v>4939</v>
      </c>
      <c r="G1700" t="s">
        <v>113</v>
      </c>
      <c r="H1700" t="s">
        <v>426</v>
      </c>
      <c r="I1700">
        <f t="shared" si="26"/>
        <v>1</v>
      </c>
      <c r="J1700" t="s">
        <v>44</v>
      </c>
      <c r="K1700" t="str" cm="1">
        <f t="array" ref="K1700">_xlfn.SWITCH(TRIM(UPPER(J1700)),
"BUSINESS", "Short Stay",
"CONFERENCE", "Medium Stay",
"VACATION", "Iong Stay",
"HOLIDAY", "Long Stay",
"V", "Leisure",
"UNKNOWN", "Unknown",
"Other")</f>
        <v>Other</v>
      </c>
    </row>
    <row r="1701" spans="1:11" x14ac:dyDescent="0.3">
      <c r="A1701" t="s">
        <v>4940</v>
      </c>
      <c r="B1701" t="s">
        <v>652</v>
      </c>
      <c r="C1701" t="s">
        <v>174</v>
      </c>
      <c r="D1701" t="s">
        <v>2158</v>
      </c>
      <c r="E1701" t="s">
        <v>32</v>
      </c>
      <c r="F1701" t="s">
        <v>4941</v>
      </c>
      <c r="G1701" t="s">
        <v>127</v>
      </c>
      <c r="H1701" t="s">
        <v>422</v>
      </c>
      <c r="I1701">
        <f t="shared" si="26"/>
        <v>2</v>
      </c>
      <c r="J1701" t="s">
        <v>121</v>
      </c>
      <c r="K1701" t="str" cm="1">
        <f t="array" ref="K1701">_xlfn.SWITCH(TRIM(UPPER(J1701)),
"BUSINESS", "Short Stay",
"CONFERENCE", "Medium Stay",
"VACATION", "Iong Stay",
"HOLIDAY", "Long Stay",
"V", "Leisure",
"UNKNOWN", "Unknown",
"Other")</f>
        <v>Iong Stay</v>
      </c>
    </row>
    <row r="1702" spans="1:11" x14ac:dyDescent="0.3">
      <c r="A1702" t="s">
        <v>4942</v>
      </c>
      <c r="B1702" t="s">
        <v>1667</v>
      </c>
      <c r="C1702" t="s">
        <v>174</v>
      </c>
      <c r="D1702" t="s">
        <v>2842</v>
      </c>
      <c r="E1702" t="s">
        <v>156</v>
      </c>
      <c r="F1702" t="s">
        <v>4943</v>
      </c>
      <c r="G1702" t="s">
        <v>1670</v>
      </c>
      <c r="H1702" t="s">
        <v>43</v>
      </c>
      <c r="I1702">
        <f t="shared" si="26"/>
        <v>1</v>
      </c>
      <c r="J1702" t="s">
        <v>18</v>
      </c>
      <c r="K1702" t="str" cm="1">
        <f t="array" ref="K1702">_xlfn.SWITCH(TRIM(UPPER(J1702)),
"BUSINESS", "Short Stay",
"CONFERENCE", "Medium Stay",
"VACATION", "Iong Stay",
"HOLIDAY", "Long Stay",
"V", "Leisure",
"UNKNOWN", "Unknown",
"Other")</f>
        <v>Short Stay</v>
      </c>
    </row>
    <row r="1703" spans="1:11" x14ac:dyDescent="0.3">
      <c r="A1703" t="s">
        <v>4944</v>
      </c>
      <c r="B1703" t="s">
        <v>1373</v>
      </c>
      <c r="C1703" t="s">
        <v>97</v>
      </c>
      <c r="D1703" t="s">
        <v>3431</v>
      </c>
      <c r="E1703" t="s">
        <v>149</v>
      </c>
      <c r="F1703" t="s">
        <v>4945</v>
      </c>
      <c r="G1703" t="s">
        <v>720</v>
      </c>
      <c r="H1703" t="s">
        <v>838</v>
      </c>
      <c r="I1703">
        <f t="shared" si="26"/>
        <v>1</v>
      </c>
      <c r="J1703" t="s">
        <v>18</v>
      </c>
      <c r="K1703" t="str" cm="1">
        <f t="array" ref="K1703">_xlfn.SWITCH(TRIM(UPPER(J1703)),
"BUSINESS", "Short Stay",
"CONFERENCE", "Medium Stay",
"VACATION", "Iong Stay",
"HOLIDAY", "Long Stay",
"V", "Leisure",
"UNKNOWN", "Unknown",
"Other")</f>
        <v>Short Stay</v>
      </c>
    </row>
    <row r="1704" spans="1:11" x14ac:dyDescent="0.3">
      <c r="A1704" t="s">
        <v>4946</v>
      </c>
      <c r="B1704" t="s">
        <v>1722</v>
      </c>
      <c r="C1704" t="s">
        <v>38</v>
      </c>
      <c r="D1704" t="s">
        <v>3207</v>
      </c>
      <c r="E1704" t="s">
        <v>117</v>
      </c>
      <c r="F1704" t="s">
        <v>2633</v>
      </c>
      <c r="G1704" t="s">
        <v>635</v>
      </c>
      <c r="H1704" t="s">
        <v>523</v>
      </c>
      <c r="I1704">
        <f t="shared" si="26"/>
        <v>1</v>
      </c>
      <c r="J1704" t="s">
        <v>18</v>
      </c>
      <c r="K1704" t="str" cm="1">
        <f t="array" ref="K1704">_xlfn.SWITCH(TRIM(UPPER(J1704)),
"BUSINESS", "Short Stay",
"CONFERENCE", "Medium Stay",
"VACATION", "Iong Stay",
"HOLIDAY", "Long Stay",
"V", "Leisure",
"UNKNOWN", "Unknown",
"Other")</f>
        <v>Short Stay</v>
      </c>
    </row>
    <row r="1705" spans="1:11" x14ac:dyDescent="0.3">
      <c r="A1705" t="s">
        <v>4947</v>
      </c>
      <c r="B1705" t="s">
        <v>835</v>
      </c>
      <c r="C1705" t="s">
        <v>30</v>
      </c>
      <c r="D1705" t="s">
        <v>618</v>
      </c>
      <c r="E1705" t="s">
        <v>32</v>
      </c>
      <c r="F1705" t="s">
        <v>4948</v>
      </c>
      <c r="G1705" t="s">
        <v>838</v>
      </c>
      <c r="H1705" t="s">
        <v>377</v>
      </c>
      <c r="I1705">
        <f t="shared" si="26"/>
        <v>1</v>
      </c>
      <c r="J1705" t="s">
        <v>44</v>
      </c>
      <c r="K1705" t="str" cm="1">
        <f t="array" ref="K1705">_xlfn.SWITCH(TRIM(UPPER(J1705)),
"BUSINESS", "Short Stay",
"CONFERENCE", "Medium Stay",
"VACATION", "Iong Stay",
"HOLIDAY", "Long Stay",
"V", "Leisure",
"UNKNOWN", "Unknown",
"Other")</f>
        <v>Other</v>
      </c>
    </row>
    <row r="1706" spans="1:11" x14ac:dyDescent="0.3">
      <c r="A1706" t="s">
        <v>4949</v>
      </c>
      <c r="B1706" t="s">
        <v>1186</v>
      </c>
      <c r="C1706" t="s">
        <v>54</v>
      </c>
      <c r="D1706" t="s">
        <v>3107</v>
      </c>
      <c r="E1706" t="s">
        <v>214</v>
      </c>
      <c r="F1706" t="s">
        <v>4950</v>
      </c>
      <c r="G1706" t="s">
        <v>931</v>
      </c>
      <c r="H1706" t="s">
        <v>392</v>
      </c>
      <c r="I1706">
        <f t="shared" si="26"/>
        <v>4</v>
      </c>
      <c r="J1706" t="s">
        <v>121</v>
      </c>
      <c r="K1706" t="str" cm="1">
        <f t="array" ref="K1706">_xlfn.SWITCH(TRIM(UPPER(J1706)),
"BUSINESS", "Short Stay",
"CONFERENCE", "Medium Stay",
"VACATION", "Iong Stay",
"HOLIDAY", "Long Stay",
"V", "Leisure",
"UNKNOWN", "Unknown",
"Other")</f>
        <v>Iong Stay</v>
      </c>
    </row>
    <row r="1707" spans="1:11" x14ac:dyDescent="0.3">
      <c r="A1707" t="s">
        <v>4951</v>
      </c>
      <c r="B1707" t="s">
        <v>863</v>
      </c>
      <c r="C1707" t="s">
        <v>97</v>
      </c>
      <c r="D1707" t="s">
        <v>3112</v>
      </c>
      <c r="E1707" t="s">
        <v>430</v>
      </c>
      <c r="F1707" t="s">
        <v>4952</v>
      </c>
      <c r="G1707" t="s">
        <v>548</v>
      </c>
      <c r="H1707" t="s">
        <v>79</v>
      </c>
      <c r="I1707">
        <f t="shared" si="26"/>
        <v>4</v>
      </c>
      <c r="J1707" t="s">
        <v>27</v>
      </c>
      <c r="K1707" t="str" cm="1">
        <f t="array" ref="K1707">_xlfn.SWITCH(TRIM(UPPER(J1707)),
"BUSINESS", "Short Stay",
"CONFERENCE", "Medium Stay",
"VACATION", "Iong Stay",
"HOLIDAY", "Long Stay",
"V", "Leisure",
"UNKNOWN", "Unknown",
"Other")</f>
        <v>Medium Stay</v>
      </c>
    </row>
    <row r="1708" spans="1:11" x14ac:dyDescent="0.3">
      <c r="A1708" t="s">
        <v>4953</v>
      </c>
      <c r="B1708" t="s">
        <v>1585</v>
      </c>
      <c r="C1708" t="s">
        <v>97</v>
      </c>
      <c r="D1708" t="s">
        <v>4954</v>
      </c>
      <c r="E1708" t="s">
        <v>476</v>
      </c>
      <c r="F1708" t="s">
        <v>4955</v>
      </c>
      <c r="G1708" t="s">
        <v>1588</v>
      </c>
      <c r="H1708" t="s">
        <v>796</v>
      </c>
      <c r="I1708">
        <f t="shared" si="26"/>
        <v>2</v>
      </c>
      <c r="J1708" t="s">
        <v>27</v>
      </c>
      <c r="K1708" t="str" cm="1">
        <f t="array" ref="K1708">_xlfn.SWITCH(TRIM(UPPER(J1708)),
"BUSINESS", "Short Stay",
"CONFERENCE", "Medium Stay",
"VACATION", "Iong Stay",
"HOLIDAY", "Long Stay",
"V", "Leisure",
"UNKNOWN", "Unknown",
"Other")</f>
        <v>Medium Stay</v>
      </c>
    </row>
    <row r="1709" spans="1:11" x14ac:dyDescent="0.3">
      <c r="A1709" t="s">
        <v>4956</v>
      </c>
      <c r="B1709" t="s">
        <v>1601</v>
      </c>
      <c r="C1709" t="s">
        <v>75</v>
      </c>
      <c r="D1709" t="s">
        <v>3012</v>
      </c>
      <c r="E1709" t="s">
        <v>214</v>
      </c>
      <c r="F1709" t="s">
        <v>4957</v>
      </c>
      <c r="G1709" t="s">
        <v>1604</v>
      </c>
      <c r="H1709" t="s">
        <v>1030</v>
      </c>
      <c r="I1709">
        <f t="shared" si="26"/>
        <v>1</v>
      </c>
      <c r="J1709" t="s">
        <v>121</v>
      </c>
      <c r="K1709" t="str" cm="1">
        <f t="array" ref="K1709">_xlfn.SWITCH(TRIM(UPPER(J1709)),
"BUSINESS", "Short Stay",
"CONFERENCE", "Medium Stay",
"VACATION", "Iong Stay",
"HOLIDAY", "Long Stay",
"V", "Leisure",
"UNKNOWN", "Unknown",
"Other")</f>
        <v>Iong Stay</v>
      </c>
    </row>
    <row r="1710" spans="1:11" x14ac:dyDescent="0.3">
      <c r="A1710" t="s">
        <v>4958</v>
      </c>
      <c r="B1710" t="s">
        <v>2635</v>
      </c>
      <c r="C1710" t="s">
        <v>83</v>
      </c>
      <c r="D1710" t="s">
        <v>3455</v>
      </c>
      <c r="E1710" t="s">
        <v>77</v>
      </c>
      <c r="F1710" t="s">
        <v>4959</v>
      </c>
      <c r="G1710" t="s">
        <v>2628</v>
      </c>
      <c r="H1710" t="s">
        <v>577</v>
      </c>
      <c r="I1710">
        <f t="shared" si="26"/>
        <v>4</v>
      </c>
      <c r="J1710" t="s">
        <v>27</v>
      </c>
      <c r="K1710" t="str" cm="1">
        <f t="array" ref="K1710">_xlfn.SWITCH(TRIM(UPPER(J1710)),
"BUSINESS", "Short Stay",
"CONFERENCE", "Medium Stay",
"VACATION", "Iong Stay",
"HOLIDAY", "Long Stay",
"V", "Leisure",
"UNKNOWN", "Unknown",
"Other")</f>
        <v>Medium Stay</v>
      </c>
    </row>
    <row r="1711" spans="1:11" x14ac:dyDescent="0.3">
      <c r="A1711" t="s">
        <v>4960</v>
      </c>
      <c r="B1711" t="s">
        <v>2531</v>
      </c>
      <c r="C1711" t="s">
        <v>21</v>
      </c>
      <c r="D1711" t="s">
        <v>4573</v>
      </c>
      <c r="E1711" t="s">
        <v>40</v>
      </c>
      <c r="F1711" t="s">
        <v>4961</v>
      </c>
      <c r="G1711" t="s">
        <v>1986</v>
      </c>
      <c r="H1711" t="s">
        <v>399</v>
      </c>
      <c r="I1711">
        <f t="shared" si="26"/>
        <v>3</v>
      </c>
      <c r="J1711" t="s">
        <v>44</v>
      </c>
      <c r="K1711" t="str" cm="1">
        <f t="array" ref="K1711">_xlfn.SWITCH(TRIM(UPPER(J1711)),
"BUSINESS", "Short Stay",
"CONFERENCE", "Medium Stay",
"VACATION", "Iong Stay",
"HOLIDAY", "Long Stay",
"V", "Leisure",
"UNKNOWN", "Unknown",
"Other")</f>
        <v>Other</v>
      </c>
    </row>
    <row r="1712" spans="1:11" x14ac:dyDescent="0.3">
      <c r="A1712" t="s">
        <v>4962</v>
      </c>
      <c r="B1712" t="s">
        <v>879</v>
      </c>
      <c r="C1712" t="s">
        <v>61</v>
      </c>
      <c r="D1712" t="s">
        <v>1417</v>
      </c>
      <c r="E1712" t="s">
        <v>48</v>
      </c>
      <c r="F1712" t="s">
        <v>4963</v>
      </c>
      <c r="G1712" t="s">
        <v>179</v>
      </c>
      <c r="H1712" t="s">
        <v>1415</v>
      </c>
      <c r="I1712">
        <f t="shared" si="26"/>
        <v>4</v>
      </c>
      <c r="J1712" t="s">
        <v>27</v>
      </c>
      <c r="K1712" t="str" cm="1">
        <f t="array" ref="K1712">_xlfn.SWITCH(TRIM(UPPER(J1712)),
"BUSINESS", "Short Stay",
"CONFERENCE", "Medium Stay",
"VACATION", "Iong Stay",
"HOLIDAY", "Long Stay",
"V", "Leisure",
"UNKNOWN", "Unknown",
"Other")</f>
        <v>Medium Stay</v>
      </c>
    </row>
    <row r="1713" spans="1:11" x14ac:dyDescent="0.3">
      <c r="A1713" t="s">
        <v>4964</v>
      </c>
      <c r="B1713" t="s">
        <v>199</v>
      </c>
      <c r="C1713" t="s">
        <v>12</v>
      </c>
      <c r="D1713" t="s">
        <v>4006</v>
      </c>
      <c r="E1713" t="s">
        <v>214</v>
      </c>
      <c r="F1713" t="s">
        <v>4965</v>
      </c>
      <c r="G1713" t="s">
        <v>203</v>
      </c>
      <c r="H1713" t="s">
        <v>538</v>
      </c>
      <c r="I1713">
        <f t="shared" si="26"/>
        <v>4</v>
      </c>
      <c r="J1713" t="s">
        <v>121</v>
      </c>
      <c r="K1713" t="str" cm="1">
        <f t="array" ref="K1713">_xlfn.SWITCH(TRIM(UPPER(J1713)),
"BUSINESS", "Short Stay",
"CONFERENCE", "Medium Stay",
"VACATION", "Iong Stay",
"HOLIDAY", "Long Stay",
"V", "Leisure",
"UNKNOWN", "Unknown",
"Other")</f>
        <v>Iong Stay</v>
      </c>
    </row>
    <row r="1714" spans="1:11" x14ac:dyDescent="0.3">
      <c r="A1714" t="s">
        <v>4966</v>
      </c>
      <c r="B1714" t="s">
        <v>580</v>
      </c>
      <c r="C1714" t="s">
        <v>61</v>
      </c>
      <c r="D1714" t="s">
        <v>4641</v>
      </c>
      <c r="E1714" t="s">
        <v>176</v>
      </c>
      <c r="F1714" t="s">
        <v>4967</v>
      </c>
      <c r="G1714" t="s">
        <v>583</v>
      </c>
      <c r="H1714" t="s">
        <v>951</v>
      </c>
      <c r="I1714">
        <f t="shared" si="26"/>
        <v>4</v>
      </c>
      <c r="J1714" t="s">
        <v>27</v>
      </c>
      <c r="K1714" t="str" cm="1">
        <f t="array" ref="K1714">_xlfn.SWITCH(TRIM(UPPER(J1714)),
"BUSINESS", "Short Stay",
"CONFERENCE", "Medium Stay",
"VACATION", "Iong Stay",
"HOLIDAY", "Long Stay",
"V", "Leisure",
"UNKNOWN", "Unknown",
"Other")</f>
        <v>Medium Stay</v>
      </c>
    </row>
    <row r="1715" spans="1:11" x14ac:dyDescent="0.3">
      <c r="A1715" t="s">
        <v>4968</v>
      </c>
      <c r="B1715" t="s">
        <v>2063</v>
      </c>
      <c r="C1715" t="s">
        <v>97</v>
      </c>
      <c r="D1715" t="s">
        <v>3567</v>
      </c>
      <c r="E1715" t="s">
        <v>314</v>
      </c>
      <c r="F1715" t="s">
        <v>4969</v>
      </c>
      <c r="G1715" t="s">
        <v>1243</v>
      </c>
      <c r="H1715" t="s">
        <v>1432</v>
      </c>
      <c r="I1715">
        <f t="shared" si="26"/>
        <v>4</v>
      </c>
      <c r="J1715" t="s">
        <v>27</v>
      </c>
      <c r="K1715" t="str" cm="1">
        <f t="array" ref="K1715">_xlfn.SWITCH(TRIM(UPPER(J1715)),
"BUSINESS", "Short Stay",
"CONFERENCE", "Medium Stay",
"VACATION", "Iong Stay",
"HOLIDAY", "Long Stay",
"V", "Leisure",
"UNKNOWN", "Unknown",
"Other")</f>
        <v>Medium Stay</v>
      </c>
    </row>
    <row r="1716" spans="1:11" x14ac:dyDescent="0.3">
      <c r="A1716" t="s">
        <v>4970</v>
      </c>
      <c r="B1716" t="s">
        <v>406</v>
      </c>
      <c r="C1716" t="s">
        <v>30</v>
      </c>
      <c r="D1716" t="s">
        <v>4401</v>
      </c>
      <c r="E1716" t="s">
        <v>458</v>
      </c>
      <c r="F1716" t="s">
        <v>4971</v>
      </c>
      <c r="G1716" t="s">
        <v>409</v>
      </c>
      <c r="H1716" t="s">
        <v>410</v>
      </c>
      <c r="I1716">
        <f t="shared" si="26"/>
        <v>2</v>
      </c>
      <c r="J1716" t="s">
        <v>121</v>
      </c>
      <c r="K1716" t="str" cm="1">
        <f t="array" ref="K1716">_xlfn.SWITCH(TRIM(UPPER(J1716)),
"BUSINESS", "Short Stay",
"CONFERENCE", "Medium Stay",
"VACATION", "Iong Stay",
"HOLIDAY", "Long Stay",
"V", "Leisure",
"UNKNOWN", "Unknown",
"Other")</f>
        <v>Iong Stay</v>
      </c>
    </row>
    <row r="1717" spans="1:11" x14ac:dyDescent="0.3">
      <c r="A1717" t="s">
        <v>4972</v>
      </c>
      <c r="B1717" t="s">
        <v>1071</v>
      </c>
      <c r="C1717" t="s">
        <v>54</v>
      </c>
      <c r="D1717" t="s">
        <v>4973</v>
      </c>
      <c r="E1717" t="s">
        <v>63</v>
      </c>
      <c r="F1717" t="s">
        <v>4974</v>
      </c>
      <c r="G1717" t="s">
        <v>1073</v>
      </c>
      <c r="H1717" t="s">
        <v>72</v>
      </c>
      <c r="I1717">
        <f t="shared" si="26"/>
        <v>2</v>
      </c>
      <c r="J1717" t="s">
        <v>27</v>
      </c>
      <c r="K1717" t="str" cm="1">
        <f t="array" ref="K1717">_xlfn.SWITCH(TRIM(UPPER(J1717)),
"BUSINESS", "Short Stay",
"CONFERENCE", "Medium Stay",
"VACATION", "Iong Stay",
"HOLIDAY", "Long Stay",
"V", "Leisure",
"UNKNOWN", "Unknown",
"Other")</f>
        <v>Medium Stay</v>
      </c>
    </row>
    <row r="1718" spans="1:11" x14ac:dyDescent="0.3">
      <c r="A1718" t="s">
        <v>4975</v>
      </c>
      <c r="B1718" t="s">
        <v>1795</v>
      </c>
      <c r="C1718" t="s">
        <v>174</v>
      </c>
      <c r="D1718" t="s">
        <v>852</v>
      </c>
      <c r="E1718" t="s">
        <v>48</v>
      </c>
      <c r="F1718" t="s">
        <v>4976</v>
      </c>
      <c r="G1718" t="s">
        <v>1797</v>
      </c>
      <c r="H1718" t="s">
        <v>726</v>
      </c>
      <c r="I1718">
        <f t="shared" si="26"/>
        <v>4</v>
      </c>
      <c r="J1718" t="s">
        <v>18</v>
      </c>
      <c r="K1718" t="str" cm="1">
        <f t="array" ref="K1718">_xlfn.SWITCH(TRIM(UPPER(J1718)),
"BUSINESS", "Short Stay",
"CONFERENCE", "Medium Stay",
"VACATION", "Iong Stay",
"HOLIDAY", "Long Stay",
"V", "Leisure",
"UNKNOWN", "Unknown",
"Other")</f>
        <v>Short Stay</v>
      </c>
    </row>
    <row r="1719" spans="1:11" x14ac:dyDescent="0.3">
      <c r="A1719" t="s">
        <v>4977</v>
      </c>
      <c r="B1719" t="s">
        <v>2073</v>
      </c>
      <c r="C1719" t="s">
        <v>174</v>
      </c>
      <c r="D1719" t="s">
        <v>4558</v>
      </c>
      <c r="E1719" t="s">
        <v>458</v>
      </c>
      <c r="F1719" t="s">
        <v>2432</v>
      </c>
      <c r="G1719" t="s">
        <v>1300</v>
      </c>
      <c r="H1719" t="s">
        <v>152</v>
      </c>
      <c r="I1719">
        <f t="shared" si="26"/>
        <v>2</v>
      </c>
      <c r="J1719" t="s">
        <v>27</v>
      </c>
      <c r="K1719" t="str" cm="1">
        <f t="array" ref="K1719">_xlfn.SWITCH(TRIM(UPPER(J1719)),
"BUSINESS", "Short Stay",
"CONFERENCE", "Medium Stay",
"VACATION", "Iong Stay",
"HOLIDAY", "Long Stay",
"V", "Leisure",
"UNKNOWN", "Unknown",
"Other")</f>
        <v>Medium Stay</v>
      </c>
    </row>
    <row r="1720" spans="1:11" x14ac:dyDescent="0.3">
      <c r="A1720" t="s">
        <v>4978</v>
      </c>
      <c r="B1720" t="s">
        <v>29</v>
      </c>
      <c r="C1720" t="s">
        <v>30</v>
      </c>
      <c r="D1720" t="s">
        <v>3406</v>
      </c>
      <c r="E1720" t="s">
        <v>156</v>
      </c>
      <c r="F1720" t="s">
        <v>4979</v>
      </c>
      <c r="G1720" t="s">
        <v>34</v>
      </c>
      <c r="H1720" t="s">
        <v>749</v>
      </c>
      <c r="I1720">
        <f t="shared" si="26"/>
        <v>5</v>
      </c>
      <c r="J1720" t="s">
        <v>44</v>
      </c>
      <c r="K1720" t="str" cm="1">
        <f t="array" ref="K1720">_xlfn.SWITCH(TRIM(UPPER(J1720)),
"BUSINESS", "Short Stay",
"CONFERENCE", "Medium Stay",
"VACATION", "Iong Stay",
"HOLIDAY", "Long Stay",
"V", "Leisure",
"UNKNOWN", "Unknown",
"Other")</f>
        <v>Other</v>
      </c>
    </row>
    <row r="1721" spans="1:11" x14ac:dyDescent="0.3">
      <c r="A1721" t="s">
        <v>4980</v>
      </c>
      <c r="B1721" t="s">
        <v>385</v>
      </c>
      <c r="C1721" t="s">
        <v>30</v>
      </c>
      <c r="D1721" t="s">
        <v>3649</v>
      </c>
      <c r="E1721" t="s">
        <v>430</v>
      </c>
      <c r="F1721" t="s">
        <v>3329</v>
      </c>
      <c r="G1721" t="s">
        <v>80</v>
      </c>
      <c r="H1721" t="s">
        <v>583</v>
      </c>
      <c r="I1721">
        <f t="shared" si="26"/>
        <v>5</v>
      </c>
      <c r="J1721" t="s">
        <v>27</v>
      </c>
      <c r="K1721" t="str" cm="1">
        <f t="array" ref="K1721">_xlfn.SWITCH(TRIM(UPPER(J1721)),
"BUSINESS", "Short Stay",
"CONFERENCE", "Medium Stay",
"VACATION", "Iong Stay",
"HOLIDAY", "Long Stay",
"V", "Leisure",
"UNKNOWN", "Unknown",
"Other")</f>
        <v>Medium Stay</v>
      </c>
    </row>
    <row r="1722" spans="1:11" x14ac:dyDescent="0.3">
      <c r="A1722" t="s">
        <v>4981</v>
      </c>
      <c r="B1722" t="s">
        <v>3046</v>
      </c>
      <c r="C1722" t="s">
        <v>61</v>
      </c>
      <c r="D1722" t="s">
        <v>4982</v>
      </c>
      <c r="E1722" t="s">
        <v>201</v>
      </c>
      <c r="F1722" t="s">
        <v>4983</v>
      </c>
      <c r="G1722" t="s">
        <v>1589</v>
      </c>
      <c r="H1722" t="s">
        <v>1456</v>
      </c>
      <c r="I1722">
        <f t="shared" si="26"/>
        <v>1</v>
      </c>
      <c r="J1722" t="s">
        <v>18</v>
      </c>
      <c r="K1722" t="str" cm="1">
        <f t="array" ref="K1722">_xlfn.SWITCH(TRIM(UPPER(J1722)),
"BUSINESS", "Short Stay",
"CONFERENCE", "Medium Stay",
"VACATION", "Iong Stay",
"HOLIDAY", "Long Stay",
"V", "Leisure",
"UNKNOWN", "Unknown",
"Other")</f>
        <v>Short Stay</v>
      </c>
    </row>
    <row r="1723" spans="1:11" x14ac:dyDescent="0.3">
      <c r="A1723" t="s">
        <v>4984</v>
      </c>
      <c r="B1723" t="s">
        <v>1206</v>
      </c>
      <c r="C1723" t="s">
        <v>174</v>
      </c>
      <c r="D1723" t="s">
        <v>875</v>
      </c>
      <c r="E1723" t="s">
        <v>476</v>
      </c>
      <c r="F1723" t="s">
        <v>4985</v>
      </c>
      <c r="G1723" t="s">
        <v>1208</v>
      </c>
      <c r="H1723" t="s">
        <v>2398</v>
      </c>
      <c r="I1723">
        <f t="shared" si="26"/>
        <v>4</v>
      </c>
      <c r="J1723" t="s">
        <v>121</v>
      </c>
      <c r="K1723" t="str" cm="1">
        <f t="array" ref="K1723">_xlfn.SWITCH(TRIM(UPPER(J1723)),
"BUSINESS", "Short Stay",
"CONFERENCE", "Medium Stay",
"VACATION", "Iong Stay",
"HOLIDAY", "Long Stay",
"V", "Leisure",
"UNKNOWN", "Unknown",
"Other")</f>
        <v>Iong Stay</v>
      </c>
    </row>
    <row r="1724" spans="1:11" x14ac:dyDescent="0.3">
      <c r="A1724" t="s">
        <v>4986</v>
      </c>
      <c r="B1724" t="s">
        <v>2711</v>
      </c>
      <c r="C1724" t="s">
        <v>21</v>
      </c>
      <c r="D1724" t="s">
        <v>987</v>
      </c>
      <c r="E1724" t="s">
        <v>63</v>
      </c>
      <c r="F1724" t="s">
        <v>4987</v>
      </c>
      <c r="G1724" t="s">
        <v>222</v>
      </c>
      <c r="H1724" t="s">
        <v>1025</v>
      </c>
      <c r="I1724">
        <f t="shared" si="26"/>
        <v>5</v>
      </c>
      <c r="J1724" t="s">
        <v>44</v>
      </c>
      <c r="K1724" t="str" cm="1">
        <f t="array" ref="K1724">_xlfn.SWITCH(TRIM(UPPER(J1724)),
"BUSINESS", "Short Stay",
"CONFERENCE", "Medium Stay",
"VACATION", "Iong Stay",
"HOLIDAY", "Long Stay",
"V", "Leisure",
"UNKNOWN", "Unknown",
"Other")</f>
        <v>Other</v>
      </c>
    </row>
    <row r="1725" spans="1:11" x14ac:dyDescent="0.3">
      <c r="A1725" t="s">
        <v>4988</v>
      </c>
      <c r="B1725" t="s">
        <v>96</v>
      </c>
      <c r="C1725" t="s">
        <v>83</v>
      </c>
      <c r="D1725" t="s">
        <v>1919</v>
      </c>
      <c r="E1725" t="s">
        <v>201</v>
      </c>
      <c r="F1725" t="s">
        <v>4989</v>
      </c>
      <c r="G1725" t="s">
        <v>100</v>
      </c>
      <c r="H1725" t="s">
        <v>101</v>
      </c>
      <c r="I1725">
        <f t="shared" si="26"/>
        <v>4</v>
      </c>
      <c r="J1725" t="s">
        <v>27</v>
      </c>
      <c r="K1725" t="str" cm="1">
        <f t="array" ref="K1725">_xlfn.SWITCH(TRIM(UPPER(J1725)),
"BUSINESS", "Short Stay",
"CONFERENCE", "Medium Stay",
"VACATION", "Iong Stay",
"HOLIDAY", "Long Stay",
"V", "Leisure",
"UNKNOWN", "Unknown",
"Other")</f>
        <v>Medium Stay</v>
      </c>
    </row>
    <row r="1726" spans="1:11" x14ac:dyDescent="0.3">
      <c r="A1726" t="s">
        <v>4990</v>
      </c>
      <c r="B1726" t="s">
        <v>2935</v>
      </c>
      <c r="C1726" t="s">
        <v>12</v>
      </c>
      <c r="D1726" t="s">
        <v>1298</v>
      </c>
      <c r="E1726" t="s">
        <v>32</v>
      </c>
      <c r="F1726" t="s">
        <v>4991</v>
      </c>
      <c r="G1726" t="s">
        <v>2840</v>
      </c>
      <c r="H1726" t="s">
        <v>2398</v>
      </c>
      <c r="I1726">
        <f t="shared" si="26"/>
        <v>5</v>
      </c>
      <c r="J1726" t="s">
        <v>27</v>
      </c>
      <c r="K1726" t="str" cm="1">
        <f t="array" ref="K1726">_xlfn.SWITCH(TRIM(UPPER(J1726)),
"BUSINESS", "Short Stay",
"CONFERENCE", "Medium Stay",
"VACATION", "Iong Stay",
"HOLIDAY", "Long Stay",
"V", "Leisure",
"UNKNOWN", "Unknown",
"Other")</f>
        <v>Medium Stay</v>
      </c>
    </row>
    <row r="1727" spans="1:11" x14ac:dyDescent="0.3">
      <c r="A1727" t="s">
        <v>4992</v>
      </c>
      <c r="B1727" t="s">
        <v>492</v>
      </c>
      <c r="C1727" t="s">
        <v>75</v>
      </c>
      <c r="D1727" t="s">
        <v>917</v>
      </c>
      <c r="E1727" t="s">
        <v>32</v>
      </c>
      <c r="F1727" t="s">
        <v>2491</v>
      </c>
      <c r="G1727" t="s">
        <v>495</v>
      </c>
      <c r="H1727" t="s">
        <v>715</v>
      </c>
      <c r="I1727">
        <f t="shared" si="26"/>
        <v>3</v>
      </c>
      <c r="J1727" t="s">
        <v>121</v>
      </c>
      <c r="K1727" t="str" cm="1">
        <f t="array" ref="K1727">_xlfn.SWITCH(TRIM(UPPER(J1727)),
"BUSINESS", "Short Stay",
"CONFERENCE", "Medium Stay",
"VACATION", "Iong Stay",
"HOLIDAY", "Long Stay",
"V", "Leisure",
"UNKNOWN", "Unknown",
"Other")</f>
        <v>Iong Stay</v>
      </c>
    </row>
    <row r="1728" spans="1:11" x14ac:dyDescent="0.3">
      <c r="A1728" t="s">
        <v>4993</v>
      </c>
      <c r="B1728" t="s">
        <v>1859</v>
      </c>
      <c r="C1728" t="s">
        <v>83</v>
      </c>
      <c r="D1728" t="s">
        <v>1140</v>
      </c>
      <c r="E1728" t="s">
        <v>23</v>
      </c>
      <c r="F1728" t="s">
        <v>4994</v>
      </c>
      <c r="G1728" t="s">
        <v>1861</v>
      </c>
      <c r="H1728" t="s">
        <v>1588</v>
      </c>
      <c r="I1728">
        <f t="shared" si="26"/>
        <v>1</v>
      </c>
      <c r="J1728" t="s">
        <v>121</v>
      </c>
      <c r="K1728" t="str" cm="1">
        <f t="array" ref="K1728">_xlfn.SWITCH(TRIM(UPPER(J1728)),
"BUSINESS", "Short Stay",
"CONFERENCE", "Medium Stay",
"VACATION", "Iong Stay",
"HOLIDAY", "Long Stay",
"V", "Leisure",
"UNKNOWN", "Unknown",
"Other")</f>
        <v>Iong Stay</v>
      </c>
    </row>
    <row r="1729" spans="1:11" x14ac:dyDescent="0.3">
      <c r="A1729" t="s">
        <v>4995</v>
      </c>
      <c r="B1729" t="s">
        <v>135</v>
      </c>
      <c r="C1729" t="s">
        <v>12</v>
      </c>
      <c r="D1729" t="s">
        <v>2058</v>
      </c>
      <c r="E1729" t="s">
        <v>14</v>
      </c>
      <c r="F1729" t="s">
        <v>4996</v>
      </c>
      <c r="G1729" t="s">
        <v>138</v>
      </c>
      <c r="H1729" t="s">
        <v>572</v>
      </c>
      <c r="I1729">
        <f t="shared" si="26"/>
        <v>2</v>
      </c>
      <c r="J1729" t="s">
        <v>44</v>
      </c>
      <c r="K1729" t="str" cm="1">
        <f t="array" ref="K1729">_xlfn.SWITCH(TRIM(UPPER(J1729)),
"BUSINESS", "Short Stay",
"CONFERENCE", "Medium Stay",
"VACATION", "Iong Stay",
"HOLIDAY", "Long Stay",
"V", "Leisure",
"UNKNOWN", "Unknown",
"Other")</f>
        <v>Other</v>
      </c>
    </row>
    <row r="1730" spans="1:11" x14ac:dyDescent="0.3">
      <c r="A1730" t="s">
        <v>4997</v>
      </c>
      <c r="B1730" t="s">
        <v>2569</v>
      </c>
      <c r="C1730" t="s">
        <v>54</v>
      </c>
      <c r="D1730" t="s">
        <v>2784</v>
      </c>
      <c r="E1730" t="s">
        <v>63</v>
      </c>
      <c r="F1730" t="s">
        <v>4998</v>
      </c>
      <c r="G1730" t="s">
        <v>686</v>
      </c>
      <c r="H1730" t="s">
        <v>838</v>
      </c>
      <c r="I1730">
        <f t="shared" si="26"/>
        <v>3</v>
      </c>
      <c r="J1730" t="s">
        <v>18</v>
      </c>
      <c r="K1730" t="str" cm="1">
        <f t="array" ref="K1730">_xlfn.SWITCH(TRIM(UPPER(J1730)),
"BUSINESS", "Short Stay",
"CONFERENCE", "Medium Stay",
"VACATION", "Iong Stay",
"HOLIDAY", "Long Stay",
"V", "Leisure",
"UNKNOWN", "Unknown",
"Other")</f>
        <v>Short Stay</v>
      </c>
    </row>
    <row r="1731" spans="1:11" x14ac:dyDescent="0.3">
      <c r="A1731" t="s">
        <v>4999</v>
      </c>
      <c r="B1731" t="s">
        <v>2187</v>
      </c>
      <c r="C1731" t="s">
        <v>12</v>
      </c>
      <c r="D1731" t="s">
        <v>1945</v>
      </c>
      <c r="E1731" t="s">
        <v>69</v>
      </c>
      <c r="F1731" t="s">
        <v>1477</v>
      </c>
      <c r="G1731" t="s">
        <v>1788</v>
      </c>
      <c r="H1731" t="s">
        <v>769</v>
      </c>
      <c r="I1731">
        <f t="shared" ref="I1731:I1794" si="27">H1731-G1731</f>
        <v>2</v>
      </c>
      <c r="J1731" t="s">
        <v>44</v>
      </c>
      <c r="K1731" t="str" cm="1">
        <f t="array" ref="K1731">_xlfn.SWITCH(TRIM(UPPER(J1731)),
"BUSINESS", "Short Stay",
"CONFERENCE", "Medium Stay",
"VACATION", "Iong Stay",
"HOLIDAY", "Long Stay",
"V", "Leisure",
"UNKNOWN", "Unknown",
"Other")</f>
        <v>Other</v>
      </c>
    </row>
    <row r="1732" spans="1:11" x14ac:dyDescent="0.3">
      <c r="A1732" t="s">
        <v>5000</v>
      </c>
      <c r="B1732" t="s">
        <v>520</v>
      </c>
      <c r="C1732" t="s">
        <v>83</v>
      </c>
      <c r="D1732" t="s">
        <v>1866</v>
      </c>
      <c r="E1732" t="s">
        <v>176</v>
      </c>
      <c r="F1732" t="s">
        <v>5001</v>
      </c>
      <c r="G1732" t="s">
        <v>523</v>
      </c>
      <c r="H1732" t="s">
        <v>1296</v>
      </c>
      <c r="I1732">
        <f t="shared" si="27"/>
        <v>3</v>
      </c>
      <c r="J1732" t="s">
        <v>18</v>
      </c>
      <c r="K1732" t="str" cm="1">
        <f t="array" ref="K1732">_xlfn.SWITCH(TRIM(UPPER(J1732)),
"BUSINESS", "Short Stay",
"CONFERENCE", "Medium Stay",
"VACATION", "Iong Stay",
"HOLIDAY", "Long Stay",
"V", "Leisure",
"UNKNOWN", "Unknown",
"Other")</f>
        <v>Short Stay</v>
      </c>
    </row>
    <row r="1733" spans="1:11" x14ac:dyDescent="0.3">
      <c r="A1733" t="s">
        <v>5002</v>
      </c>
      <c r="B1733" t="s">
        <v>1966</v>
      </c>
      <c r="C1733" t="s">
        <v>54</v>
      </c>
      <c r="D1733" t="s">
        <v>1896</v>
      </c>
      <c r="E1733" t="s">
        <v>69</v>
      </c>
      <c r="F1733" t="s">
        <v>5003</v>
      </c>
      <c r="G1733" t="s">
        <v>1176</v>
      </c>
      <c r="H1733" t="s">
        <v>753</v>
      </c>
      <c r="I1733">
        <f t="shared" si="27"/>
        <v>1</v>
      </c>
      <c r="J1733" t="s">
        <v>121</v>
      </c>
      <c r="K1733" t="str" cm="1">
        <f t="array" ref="K1733">_xlfn.SWITCH(TRIM(UPPER(J1733)),
"BUSINESS", "Short Stay",
"CONFERENCE", "Medium Stay",
"VACATION", "Iong Stay",
"HOLIDAY", "Long Stay",
"V", "Leisure",
"UNKNOWN", "Unknown",
"Other")</f>
        <v>Iong Stay</v>
      </c>
    </row>
    <row r="1734" spans="1:11" x14ac:dyDescent="0.3">
      <c r="A1734" t="s">
        <v>5004</v>
      </c>
      <c r="B1734" t="s">
        <v>2664</v>
      </c>
      <c r="C1734" t="s">
        <v>21</v>
      </c>
      <c r="D1734" t="s">
        <v>457</v>
      </c>
      <c r="E1734" t="s">
        <v>40</v>
      </c>
      <c r="F1734" t="s">
        <v>1399</v>
      </c>
      <c r="G1734" t="s">
        <v>197</v>
      </c>
      <c r="H1734" t="s">
        <v>438</v>
      </c>
      <c r="I1734">
        <f t="shared" si="27"/>
        <v>2</v>
      </c>
      <c r="J1734" t="s">
        <v>121</v>
      </c>
      <c r="K1734" t="str" cm="1">
        <f t="array" ref="K1734">_xlfn.SWITCH(TRIM(UPPER(J1734)),
"BUSINESS", "Short Stay",
"CONFERENCE", "Medium Stay",
"VACATION", "Iong Stay",
"HOLIDAY", "Long Stay",
"V", "Leisure",
"UNKNOWN", "Unknown",
"Other")</f>
        <v>Iong Stay</v>
      </c>
    </row>
    <row r="1735" spans="1:11" x14ac:dyDescent="0.3">
      <c r="A1735" t="s">
        <v>5005</v>
      </c>
      <c r="B1735" t="s">
        <v>1156</v>
      </c>
      <c r="C1735" t="s">
        <v>83</v>
      </c>
      <c r="D1735" t="s">
        <v>2143</v>
      </c>
      <c r="E1735" t="s">
        <v>40</v>
      </c>
      <c r="F1735" t="s">
        <v>5006</v>
      </c>
      <c r="G1735" t="s">
        <v>1159</v>
      </c>
      <c r="H1735" t="s">
        <v>16</v>
      </c>
      <c r="I1735">
        <f t="shared" si="27"/>
        <v>1</v>
      </c>
      <c r="J1735" t="s">
        <v>27</v>
      </c>
      <c r="K1735" t="str" cm="1">
        <f t="array" ref="K1735">_xlfn.SWITCH(TRIM(UPPER(J1735)),
"BUSINESS", "Short Stay",
"CONFERENCE", "Medium Stay",
"VACATION", "Iong Stay",
"HOLIDAY", "Long Stay",
"V", "Leisure",
"UNKNOWN", "Unknown",
"Other")</f>
        <v>Medium Stay</v>
      </c>
    </row>
    <row r="1736" spans="1:11" x14ac:dyDescent="0.3">
      <c r="A1736" t="s">
        <v>5007</v>
      </c>
      <c r="B1736" t="s">
        <v>96</v>
      </c>
      <c r="C1736" t="s">
        <v>38</v>
      </c>
      <c r="D1736" t="s">
        <v>2172</v>
      </c>
      <c r="E1736" t="s">
        <v>476</v>
      </c>
      <c r="F1736" t="s">
        <v>5008</v>
      </c>
      <c r="G1736" t="s">
        <v>100</v>
      </c>
      <c r="H1736" t="s">
        <v>1905</v>
      </c>
      <c r="I1736">
        <f t="shared" si="27"/>
        <v>5</v>
      </c>
      <c r="J1736" t="s">
        <v>44</v>
      </c>
      <c r="K1736" t="str" cm="1">
        <f t="array" ref="K1736">_xlfn.SWITCH(TRIM(UPPER(J1736)),
"BUSINESS", "Short Stay",
"CONFERENCE", "Medium Stay",
"VACATION", "Iong Stay",
"HOLIDAY", "Long Stay",
"V", "Leisure",
"UNKNOWN", "Unknown",
"Other")</f>
        <v>Other</v>
      </c>
    </row>
    <row r="1737" spans="1:11" x14ac:dyDescent="0.3">
      <c r="A1737" t="s">
        <v>5009</v>
      </c>
      <c r="B1737" t="s">
        <v>312</v>
      </c>
      <c r="C1737" t="s">
        <v>21</v>
      </c>
      <c r="D1737" t="s">
        <v>5010</v>
      </c>
      <c r="E1737" t="s">
        <v>458</v>
      </c>
      <c r="F1737" t="s">
        <v>5011</v>
      </c>
      <c r="G1737" t="s">
        <v>316</v>
      </c>
      <c r="H1737" t="s">
        <v>517</v>
      </c>
      <c r="I1737">
        <f t="shared" si="27"/>
        <v>2</v>
      </c>
      <c r="J1737" t="s">
        <v>121</v>
      </c>
      <c r="K1737" t="str" cm="1">
        <f t="array" ref="K1737">_xlfn.SWITCH(TRIM(UPPER(J1737)),
"BUSINESS", "Short Stay",
"CONFERENCE", "Medium Stay",
"VACATION", "Iong Stay",
"HOLIDAY", "Long Stay",
"V", "Leisure",
"UNKNOWN", "Unknown",
"Other")</f>
        <v>Iong Stay</v>
      </c>
    </row>
    <row r="1738" spans="1:11" x14ac:dyDescent="0.3">
      <c r="A1738" t="s">
        <v>5012</v>
      </c>
      <c r="B1738" t="s">
        <v>674</v>
      </c>
      <c r="C1738" t="s">
        <v>61</v>
      </c>
      <c r="D1738" t="s">
        <v>286</v>
      </c>
      <c r="E1738" t="s">
        <v>458</v>
      </c>
      <c r="F1738" t="s">
        <v>5013</v>
      </c>
      <c r="G1738" t="s">
        <v>677</v>
      </c>
      <c r="H1738" t="s">
        <v>2340</v>
      </c>
      <c r="I1738">
        <f t="shared" si="27"/>
        <v>1</v>
      </c>
      <c r="J1738" t="s">
        <v>44</v>
      </c>
      <c r="K1738" t="str" cm="1">
        <f t="array" ref="K1738">_xlfn.SWITCH(TRIM(UPPER(J1738)),
"BUSINESS", "Short Stay",
"CONFERENCE", "Medium Stay",
"VACATION", "Iong Stay",
"HOLIDAY", "Long Stay",
"V", "Leisure",
"UNKNOWN", "Unknown",
"Other")</f>
        <v>Other</v>
      </c>
    </row>
    <row r="1739" spans="1:11" x14ac:dyDescent="0.3">
      <c r="A1739" t="s">
        <v>5014</v>
      </c>
      <c r="B1739" t="s">
        <v>777</v>
      </c>
      <c r="C1739" t="s">
        <v>75</v>
      </c>
      <c r="D1739" t="s">
        <v>3777</v>
      </c>
      <c r="E1739" t="s">
        <v>314</v>
      </c>
      <c r="F1739" t="s">
        <v>5015</v>
      </c>
      <c r="G1739" t="s">
        <v>780</v>
      </c>
      <c r="H1739" t="s">
        <v>1035</v>
      </c>
      <c r="I1739">
        <f t="shared" si="27"/>
        <v>2</v>
      </c>
      <c r="J1739" t="s">
        <v>18</v>
      </c>
      <c r="K1739" t="str" cm="1">
        <f t="array" ref="K1739">_xlfn.SWITCH(TRIM(UPPER(J1739)),
"BUSINESS", "Short Stay",
"CONFERENCE", "Medium Stay",
"VACATION", "Iong Stay",
"HOLIDAY", "Long Stay",
"V", "Leisure",
"UNKNOWN", "Unknown",
"Other")</f>
        <v>Short Stay</v>
      </c>
    </row>
    <row r="1740" spans="1:11" x14ac:dyDescent="0.3">
      <c r="A1740" t="s">
        <v>5016</v>
      </c>
      <c r="B1740" t="s">
        <v>1661</v>
      </c>
      <c r="C1740" t="s">
        <v>21</v>
      </c>
      <c r="D1740" t="s">
        <v>2014</v>
      </c>
      <c r="E1740" t="s">
        <v>546</v>
      </c>
      <c r="F1740" t="s">
        <v>5017</v>
      </c>
      <c r="G1740" t="s">
        <v>946</v>
      </c>
      <c r="H1740" t="s">
        <v>239</v>
      </c>
      <c r="I1740">
        <f t="shared" si="27"/>
        <v>2</v>
      </c>
      <c r="J1740" t="s">
        <v>18</v>
      </c>
      <c r="K1740" t="str" cm="1">
        <f t="array" ref="K1740">_xlfn.SWITCH(TRIM(UPPER(J1740)),
"BUSINESS", "Short Stay",
"CONFERENCE", "Medium Stay",
"VACATION", "Iong Stay",
"HOLIDAY", "Long Stay",
"V", "Leisure",
"UNKNOWN", "Unknown",
"Other")</f>
        <v>Short Stay</v>
      </c>
    </row>
    <row r="1741" spans="1:11" x14ac:dyDescent="0.3">
      <c r="A1741" t="s">
        <v>5018</v>
      </c>
      <c r="B1741" t="s">
        <v>708</v>
      </c>
      <c r="C1741" t="s">
        <v>61</v>
      </c>
      <c r="D1741" t="s">
        <v>2814</v>
      </c>
      <c r="E1741" t="s">
        <v>314</v>
      </c>
      <c r="F1741" t="s">
        <v>5019</v>
      </c>
      <c r="G1741" t="s">
        <v>658</v>
      </c>
      <c r="H1741" t="s">
        <v>572</v>
      </c>
      <c r="I1741">
        <f t="shared" si="27"/>
        <v>4</v>
      </c>
      <c r="J1741" t="s">
        <v>27</v>
      </c>
      <c r="K1741" t="str" cm="1">
        <f t="array" ref="K1741">_xlfn.SWITCH(TRIM(UPPER(J1741)),
"BUSINESS", "Short Stay",
"CONFERENCE", "Medium Stay",
"VACATION", "Iong Stay",
"HOLIDAY", "Long Stay",
"V", "Leisure",
"UNKNOWN", "Unknown",
"Other")</f>
        <v>Medium Stay</v>
      </c>
    </row>
    <row r="1742" spans="1:11" x14ac:dyDescent="0.3">
      <c r="A1742" t="s">
        <v>5020</v>
      </c>
      <c r="B1742" t="s">
        <v>643</v>
      </c>
      <c r="C1742" t="s">
        <v>38</v>
      </c>
      <c r="D1742" t="s">
        <v>3072</v>
      </c>
      <c r="E1742" t="s">
        <v>214</v>
      </c>
      <c r="F1742" t="s">
        <v>5021</v>
      </c>
      <c r="G1742" t="s">
        <v>645</v>
      </c>
      <c r="H1742" t="s">
        <v>1797</v>
      </c>
      <c r="I1742">
        <f t="shared" si="27"/>
        <v>4</v>
      </c>
      <c r="J1742" t="s">
        <v>18</v>
      </c>
      <c r="K1742" t="str" cm="1">
        <f t="array" ref="K1742">_xlfn.SWITCH(TRIM(UPPER(J1742)),
"BUSINESS", "Short Stay",
"CONFERENCE", "Medium Stay",
"VACATION", "Iong Stay",
"HOLIDAY", "Long Stay",
"V", "Leisure",
"UNKNOWN", "Unknown",
"Other")</f>
        <v>Short Stay</v>
      </c>
    </row>
    <row r="1743" spans="1:11" x14ac:dyDescent="0.3">
      <c r="A1743" t="s">
        <v>5022</v>
      </c>
      <c r="B1743" t="s">
        <v>565</v>
      </c>
      <c r="C1743" t="s">
        <v>12</v>
      </c>
      <c r="D1743" t="s">
        <v>5023</v>
      </c>
      <c r="E1743" t="s">
        <v>48</v>
      </c>
      <c r="F1743" t="s">
        <v>5024</v>
      </c>
      <c r="G1743" t="s">
        <v>568</v>
      </c>
      <c r="H1743" t="s">
        <v>1728</v>
      </c>
      <c r="I1743">
        <f t="shared" si="27"/>
        <v>2</v>
      </c>
      <c r="J1743" t="s">
        <v>18</v>
      </c>
      <c r="K1743" t="str" cm="1">
        <f t="array" ref="K1743">_xlfn.SWITCH(TRIM(UPPER(J1743)),
"BUSINESS", "Short Stay",
"CONFERENCE", "Medium Stay",
"VACATION", "Iong Stay",
"HOLIDAY", "Long Stay",
"V", "Leisure",
"UNKNOWN", "Unknown",
"Other")</f>
        <v>Short Stay</v>
      </c>
    </row>
    <row r="1744" spans="1:11" x14ac:dyDescent="0.3">
      <c r="A1744" t="s">
        <v>5025</v>
      </c>
      <c r="B1744" t="s">
        <v>1725</v>
      </c>
      <c r="C1744" t="s">
        <v>38</v>
      </c>
      <c r="D1744" t="s">
        <v>493</v>
      </c>
      <c r="E1744" t="s">
        <v>214</v>
      </c>
      <c r="F1744" t="s">
        <v>5026</v>
      </c>
      <c r="G1744" t="s">
        <v>1728</v>
      </c>
      <c r="H1744" t="s">
        <v>554</v>
      </c>
      <c r="I1744">
        <f t="shared" si="27"/>
        <v>2</v>
      </c>
      <c r="J1744" t="s">
        <v>44</v>
      </c>
      <c r="K1744" t="str" cm="1">
        <f t="array" ref="K1744">_xlfn.SWITCH(TRIM(UPPER(J1744)),
"BUSINESS", "Short Stay",
"CONFERENCE", "Medium Stay",
"VACATION", "Iong Stay",
"HOLIDAY", "Long Stay",
"V", "Leisure",
"UNKNOWN", "Unknown",
"Other")</f>
        <v>Other</v>
      </c>
    </row>
    <row r="1745" spans="1:11" x14ac:dyDescent="0.3">
      <c r="A1745" t="s">
        <v>5027</v>
      </c>
      <c r="B1745" t="s">
        <v>831</v>
      </c>
      <c r="C1745" t="s">
        <v>75</v>
      </c>
      <c r="D1745" t="s">
        <v>230</v>
      </c>
      <c r="E1745" t="s">
        <v>214</v>
      </c>
      <c r="F1745" t="s">
        <v>5028</v>
      </c>
      <c r="G1745" t="s">
        <v>369</v>
      </c>
      <c r="H1745" t="s">
        <v>289</v>
      </c>
      <c r="I1745">
        <f t="shared" si="27"/>
        <v>1</v>
      </c>
      <c r="J1745" t="s">
        <v>44</v>
      </c>
      <c r="K1745" t="str" cm="1">
        <f t="array" ref="K1745">_xlfn.SWITCH(TRIM(UPPER(J1745)),
"BUSINESS", "Short Stay",
"CONFERENCE", "Medium Stay",
"VACATION", "Iong Stay",
"HOLIDAY", "Long Stay",
"V", "Leisure",
"UNKNOWN", "Unknown",
"Other")</f>
        <v>Other</v>
      </c>
    </row>
    <row r="1746" spans="1:11" x14ac:dyDescent="0.3">
      <c r="A1746" t="s">
        <v>5029</v>
      </c>
      <c r="B1746" t="s">
        <v>623</v>
      </c>
      <c r="C1746" t="s">
        <v>30</v>
      </c>
      <c r="D1746" t="s">
        <v>4573</v>
      </c>
      <c r="E1746" t="s">
        <v>430</v>
      </c>
      <c r="F1746" t="s">
        <v>5030</v>
      </c>
      <c r="G1746" t="s">
        <v>625</v>
      </c>
      <c r="H1746" t="s">
        <v>885</v>
      </c>
      <c r="I1746">
        <f t="shared" si="27"/>
        <v>4</v>
      </c>
      <c r="J1746" t="s">
        <v>121</v>
      </c>
      <c r="K1746" t="str" cm="1">
        <f t="array" ref="K1746">_xlfn.SWITCH(TRIM(UPPER(J1746)),
"BUSINESS", "Short Stay",
"CONFERENCE", "Medium Stay",
"VACATION", "Iong Stay",
"HOLIDAY", "Long Stay",
"V", "Leisure",
"UNKNOWN", "Unknown",
"Other")</f>
        <v>Iong Stay</v>
      </c>
    </row>
    <row r="1747" spans="1:11" x14ac:dyDescent="0.3">
      <c r="A1747" t="s">
        <v>5031</v>
      </c>
      <c r="B1747" t="s">
        <v>29</v>
      </c>
      <c r="C1747" t="s">
        <v>54</v>
      </c>
      <c r="D1747" t="s">
        <v>2046</v>
      </c>
      <c r="E1747" t="s">
        <v>458</v>
      </c>
      <c r="F1747" t="s">
        <v>5032</v>
      </c>
      <c r="G1747" t="s">
        <v>34</v>
      </c>
      <c r="H1747" t="s">
        <v>339</v>
      </c>
      <c r="I1747">
        <f t="shared" si="27"/>
        <v>3</v>
      </c>
      <c r="J1747" t="s">
        <v>18</v>
      </c>
      <c r="K1747" t="str" cm="1">
        <f t="array" ref="K1747">_xlfn.SWITCH(TRIM(UPPER(J1747)),
"BUSINESS", "Short Stay",
"CONFERENCE", "Medium Stay",
"VACATION", "Iong Stay",
"HOLIDAY", "Long Stay",
"V", "Leisure",
"UNKNOWN", "Unknown",
"Other")</f>
        <v>Short Stay</v>
      </c>
    </row>
    <row r="1748" spans="1:11" x14ac:dyDescent="0.3">
      <c r="A1748" t="s">
        <v>5033</v>
      </c>
      <c r="B1748" t="s">
        <v>2157</v>
      </c>
      <c r="C1748" t="s">
        <v>30</v>
      </c>
      <c r="D1748" t="s">
        <v>1374</v>
      </c>
      <c r="E1748" t="s">
        <v>117</v>
      </c>
      <c r="F1748" t="s">
        <v>5034</v>
      </c>
      <c r="G1748" t="s">
        <v>2160</v>
      </c>
      <c r="H1748" t="s">
        <v>221</v>
      </c>
      <c r="I1748">
        <f t="shared" si="27"/>
        <v>5</v>
      </c>
      <c r="J1748" t="s">
        <v>18</v>
      </c>
      <c r="K1748" t="str" cm="1">
        <f t="array" ref="K1748">_xlfn.SWITCH(TRIM(UPPER(J1748)),
"BUSINESS", "Short Stay",
"CONFERENCE", "Medium Stay",
"VACATION", "Iong Stay",
"HOLIDAY", "Long Stay",
"V", "Leisure",
"UNKNOWN", "Unknown",
"Other")</f>
        <v>Short Stay</v>
      </c>
    </row>
    <row r="1749" spans="1:11" x14ac:dyDescent="0.3">
      <c r="A1749" t="s">
        <v>5035</v>
      </c>
      <c r="B1749" t="s">
        <v>2513</v>
      </c>
      <c r="C1749" t="s">
        <v>21</v>
      </c>
      <c r="D1749" t="s">
        <v>5036</v>
      </c>
      <c r="E1749" t="s">
        <v>117</v>
      </c>
      <c r="F1749" t="s">
        <v>5037</v>
      </c>
      <c r="G1749" t="s">
        <v>2516</v>
      </c>
      <c r="H1749" t="s">
        <v>133</v>
      </c>
      <c r="I1749">
        <f t="shared" si="27"/>
        <v>1</v>
      </c>
      <c r="J1749" t="s">
        <v>44</v>
      </c>
      <c r="K1749" t="str" cm="1">
        <f t="array" ref="K1749">_xlfn.SWITCH(TRIM(UPPER(J1749)),
"BUSINESS", "Short Stay",
"CONFERENCE", "Medium Stay",
"VACATION", "Iong Stay",
"HOLIDAY", "Long Stay",
"V", "Leisure",
"UNKNOWN", "Unknown",
"Other")</f>
        <v>Other</v>
      </c>
    </row>
    <row r="1750" spans="1:11" x14ac:dyDescent="0.3">
      <c r="A1750" t="s">
        <v>5038</v>
      </c>
      <c r="B1750" t="s">
        <v>2142</v>
      </c>
      <c r="C1750" t="s">
        <v>75</v>
      </c>
      <c r="D1750" t="s">
        <v>2651</v>
      </c>
      <c r="E1750" t="s">
        <v>156</v>
      </c>
      <c r="F1750" t="s">
        <v>5039</v>
      </c>
      <c r="G1750" t="s">
        <v>999</v>
      </c>
      <c r="H1750" t="s">
        <v>568</v>
      </c>
      <c r="I1750">
        <f t="shared" si="27"/>
        <v>5</v>
      </c>
      <c r="J1750" t="s">
        <v>44</v>
      </c>
      <c r="K1750" t="str" cm="1">
        <f t="array" ref="K1750">_xlfn.SWITCH(TRIM(UPPER(J1750)),
"BUSINESS", "Short Stay",
"CONFERENCE", "Medium Stay",
"VACATION", "Iong Stay",
"HOLIDAY", "Long Stay",
"V", "Leisure",
"UNKNOWN", "Unknown",
"Other")</f>
        <v>Other</v>
      </c>
    </row>
    <row r="1751" spans="1:11" x14ac:dyDescent="0.3">
      <c r="A1751" t="s">
        <v>5040</v>
      </c>
      <c r="B1751" t="s">
        <v>67</v>
      </c>
      <c r="C1751" t="s">
        <v>75</v>
      </c>
      <c r="D1751" t="s">
        <v>836</v>
      </c>
      <c r="E1751" t="s">
        <v>69</v>
      </c>
      <c r="F1751" t="s">
        <v>5041</v>
      </c>
      <c r="G1751" t="s">
        <v>71</v>
      </c>
      <c r="H1751" t="s">
        <v>72</v>
      </c>
      <c r="I1751">
        <f t="shared" si="27"/>
        <v>3</v>
      </c>
      <c r="J1751" t="s">
        <v>121</v>
      </c>
      <c r="K1751" t="str" cm="1">
        <f t="array" ref="K1751">_xlfn.SWITCH(TRIM(UPPER(J1751)),
"BUSINESS", "Short Stay",
"CONFERENCE", "Medium Stay",
"VACATION", "Iong Stay",
"HOLIDAY", "Long Stay",
"V", "Leisure",
"UNKNOWN", "Unknown",
"Other")</f>
        <v>Iong Stay</v>
      </c>
    </row>
    <row r="1752" spans="1:11" x14ac:dyDescent="0.3">
      <c r="A1752" t="s">
        <v>5042</v>
      </c>
      <c r="B1752" t="s">
        <v>161</v>
      </c>
      <c r="C1752" t="s">
        <v>54</v>
      </c>
      <c r="D1752" t="s">
        <v>5043</v>
      </c>
      <c r="E1752" t="s">
        <v>201</v>
      </c>
      <c r="F1752" t="s">
        <v>5044</v>
      </c>
      <c r="G1752" t="s">
        <v>164</v>
      </c>
      <c r="H1752" t="s">
        <v>216</v>
      </c>
      <c r="I1752">
        <f t="shared" si="27"/>
        <v>5</v>
      </c>
      <c r="J1752" t="s">
        <v>18</v>
      </c>
      <c r="K1752" t="str" cm="1">
        <f t="array" ref="K1752">_xlfn.SWITCH(TRIM(UPPER(J1752)),
"BUSINESS", "Short Stay",
"CONFERENCE", "Medium Stay",
"VACATION", "Iong Stay",
"HOLIDAY", "Long Stay",
"V", "Leisure",
"UNKNOWN", "Unknown",
"Other")</f>
        <v>Short Stay</v>
      </c>
    </row>
    <row r="1753" spans="1:11" x14ac:dyDescent="0.3">
      <c r="A1753" t="s">
        <v>5045</v>
      </c>
      <c r="B1753" t="s">
        <v>1448</v>
      </c>
      <c r="C1753" t="s">
        <v>21</v>
      </c>
      <c r="D1753" t="s">
        <v>1146</v>
      </c>
      <c r="E1753" t="s">
        <v>63</v>
      </c>
      <c r="F1753" t="s">
        <v>5046</v>
      </c>
      <c r="G1753" t="s">
        <v>1091</v>
      </c>
      <c r="H1753" t="s">
        <v>913</v>
      </c>
      <c r="I1753">
        <f t="shared" si="27"/>
        <v>4</v>
      </c>
      <c r="J1753" t="s">
        <v>44</v>
      </c>
      <c r="K1753" t="str" cm="1">
        <f t="array" ref="K1753">_xlfn.SWITCH(TRIM(UPPER(J1753)),
"BUSINESS", "Short Stay",
"CONFERENCE", "Medium Stay",
"VACATION", "Iong Stay",
"HOLIDAY", "Long Stay",
"V", "Leisure",
"UNKNOWN", "Unknown",
"Other")</f>
        <v>Other</v>
      </c>
    </row>
    <row r="1754" spans="1:11" x14ac:dyDescent="0.3">
      <c r="A1754" t="s">
        <v>5047</v>
      </c>
      <c r="B1754" t="s">
        <v>2904</v>
      </c>
      <c r="C1754" t="s">
        <v>97</v>
      </c>
      <c r="D1754" t="s">
        <v>3051</v>
      </c>
      <c r="E1754" t="s">
        <v>156</v>
      </c>
      <c r="F1754" t="s">
        <v>5048</v>
      </c>
      <c r="G1754" t="s">
        <v>813</v>
      </c>
      <c r="H1754" t="s">
        <v>3198</v>
      </c>
      <c r="I1754">
        <f t="shared" si="27"/>
        <v>2</v>
      </c>
      <c r="J1754" t="s">
        <v>44</v>
      </c>
      <c r="K1754" t="str" cm="1">
        <f t="array" ref="K1754">_xlfn.SWITCH(TRIM(UPPER(J1754)),
"BUSINESS", "Short Stay",
"CONFERENCE", "Medium Stay",
"VACATION", "Iong Stay",
"HOLIDAY", "Long Stay",
"V", "Leisure",
"UNKNOWN", "Unknown",
"Other")</f>
        <v>Other</v>
      </c>
    </row>
    <row r="1755" spans="1:11" x14ac:dyDescent="0.3">
      <c r="A1755" t="s">
        <v>5049</v>
      </c>
      <c r="B1755" t="s">
        <v>470</v>
      </c>
      <c r="C1755" t="s">
        <v>38</v>
      </c>
      <c r="D1755" t="s">
        <v>3460</v>
      </c>
      <c r="E1755" t="s">
        <v>476</v>
      </c>
      <c r="F1755" t="s">
        <v>5050</v>
      </c>
      <c r="G1755" t="s">
        <v>473</v>
      </c>
      <c r="H1755" t="s">
        <v>51</v>
      </c>
      <c r="I1755">
        <f t="shared" si="27"/>
        <v>3</v>
      </c>
      <c r="J1755" t="s">
        <v>18</v>
      </c>
      <c r="K1755" t="str" cm="1">
        <f t="array" ref="K1755">_xlfn.SWITCH(TRIM(UPPER(J1755)),
"BUSINESS", "Short Stay",
"CONFERENCE", "Medium Stay",
"VACATION", "Iong Stay",
"HOLIDAY", "Long Stay",
"V", "Leisure",
"UNKNOWN", "Unknown",
"Other")</f>
        <v>Short Stay</v>
      </c>
    </row>
    <row r="1756" spans="1:11" x14ac:dyDescent="0.3">
      <c r="A1756" t="s">
        <v>5051</v>
      </c>
      <c r="B1756" t="s">
        <v>1844</v>
      </c>
      <c r="C1756" t="s">
        <v>30</v>
      </c>
      <c r="D1756" t="s">
        <v>4085</v>
      </c>
      <c r="E1756" t="s">
        <v>48</v>
      </c>
      <c r="F1756" t="s">
        <v>5052</v>
      </c>
      <c r="G1756" t="s">
        <v>1847</v>
      </c>
      <c r="H1756" t="s">
        <v>812</v>
      </c>
      <c r="I1756">
        <f t="shared" si="27"/>
        <v>5</v>
      </c>
      <c r="J1756" t="s">
        <v>44</v>
      </c>
      <c r="K1756" t="str" cm="1">
        <f t="array" ref="K1756">_xlfn.SWITCH(TRIM(UPPER(J1756)),
"BUSINESS", "Short Stay",
"CONFERENCE", "Medium Stay",
"VACATION", "Iong Stay",
"HOLIDAY", "Long Stay",
"V", "Leisure",
"UNKNOWN", "Unknown",
"Other")</f>
        <v>Other</v>
      </c>
    </row>
    <row r="1757" spans="1:11" x14ac:dyDescent="0.3">
      <c r="A1757" t="s">
        <v>5053</v>
      </c>
      <c r="B1757" t="s">
        <v>1591</v>
      </c>
      <c r="C1757" t="s">
        <v>30</v>
      </c>
      <c r="D1757" t="s">
        <v>13</v>
      </c>
      <c r="E1757" t="s">
        <v>476</v>
      </c>
      <c r="F1757" t="s">
        <v>5054</v>
      </c>
      <c r="G1757" t="s">
        <v>426</v>
      </c>
      <c r="H1757" t="s">
        <v>1311</v>
      </c>
      <c r="I1757">
        <f t="shared" si="27"/>
        <v>5</v>
      </c>
      <c r="J1757" t="s">
        <v>27</v>
      </c>
      <c r="K1757" t="str" cm="1">
        <f t="array" ref="K1757">_xlfn.SWITCH(TRIM(UPPER(J1757)),
"BUSINESS", "Short Stay",
"CONFERENCE", "Medium Stay",
"VACATION", "Iong Stay",
"HOLIDAY", "Long Stay",
"V", "Leisure",
"UNKNOWN", "Unknown",
"Other")</f>
        <v>Medium Stay</v>
      </c>
    </row>
    <row r="1758" spans="1:11" x14ac:dyDescent="0.3">
      <c r="A1758" t="s">
        <v>5055</v>
      </c>
      <c r="B1758" t="s">
        <v>440</v>
      </c>
      <c r="C1758" t="s">
        <v>30</v>
      </c>
      <c r="D1758" t="s">
        <v>3177</v>
      </c>
      <c r="E1758" t="s">
        <v>458</v>
      </c>
      <c r="F1758" t="s">
        <v>5056</v>
      </c>
      <c r="G1758" t="s">
        <v>94</v>
      </c>
      <c r="H1758" t="s">
        <v>443</v>
      </c>
      <c r="I1758">
        <f t="shared" si="27"/>
        <v>3</v>
      </c>
      <c r="J1758" t="s">
        <v>18</v>
      </c>
      <c r="K1758" t="str" cm="1">
        <f t="array" ref="K1758">_xlfn.SWITCH(TRIM(UPPER(J1758)),
"BUSINESS", "Short Stay",
"CONFERENCE", "Medium Stay",
"VACATION", "Iong Stay",
"HOLIDAY", "Long Stay",
"V", "Leisure",
"UNKNOWN", "Unknown",
"Other")</f>
        <v>Short Stay</v>
      </c>
    </row>
    <row r="1759" spans="1:11" x14ac:dyDescent="0.3">
      <c r="A1759" t="s">
        <v>5057</v>
      </c>
      <c r="B1759" t="s">
        <v>879</v>
      </c>
      <c r="C1759" t="s">
        <v>61</v>
      </c>
      <c r="D1759" t="s">
        <v>5058</v>
      </c>
      <c r="E1759" t="s">
        <v>156</v>
      </c>
      <c r="F1759" t="s">
        <v>2168</v>
      </c>
      <c r="G1759" t="s">
        <v>179</v>
      </c>
      <c r="H1759" t="s">
        <v>1414</v>
      </c>
      <c r="I1759">
        <f t="shared" si="27"/>
        <v>2</v>
      </c>
      <c r="J1759" t="s">
        <v>44</v>
      </c>
      <c r="K1759" t="str" cm="1">
        <f t="array" ref="K1759">_xlfn.SWITCH(TRIM(UPPER(J1759)),
"BUSINESS", "Short Stay",
"CONFERENCE", "Medium Stay",
"VACATION", "Iong Stay",
"HOLIDAY", "Long Stay",
"V", "Leisure",
"UNKNOWN", "Unknown",
"Other")</f>
        <v>Other</v>
      </c>
    </row>
    <row r="1760" spans="1:11" x14ac:dyDescent="0.3">
      <c r="A1760" t="s">
        <v>5059</v>
      </c>
      <c r="B1760" t="s">
        <v>2363</v>
      </c>
      <c r="C1760" t="s">
        <v>174</v>
      </c>
      <c r="D1760" t="s">
        <v>3215</v>
      </c>
      <c r="E1760" t="s">
        <v>546</v>
      </c>
      <c r="F1760" t="s">
        <v>5060</v>
      </c>
      <c r="G1760" t="s">
        <v>357</v>
      </c>
      <c r="H1760" t="s">
        <v>705</v>
      </c>
      <c r="I1760">
        <f t="shared" si="27"/>
        <v>2</v>
      </c>
      <c r="J1760" t="s">
        <v>44</v>
      </c>
      <c r="K1760" t="str" cm="1">
        <f t="array" ref="K1760">_xlfn.SWITCH(TRIM(UPPER(J1760)),
"BUSINESS", "Short Stay",
"CONFERENCE", "Medium Stay",
"VACATION", "Iong Stay",
"HOLIDAY", "Long Stay",
"V", "Leisure",
"UNKNOWN", "Unknown",
"Other")</f>
        <v>Other</v>
      </c>
    </row>
    <row r="1761" spans="1:11" x14ac:dyDescent="0.3">
      <c r="A1761" t="s">
        <v>5061</v>
      </c>
      <c r="B1761" t="s">
        <v>910</v>
      </c>
      <c r="C1761" t="s">
        <v>21</v>
      </c>
      <c r="D1761" t="s">
        <v>864</v>
      </c>
      <c r="E1761" t="s">
        <v>156</v>
      </c>
      <c r="F1761" t="s">
        <v>5062</v>
      </c>
      <c r="G1761" t="s">
        <v>913</v>
      </c>
      <c r="H1761" t="s">
        <v>856</v>
      </c>
      <c r="I1761">
        <f t="shared" si="27"/>
        <v>4</v>
      </c>
      <c r="J1761" t="s">
        <v>121</v>
      </c>
      <c r="K1761" t="str" cm="1">
        <f t="array" ref="K1761">_xlfn.SWITCH(TRIM(UPPER(J1761)),
"BUSINESS", "Short Stay",
"CONFERENCE", "Medium Stay",
"VACATION", "Iong Stay",
"HOLIDAY", "Long Stay",
"V", "Leisure",
"UNKNOWN", "Unknown",
"Other")</f>
        <v>Iong Stay</v>
      </c>
    </row>
    <row r="1762" spans="1:11" x14ac:dyDescent="0.3">
      <c r="A1762" t="s">
        <v>5063</v>
      </c>
      <c r="B1762" t="s">
        <v>2178</v>
      </c>
      <c r="C1762" t="s">
        <v>54</v>
      </c>
      <c r="D1762" t="s">
        <v>5064</v>
      </c>
      <c r="E1762" t="s">
        <v>48</v>
      </c>
      <c r="F1762" t="s">
        <v>5065</v>
      </c>
      <c r="G1762" t="s">
        <v>735</v>
      </c>
      <c r="H1762" t="s">
        <v>1311</v>
      </c>
      <c r="I1762">
        <f t="shared" si="27"/>
        <v>2</v>
      </c>
      <c r="J1762" t="s">
        <v>44</v>
      </c>
      <c r="K1762" t="str" cm="1">
        <f t="array" ref="K1762">_xlfn.SWITCH(TRIM(UPPER(J1762)),
"BUSINESS", "Short Stay",
"CONFERENCE", "Medium Stay",
"VACATION", "Iong Stay",
"HOLIDAY", "Long Stay",
"V", "Leisure",
"UNKNOWN", "Unknown",
"Other")</f>
        <v>Other</v>
      </c>
    </row>
    <row r="1763" spans="1:11" x14ac:dyDescent="0.3">
      <c r="A1763" t="s">
        <v>5066</v>
      </c>
      <c r="B1763" t="s">
        <v>623</v>
      </c>
      <c r="C1763" t="s">
        <v>30</v>
      </c>
      <c r="D1763" t="s">
        <v>5067</v>
      </c>
      <c r="E1763" t="s">
        <v>546</v>
      </c>
      <c r="F1763" t="s">
        <v>5068</v>
      </c>
      <c r="G1763" t="s">
        <v>625</v>
      </c>
      <c r="H1763" t="s">
        <v>468</v>
      </c>
      <c r="I1763">
        <f t="shared" si="27"/>
        <v>5</v>
      </c>
      <c r="J1763" t="s">
        <v>27</v>
      </c>
      <c r="K1763" t="str" cm="1">
        <f t="array" ref="K1763">_xlfn.SWITCH(TRIM(UPPER(J1763)),
"BUSINESS", "Short Stay",
"CONFERENCE", "Medium Stay",
"VACATION", "Iong Stay",
"HOLIDAY", "Long Stay",
"V", "Leisure",
"UNKNOWN", "Unknown",
"Other")</f>
        <v>Medium Stay</v>
      </c>
    </row>
    <row r="1764" spans="1:11" x14ac:dyDescent="0.3">
      <c r="A1764" t="s">
        <v>5069</v>
      </c>
      <c r="B1764" t="s">
        <v>3009</v>
      </c>
      <c r="C1764" t="s">
        <v>174</v>
      </c>
      <c r="D1764" t="s">
        <v>2681</v>
      </c>
      <c r="E1764" t="s">
        <v>48</v>
      </c>
      <c r="F1764" t="s">
        <v>5070</v>
      </c>
      <c r="G1764" t="s">
        <v>839</v>
      </c>
      <c r="H1764" t="s">
        <v>877</v>
      </c>
      <c r="I1764">
        <f t="shared" si="27"/>
        <v>3</v>
      </c>
      <c r="J1764" t="s">
        <v>27</v>
      </c>
      <c r="K1764" t="str" cm="1">
        <f t="array" ref="K1764">_xlfn.SWITCH(TRIM(UPPER(J1764)),
"BUSINESS", "Short Stay",
"CONFERENCE", "Medium Stay",
"VACATION", "Iong Stay",
"HOLIDAY", "Long Stay",
"V", "Leisure",
"UNKNOWN", "Unknown",
"Other")</f>
        <v>Medium Stay</v>
      </c>
    </row>
    <row r="1765" spans="1:11" x14ac:dyDescent="0.3">
      <c r="A1765" t="s">
        <v>5071</v>
      </c>
      <c r="B1765" t="s">
        <v>252</v>
      </c>
      <c r="C1765" t="s">
        <v>83</v>
      </c>
      <c r="D1765" t="s">
        <v>2945</v>
      </c>
      <c r="E1765" t="s">
        <v>63</v>
      </c>
      <c r="F1765" t="s">
        <v>5072</v>
      </c>
      <c r="G1765" t="s">
        <v>88</v>
      </c>
      <c r="H1765" t="s">
        <v>518</v>
      </c>
      <c r="I1765">
        <f t="shared" si="27"/>
        <v>5</v>
      </c>
      <c r="J1765" t="s">
        <v>18</v>
      </c>
      <c r="K1765" t="str" cm="1">
        <f t="array" ref="K1765">_xlfn.SWITCH(TRIM(UPPER(J1765)),
"BUSINESS", "Short Stay",
"CONFERENCE", "Medium Stay",
"VACATION", "Iong Stay",
"HOLIDAY", "Long Stay",
"V", "Leisure",
"UNKNOWN", "Unknown",
"Other")</f>
        <v>Short Stay</v>
      </c>
    </row>
    <row r="1766" spans="1:11" x14ac:dyDescent="0.3">
      <c r="A1766" t="s">
        <v>5073</v>
      </c>
      <c r="B1766" t="s">
        <v>1953</v>
      </c>
      <c r="C1766" t="s">
        <v>174</v>
      </c>
      <c r="D1766" t="s">
        <v>1892</v>
      </c>
      <c r="E1766" t="s">
        <v>69</v>
      </c>
      <c r="F1766" t="s">
        <v>5074</v>
      </c>
      <c r="G1766" t="s">
        <v>1347</v>
      </c>
      <c r="H1766" t="s">
        <v>885</v>
      </c>
      <c r="I1766">
        <f t="shared" si="27"/>
        <v>2</v>
      </c>
      <c r="J1766" t="s">
        <v>18</v>
      </c>
      <c r="K1766" t="str" cm="1">
        <f t="array" ref="K1766">_xlfn.SWITCH(TRIM(UPPER(J1766)),
"BUSINESS", "Short Stay",
"CONFERENCE", "Medium Stay",
"VACATION", "Iong Stay",
"HOLIDAY", "Long Stay",
"V", "Leisure",
"UNKNOWN", "Unknown",
"Other")</f>
        <v>Short Stay</v>
      </c>
    </row>
    <row r="1767" spans="1:11" x14ac:dyDescent="0.3">
      <c r="A1767" t="s">
        <v>5075</v>
      </c>
      <c r="B1767" t="s">
        <v>1585</v>
      </c>
      <c r="C1767" t="s">
        <v>12</v>
      </c>
      <c r="D1767" t="s">
        <v>2288</v>
      </c>
      <c r="E1767" t="s">
        <v>201</v>
      </c>
      <c r="F1767" t="s">
        <v>5076</v>
      </c>
      <c r="G1767" t="s">
        <v>1588</v>
      </c>
      <c r="H1767" t="s">
        <v>1589</v>
      </c>
      <c r="I1767">
        <f t="shared" si="27"/>
        <v>3</v>
      </c>
      <c r="J1767" t="s">
        <v>121</v>
      </c>
      <c r="K1767" t="str" cm="1">
        <f t="array" ref="K1767">_xlfn.SWITCH(TRIM(UPPER(J1767)),
"BUSINESS", "Short Stay",
"CONFERENCE", "Medium Stay",
"VACATION", "Iong Stay",
"HOLIDAY", "Long Stay",
"V", "Leisure",
"UNKNOWN", "Unknown",
"Other")</f>
        <v>Iong Stay</v>
      </c>
    </row>
    <row r="1768" spans="1:11" x14ac:dyDescent="0.3">
      <c r="A1768" t="s">
        <v>5077</v>
      </c>
      <c r="B1768" t="s">
        <v>1527</v>
      </c>
      <c r="C1768" t="s">
        <v>75</v>
      </c>
      <c r="D1768" t="s">
        <v>1479</v>
      </c>
      <c r="E1768" t="s">
        <v>149</v>
      </c>
      <c r="F1768" t="s">
        <v>5078</v>
      </c>
      <c r="G1768" t="s">
        <v>781</v>
      </c>
      <c r="H1768" t="s">
        <v>328</v>
      </c>
      <c r="I1768">
        <f t="shared" si="27"/>
        <v>2</v>
      </c>
      <c r="J1768" t="s">
        <v>27</v>
      </c>
      <c r="K1768" t="str" cm="1">
        <f t="array" ref="K1768">_xlfn.SWITCH(TRIM(UPPER(J1768)),
"BUSINESS", "Short Stay",
"CONFERENCE", "Medium Stay",
"VACATION", "Iong Stay",
"HOLIDAY", "Long Stay",
"V", "Leisure",
"UNKNOWN", "Unknown",
"Other")</f>
        <v>Medium Stay</v>
      </c>
    </row>
    <row r="1769" spans="1:11" x14ac:dyDescent="0.3">
      <c r="A1769" t="s">
        <v>5079</v>
      </c>
      <c r="B1769" t="s">
        <v>1050</v>
      </c>
      <c r="C1769" t="s">
        <v>30</v>
      </c>
      <c r="D1769" t="s">
        <v>2434</v>
      </c>
      <c r="E1769" t="s">
        <v>149</v>
      </c>
      <c r="F1769" t="s">
        <v>5080</v>
      </c>
      <c r="G1769" t="s">
        <v>1053</v>
      </c>
      <c r="H1769" t="s">
        <v>812</v>
      </c>
      <c r="I1769">
        <f t="shared" si="27"/>
        <v>1</v>
      </c>
      <c r="J1769" t="s">
        <v>27</v>
      </c>
      <c r="K1769" t="str" cm="1">
        <f t="array" ref="K1769">_xlfn.SWITCH(TRIM(UPPER(J1769)),
"BUSINESS", "Short Stay",
"CONFERENCE", "Medium Stay",
"VACATION", "Iong Stay",
"HOLIDAY", "Long Stay",
"V", "Leisure",
"UNKNOWN", "Unknown",
"Other")</f>
        <v>Medium Stay</v>
      </c>
    </row>
    <row r="1770" spans="1:11" x14ac:dyDescent="0.3">
      <c r="A1770" t="s">
        <v>5081</v>
      </c>
      <c r="B1770" t="s">
        <v>1745</v>
      </c>
      <c r="C1770" t="s">
        <v>38</v>
      </c>
      <c r="D1770" t="s">
        <v>13</v>
      </c>
      <c r="E1770" t="s">
        <v>201</v>
      </c>
      <c r="F1770" t="s">
        <v>5082</v>
      </c>
      <c r="G1770" t="s">
        <v>43</v>
      </c>
      <c r="H1770" t="s">
        <v>132</v>
      </c>
      <c r="I1770">
        <f t="shared" si="27"/>
        <v>5</v>
      </c>
      <c r="J1770" t="s">
        <v>18</v>
      </c>
      <c r="K1770" t="str" cm="1">
        <f t="array" ref="K1770">_xlfn.SWITCH(TRIM(UPPER(J1770)),
"BUSINESS", "Short Stay",
"CONFERENCE", "Medium Stay",
"VACATION", "Iong Stay",
"HOLIDAY", "Long Stay",
"V", "Leisure",
"UNKNOWN", "Unknown",
"Other")</f>
        <v>Short Stay</v>
      </c>
    </row>
    <row r="1771" spans="1:11" x14ac:dyDescent="0.3">
      <c r="A1771" t="s">
        <v>5083</v>
      </c>
      <c r="B1771" t="s">
        <v>1541</v>
      </c>
      <c r="C1771" t="s">
        <v>174</v>
      </c>
      <c r="D1771" t="s">
        <v>499</v>
      </c>
      <c r="E1771" t="s">
        <v>201</v>
      </c>
      <c r="F1771" t="s">
        <v>5084</v>
      </c>
      <c r="G1771" t="s">
        <v>1543</v>
      </c>
      <c r="H1771" t="s">
        <v>171</v>
      </c>
      <c r="I1771">
        <f t="shared" si="27"/>
        <v>5</v>
      </c>
      <c r="J1771" t="s">
        <v>18</v>
      </c>
      <c r="K1771" t="str" cm="1">
        <f t="array" ref="K1771">_xlfn.SWITCH(TRIM(UPPER(J1771)),
"BUSINESS", "Short Stay",
"CONFERENCE", "Medium Stay",
"VACATION", "Iong Stay",
"HOLIDAY", "Long Stay",
"V", "Leisure",
"UNKNOWN", "Unknown",
"Other")</f>
        <v>Short Stay</v>
      </c>
    </row>
    <row r="1772" spans="1:11" x14ac:dyDescent="0.3">
      <c r="A1772" t="s">
        <v>5085</v>
      </c>
      <c r="B1772" t="s">
        <v>3001</v>
      </c>
      <c r="C1772" t="s">
        <v>97</v>
      </c>
      <c r="D1772" t="s">
        <v>3771</v>
      </c>
      <c r="E1772" t="s">
        <v>77</v>
      </c>
      <c r="F1772" t="s">
        <v>5086</v>
      </c>
      <c r="G1772" t="s">
        <v>518</v>
      </c>
      <c r="H1772" t="s">
        <v>1007</v>
      </c>
      <c r="I1772">
        <f t="shared" si="27"/>
        <v>5</v>
      </c>
      <c r="J1772" t="s">
        <v>44</v>
      </c>
      <c r="K1772" t="str" cm="1">
        <f t="array" ref="K1772">_xlfn.SWITCH(TRIM(UPPER(J1772)),
"BUSINESS", "Short Stay",
"CONFERENCE", "Medium Stay",
"VACATION", "Iong Stay",
"HOLIDAY", "Long Stay",
"V", "Leisure",
"UNKNOWN", "Unknown",
"Other")</f>
        <v>Other</v>
      </c>
    </row>
    <row r="1773" spans="1:11" x14ac:dyDescent="0.3">
      <c r="A1773" t="s">
        <v>5087</v>
      </c>
      <c r="B1773" t="s">
        <v>623</v>
      </c>
      <c r="C1773" t="s">
        <v>30</v>
      </c>
      <c r="D1773" t="s">
        <v>1644</v>
      </c>
      <c r="E1773" t="s">
        <v>149</v>
      </c>
      <c r="F1773" t="s">
        <v>5088</v>
      </c>
      <c r="G1773" t="s">
        <v>625</v>
      </c>
      <c r="H1773" t="s">
        <v>468</v>
      </c>
      <c r="I1773">
        <f t="shared" si="27"/>
        <v>5</v>
      </c>
      <c r="J1773" t="s">
        <v>27</v>
      </c>
      <c r="K1773" t="str" cm="1">
        <f t="array" ref="K1773">_xlfn.SWITCH(TRIM(UPPER(J1773)),
"BUSINESS", "Short Stay",
"CONFERENCE", "Medium Stay",
"VACATION", "Iong Stay",
"HOLIDAY", "Long Stay",
"V", "Leisure",
"UNKNOWN", "Unknown",
"Other")</f>
        <v>Medium Stay</v>
      </c>
    </row>
    <row r="1774" spans="1:11" x14ac:dyDescent="0.3">
      <c r="A1774" t="s">
        <v>5089</v>
      </c>
      <c r="B1774" t="s">
        <v>1318</v>
      </c>
      <c r="C1774" t="s">
        <v>97</v>
      </c>
      <c r="D1774" t="s">
        <v>1733</v>
      </c>
      <c r="E1774" t="s">
        <v>63</v>
      </c>
      <c r="F1774" t="s">
        <v>315</v>
      </c>
      <c r="G1774" t="s">
        <v>989</v>
      </c>
      <c r="H1774" t="s">
        <v>1404</v>
      </c>
      <c r="I1774">
        <f t="shared" si="27"/>
        <v>1</v>
      </c>
      <c r="J1774" t="s">
        <v>44</v>
      </c>
      <c r="K1774" t="str" cm="1">
        <f t="array" ref="K1774">_xlfn.SWITCH(TRIM(UPPER(J1774)),
"BUSINESS", "Short Stay",
"CONFERENCE", "Medium Stay",
"VACATION", "Iong Stay",
"HOLIDAY", "Long Stay",
"V", "Leisure",
"UNKNOWN", "Unknown",
"Other")</f>
        <v>Other</v>
      </c>
    </row>
    <row r="1775" spans="1:11" x14ac:dyDescent="0.3">
      <c r="A1775" t="s">
        <v>5090</v>
      </c>
      <c r="B1775" t="s">
        <v>241</v>
      </c>
      <c r="C1775" t="s">
        <v>30</v>
      </c>
      <c r="D1775" t="s">
        <v>889</v>
      </c>
      <c r="E1775" t="s">
        <v>430</v>
      </c>
      <c r="F1775" t="s">
        <v>5091</v>
      </c>
      <c r="G1775" t="s">
        <v>244</v>
      </c>
      <c r="H1775" t="s">
        <v>350</v>
      </c>
      <c r="I1775">
        <f t="shared" si="27"/>
        <v>2</v>
      </c>
      <c r="J1775" t="s">
        <v>121</v>
      </c>
      <c r="K1775" t="str" cm="1">
        <f t="array" ref="K1775">_xlfn.SWITCH(TRIM(UPPER(J1775)),
"BUSINESS", "Short Stay",
"CONFERENCE", "Medium Stay",
"VACATION", "Iong Stay",
"HOLIDAY", "Long Stay",
"V", "Leisure",
"UNKNOWN", "Unknown",
"Other")</f>
        <v>Iong Stay</v>
      </c>
    </row>
    <row r="1776" spans="1:11" x14ac:dyDescent="0.3">
      <c r="A1776" t="s">
        <v>5092</v>
      </c>
      <c r="B1776" t="s">
        <v>154</v>
      </c>
      <c r="C1776" t="s">
        <v>83</v>
      </c>
      <c r="D1776" t="s">
        <v>2828</v>
      </c>
      <c r="E1776" t="s">
        <v>23</v>
      </c>
      <c r="F1776" t="s">
        <v>5093</v>
      </c>
      <c r="G1776" t="s">
        <v>158</v>
      </c>
      <c r="H1776" t="s">
        <v>260</v>
      </c>
      <c r="I1776">
        <f t="shared" si="27"/>
        <v>2</v>
      </c>
      <c r="J1776" t="s">
        <v>121</v>
      </c>
      <c r="K1776" t="str" cm="1">
        <f t="array" ref="K1776">_xlfn.SWITCH(TRIM(UPPER(J1776)),
"BUSINESS", "Short Stay",
"CONFERENCE", "Medium Stay",
"VACATION", "Iong Stay",
"HOLIDAY", "Long Stay",
"V", "Leisure",
"UNKNOWN", "Unknown",
"Other")</f>
        <v>Iong Stay</v>
      </c>
    </row>
    <row r="1777" spans="1:11" x14ac:dyDescent="0.3">
      <c r="A1777" t="s">
        <v>5094</v>
      </c>
      <c r="B1777" t="s">
        <v>3001</v>
      </c>
      <c r="C1777" t="s">
        <v>54</v>
      </c>
      <c r="D1777" t="s">
        <v>767</v>
      </c>
      <c r="E1777" t="s">
        <v>546</v>
      </c>
      <c r="F1777" t="s">
        <v>5095</v>
      </c>
      <c r="G1777" t="s">
        <v>518</v>
      </c>
      <c r="H1777" t="s">
        <v>1172</v>
      </c>
      <c r="I1777">
        <f t="shared" si="27"/>
        <v>2</v>
      </c>
      <c r="J1777" t="s">
        <v>27</v>
      </c>
      <c r="K1777" t="str" cm="1">
        <f t="array" ref="K1777">_xlfn.SWITCH(TRIM(UPPER(J1777)),
"BUSINESS", "Short Stay",
"CONFERENCE", "Medium Stay",
"VACATION", "Iong Stay",
"HOLIDAY", "Long Stay",
"V", "Leisure",
"UNKNOWN", "Unknown",
"Other")</f>
        <v>Medium Stay</v>
      </c>
    </row>
    <row r="1778" spans="1:11" x14ac:dyDescent="0.3">
      <c r="A1778" t="s">
        <v>5096</v>
      </c>
      <c r="B1778" t="s">
        <v>991</v>
      </c>
      <c r="C1778" t="s">
        <v>97</v>
      </c>
      <c r="D1778" t="s">
        <v>2845</v>
      </c>
      <c r="E1778" t="s">
        <v>156</v>
      </c>
      <c r="F1778" t="s">
        <v>215</v>
      </c>
      <c r="G1778" t="s">
        <v>994</v>
      </c>
      <c r="H1778" t="s">
        <v>749</v>
      </c>
      <c r="I1778">
        <f t="shared" si="27"/>
        <v>3</v>
      </c>
      <c r="J1778" t="s">
        <v>44</v>
      </c>
      <c r="K1778" t="str" cm="1">
        <f t="array" ref="K1778">_xlfn.SWITCH(TRIM(UPPER(J1778)),
"BUSINESS", "Short Stay",
"CONFERENCE", "Medium Stay",
"VACATION", "Iong Stay",
"HOLIDAY", "Long Stay",
"V", "Leisure",
"UNKNOWN", "Unknown",
"Other")</f>
        <v>Other</v>
      </c>
    </row>
    <row r="1779" spans="1:11" x14ac:dyDescent="0.3">
      <c r="A1779" t="s">
        <v>5097</v>
      </c>
      <c r="B1779" t="s">
        <v>1553</v>
      </c>
      <c r="C1779" t="s">
        <v>38</v>
      </c>
      <c r="D1779" t="s">
        <v>1146</v>
      </c>
      <c r="E1779" t="s">
        <v>156</v>
      </c>
      <c r="F1779" t="s">
        <v>5098</v>
      </c>
      <c r="G1779" t="s">
        <v>1555</v>
      </c>
      <c r="H1779" t="s">
        <v>1121</v>
      </c>
      <c r="I1779">
        <f t="shared" si="27"/>
        <v>3</v>
      </c>
      <c r="J1779" t="s">
        <v>121</v>
      </c>
      <c r="K1779" t="str" cm="1">
        <f t="array" ref="K1779">_xlfn.SWITCH(TRIM(UPPER(J1779)),
"BUSINESS", "Short Stay",
"CONFERENCE", "Medium Stay",
"VACATION", "Iong Stay",
"HOLIDAY", "Long Stay",
"V", "Leisure",
"UNKNOWN", "Unknown",
"Other")</f>
        <v>Iong Stay</v>
      </c>
    </row>
    <row r="1780" spans="1:11" x14ac:dyDescent="0.3">
      <c r="A1780" t="s">
        <v>5099</v>
      </c>
      <c r="B1780" t="s">
        <v>2363</v>
      </c>
      <c r="C1780" t="s">
        <v>30</v>
      </c>
      <c r="D1780" t="s">
        <v>1365</v>
      </c>
      <c r="E1780" t="s">
        <v>149</v>
      </c>
      <c r="F1780" t="s">
        <v>5100</v>
      </c>
      <c r="G1780" t="s">
        <v>357</v>
      </c>
      <c r="H1780" t="s">
        <v>936</v>
      </c>
      <c r="I1780">
        <f t="shared" si="27"/>
        <v>1</v>
      </c>
      <c r="J1780" t="s">
        <v>18</v>
      </c>
      <c r="K1780" t="str" cm="1">
        <f t="array" ref="K1780">_xlfn.SWITCH(TRIM(UPPER(J1780)),
"BUSINESS", "Short Stay",
"CONFERENCE", "Medium Stay",
"VACATION", "Iong Stay",
"HOLIDAY", "Long Stay",
"V", "Leisure",
"UNKNOWN", "Unknown",
"Other")</f>
        <v>Short Stay</v>
      </c>
    </row>
    <row r="1781" spans="1:11" x14ac:dyDescent="0.3">
      <c r="A1781" t="s">
        <v>5101</v>
      </c>
      <c r="B1781" t="s">
        <v>2178</v>
      </c>
      <c r="C1781" t="s">
        <v>97</v>
      </c>
      <c r="D1781" t="s">
        <v>5102</v>
      </c>
      <c r="E1781" t="s">
        <v>201</v>
      </c>
      <c r="F1781" t="s">
        <v>1241</v>
      </c>
      <c r="G1781" t="s">
        <v>735</v>
      </c>
      <c r="H1781" t="s">
        <v>1058</v>
      </c>
      <c r="I1781">
        <f t="shared" si="27"/>
        <v>5</v>
      </c>
      <c r="J1781" t="s">
        <v>121</v>
      </c>
      <c r="K1781" t="str" cm="1">
        <f t="array" ref="K1781">_xlfn.SWITCH(TRIM(UPPER(J1781)),
"BUSINESS", "Short Stay",
"CONFERENCE", "Medium Stay",
"VACATION", "Iong Stay",
"HOLIDAY", "Long Stay",
"V", "Leisure",
"UNKNOWN", "Unknown",
"Other")</f>
        <v>Iong Stay</v>
      </c>
    </row>
    <row r="1782" spans="1:11" x14ac:dyDescent="0.3">
      <c r="A1782" t="s">
        <v>5103</v>
      </c>
      <c r="B1782" t="s">
        <v>535</v>
      </c>
      <c r="C1782" t="s">
        <v>75</v>
      </c>
      <c r="D1782" t="s">
        <v>1442</v>
      </c>
      <c r="E1782" t="s">
        <v>546</v>
      </c>
      <c r="F1782" t="s">
        <v>5104</v>
      </c>
      <c r="G1782" t="s">
        <v>538</v>
      </c>
      <c r="H1782" t="s">
        <v>539</v>
      </c>
      <c r="I1782">
        <f t="shared" si="27"/>
        <v>5</v>
      </c>
      <c r="J1782" t="s">
        <v>44</v>
      </c>
      <c r="K1782" t="str" cm="1">
        <f t="array" ref="K1782">_xlfn.SWITCH(TRIM(UPPER(J1782)),
"BUSINESS", "Short Stay",
"CONFERENCE", "Medium Stay",
"VACATION", "Iong Stay",
"HOLIDAY", "Long Stay",
"V", "Leisure",
"UNKNOWN", "Unknown",
"Other")</f>
        <v>Other</v>
      </c>
    </row>
    <row r="1783" spans="1:11" x14ac:dyDescent="0.3">
      <c r="A1783" t="s">
        <v>5105</v>
      </c>
      <c r="B1783" t="s">
        <v>1293</v>
      </c>
      <c r="C1783" t="s">
        <v>61</v>
      </c>
      <c r="D1783" t="s">
        <v>5106</v>
      </c>
      <c r="E1783" t="s">
        <v>69</v>
      </c>
      <c r="F1783" t="s">
        <v>5107</v>
      </c>
      <c r="G1783" t="s">
        <v>1296</v>
      </c>
      <c r="H1783" t="s">
        <v>322</v>
      </c>
      <c r="I1783">
        <f t="shared" si="27"/>
        <v>2</v>
      </c>
      <c r="J1783" t="s">
        <v>121</v>
      </c>
      <c r="K1783" t="str" cm="1">
        <f t="array" ref="K1783">_xlfn.SWITCH(TRIM(UPPER(J1783)),
"BUSINESS", "Short Stay",
"CONFERENCE", "Medium Stay",
"VACATION", "Iong Stay",
"HOLIDAY", "Long Stay",
"V", "Leisure",
"UNKNOWN", "Unknown",
"Other")</f>
        <v>Iong Stay</v>
      </c>
    </row>
    <row r="1784" spans="1:11" x14ac:dyDescent="0.3">
      <c r="A1784" t="s">
        <v>5108</v>
      </c>
      <c r="B1784" t="s">
        <v>1273</v>
      </c>
      <c r="C1784" t="s">
        <v>38</v>
      </c>
      <c r="D1784" t="s">
        <v>2826</v>
      </c>
      <c r="E1784" t="s">
        <v>176</v>
      </c>
      <c r="F1784" t="s">
        <v>4010</v>
      </c>
      <c r="G1784" t="s">
        <v>797</v>
      </c>
      <c r="H1784" t="s">
        <v>1347</v>
      </c>
      <c r="I1784">
        <f t="shared" si="27"/>
        <v>4</v>
      </c>
      <c r="J1784" t="s">
        <v>44</v>
      </c>
      <c r="K1784" t="str" cm="1">
        <f t="array" ref="K1784">_xlfn.SWITCH(TRIM(UPPER(J1784)),
"BUSINESS", "Short Stay",
"CONFERENCE", "Medium Stay",
"VACATION", "Iong Stay",
"HOLIDAY", "Long Stay",
"V", "Leisure",
"UNKNOWN", "Unknown",
"Other")</f>
        <v>Other</v>
      </c>
    </row>
    <row r="1785" spans="1:11" x14ac:dyDescent="0.3">
      <c r="A1785" t="s">
        <v>5109</v>
      </c>
      <c r="B1785" t="s">
        <v>1745</v>
      </c>
      <c r="C1785" t="s">
        <v>61</v>
      </c>
      <c r="D1785" t="s">
        <v>5110</v>
      </c>
      <c r="E1785" t="s">
        <v>546</v>
      </c>
      <c r="F1785" t="s">
        <v>5111</v>
      </c>
      <c r="G1785" t="s">
        <v>43</v>
      </c>
      <c r="H1785" t="s">
        <v>937</v>
      </c>
      <c r="I1785">
        <f t="shared" si="27"/>
        <v>4</v>
      </c>
      <c r="J1785" t="s">
        <v>121</v>
      </c>
      <c r="K1785" t="str" cm="1">
        <f t="array" ref="K1785">_xlfn.SWITCH(TRIM(UPPER(J1785)),
"BUSINESS", "Short Stay",
"CONFERENCE", "Medium Stay",
"VACATION", "Iong Stay",
"HOLIDAY", "Long Stay",
"V", "Leisure",
"UNKNOWN", "Unknown",
"Other")</f>
        <v>Iong Stay</v>
      </c>
    </row>
    <row r="1786" spans="1:11" x14ac:dyDescent="0.3">
      <c r="A1786" t="s">
        <v>5112</v>
      </c>
      <c r="B1786" t="s">
        <v>688</v>
      </c>
      <c r="C1786" t="s">
        <v>30</v>
      </c>
      <c r="D1786" t="s">
        <v>98</v>
      </c>
      <c r="E1786" t="s">
        <v>63</v>
      </c>
      <c r="F1786" t="s">
        <v>5113</v>
      </c>
      <c r="G1786" t="s">
        <v>298</v>
      </c>
      <c r="H1786" t="s">
        <v>691</v>
      </c>
      <c r="I1786">
        <f t="shared" si="27"/>
        <v>1</v>
      </c>
      <c r="J1786" t="s">
        <v>27</v>
      </c>
      <c r="K1786" t="str" cm="1">
        <f t="array" ref="K1786">_xlfn.SWITCH(TRIM(UPPER(J1786)),
"BUSINESS", "Short Stay",
"CONFERENCE", "Medium Stay",
"VACATION", "Iong Stay",
"HOLIDAY", "Long Stay",
"V", "Leisure",
"UNKNOWN", "Unknown",
"Other")</f>
        <v>Medium Stay</v>
      </c>
    </row>
    <row r="1787" spans="1:11" x14ac:dyDescent="0.3">
      <c r="A1787" t="s">
        <v>5114</v>
      </c>
      <c r="B1787" t="s">
        <v>1844</v>
      </c>
      <c r="C1787" t="s">
        <v>30</v>
      </c>
      <c r="D1787" t="s">
        <v>2008</v>
      </c>
      <c r="E1787" t="s">
        <v>176</v>
      </c>
      <c r="F1787" t="s">
        <v>5115</v>
      </c>
      <c r="G1787" t="s">
        <v>1847</v>
      </c>
      <c r="H1787" t="s">
        <v>1053</v>
      </c>
      <c r="I1787">
        <f t="shared" si="27"/>
        <v>4</v>
      </c>
      <c r="J1787" t="s">
        <v>18</v>
      </c>
      <c r="K1787" t="str" cm="1">
        <f t="array" ref="K1787">_xlfn.SWITCH(TRIM(UPPER(J1787)),
"BUSINESS", "Short Stay",
"CONFERENCE", "Medium Stay",
"VACATION", "Iong Stay",
"HOLIDAY", "Long Stay",
"V", "Leisure",
"UNKNOWN", "Unknown",
"Other")</f>
        <v>Short Stay</v>
      </c>
    </row>
    <row r="1788" spans="1:11" x14ac:dyDescent="0.3">
      <c r="A1788" t="s">
        <v>5116</v>
      </c>
      <c r="B1788" t="s">
        <v>1534</v>
      </c>
      <c r="C1788" t="s">
        <v>75</v>
      </c>
      <c r="D1788" t="s">
        <v>987</v>
      </c>
      <c r="E1788" t="s">
        <v>546</v>
      </c>
      <c r="F1788" t="s">
        <v>4648</v>
      </c>
      <c r="G1788" t="s">
        <v>152</v>
      </c>
      <c r="H1788" t="s">
        <v>2840</v>
      </c>
      <c r="I1788">
        <f t="shared" si="27"/>
        <v>1</v>
      </c>
      <c r="J1788" t="s">
        <v>121</v>
      </c>
      <c r="K1788" t="str" cm="1">
        <f t="array" ref="K1788">_xlfn.SWITCH(TRIM(UPPER(J1788)),
"BUSINESS", "Short Stay",
"CONFERENCE", "Medium Stay",
"VACATION", "Iong Stay",
"HOLIDAY", "Long Stay",
"V", "Leisure",
"UNKNOWN", "Unknown",
"Other")</f>
        <v>Iong Stay</v>
      </c>
    </row>
    <row r="1789" spans="1:11" x14ac:dyDescent="0.3">
      <c r="A1789" t="s">
        <v>5117</v>
      </c>
      <c r="B1789" t="s">
        <v>1942</v>
      </c>
      <c r="C1789" t="s">
        <v>75</v>
      </c>
      <c r="D1789" t="s">
        <v>2695</v>
      </c>
      <c r="E1789" t="s">
        <v>40</v>
      </c>
      <c r="F1789" t="s">
        <v>5118</v>
      </c>
      <c r="G1789" t="s">
        <v>1696</v>
      </c>
      <c r="H1789" t="s">
        <v>496</v>
      </c>
      <c r="I1789">
        <f t="shared" si="27"/>
        <v>3</v>
      </c>
      <c r="J1789" t="s">
        <v>27</v>
      </c>
      <c r="K1789" t="str" cm="1">
        <f t="array" ref="K1789">_xlfn.SWITCH(TRIM(UPPER(J1789)),
"BUSINESS", "Short Stay",
"CONFERENCE", "Medium Stay",
"VACATION", "Iong Stay",
"HOLIDAY", "Long Stay",
"V", "Leisure",
"UNKNOWN", "Unknown",
"Other")</f>
        <v>Medium Stay</v>
      </c>
    </row>
    <row r="1790" spans="1:11" x14ac:dyDescent="0.3">
      <c r="A1790" t="s">
        <v>5119</v>
      </c>
      <c r="B1790" t="s">
        <v>1634</v>
      </c>
      <c r="C1790" t="s">
        <v>174</v>
      </c>
      <c r="D1790" t="s">
        <v>2695</v>
      </c>
      <c r="E1790" t="s">
        <v>458</v>
      </c>
      <c r="F1790" t="s">
        <v>5120</v>
      </c>
      <c r="G1790" t="s">
        <v>1311</v>
      </c>
      <c r="H1790" t="s">
        <v>1243</v>
      </c>
      <c r="I1790">
        <f t="shared" si="27"/>
        <v>5</v>
      </c>
      <c r="J1790" t="s">
        <v>18</v>
      </c>
      <c r="K1790" t="str" cm="1">
        <f t="array" ref="K1790">_xlfn.SWITCH(TRIM(UPPER(J1790)),
"BUSINESS", "Short Stay",
"CONFERENCE", "Medium Stay",
"VACATION", "Iong Stay",
"HOLIDAY", "Long Stay",
"V", "Leisure",
"UNKNOWN", "Unknown",
"Other")</f>
        <v>Short Stay</v>
      </c>
    </row>
    <row r="1791" spans="1:11" x14ac:dyDescent="0.3">
      <c r="A1791" t="s">
        <v>5121</v>
      </c>
      <c r="B1791" t="s">
        <v>973</v>
      </c>
      <c r="C1791" t="s">
        <v>97</v>
      </c>
      <c r="D1791" t="s">
        <v>3112</v>
      </c>
      <c r="E1791" t="s">
        <v>117</v>
      </c>
      <c r="F1791" t="s">
        <v>5122</v>
      </c>
      <c r="G1791" t="s">
        <v>626</v>
      </c>
      <c r="H1791" t="s">
        <v>1347</v>
      </c>
      <c r="I1791">
        <f t="shared" si="27"/>
        <v>1</v>
      </c>
      <c r="J1791" t="s">
        <v>121</v>
      </c>
      <c r="K1791" t="str" cm="1">
        <f t="array" ref="K1791">_xlfn.SWITCH(TRIM(UPPER(J1791)),
"BUSINESS", "Short Stay",
"CONFERENCE", "Medium Stay",
"VACATION", "Iong Stay",
"HOLIDAY", "Long Stay",
"V", "Leisure",
"UNKNOWN", "Unknown",
"Other")</f>
        <v>Iong Stay</v>
      </c>
    </row>
    <row r="1792" spans="1:11" x14ac:dyDescent="0.3">
      <c r="A1792" t="s">
        <v>5123</v>
      </c>
      <c r="B1792" t="s">
        <v>2104</v>
      </c>
      <c r="C1792" t="s">
        <v>38</v>
      </c>
      <c r="D1792" t="s">
        <v>3917</v>
      </c>
      <c r="E1792" t="s">
        <v>458</v>
      </c>
      <c r="F1792" t="s">
        <v>5124</v>
      </c>
      <c r="G1792" t="s">
        <v>2107</v>
      </c>
      <c r="H1792" t="s">
        <v>715</v>
      </c>
      <c r="I1792">
        <f t="shared" si="27"/>
        <v>1</v>
      </c>
      <c r="J1792" t="s">
        <v>44</v>
      </c>
      <c r="K1792" t="str" cm="1">
        <f t="array" ref="K1792">_xlfn.SWITCH(TRIM(UPPER(J1792)),
"BUSINESS", "Short Stay",
"CONFERENCE", "Medium Stay",
"VACATION", "Iong Stay",
"HOLIDAY", "Long Stay",
"V", "Leisure",
"UNKNOWN", "Unknown",
"Other")</f>
        <v>Other</v>
      </c>
    </row>
    <row r="1793" spans="1:11" x14ac:dyDescent="0.3">
      <c r="A1793" t="s">
        <v>5125</v>
      </c>
      <c r="B1793" t="s">
        <v>1714</v>
      </c>
      <c r="C1793" t="s">
        <v>61</v>
      </c>
      <c r="D1793" t="s">
        <v>2396</v>
      </c>
      <c r="E1793" t="s">
        <v>546</v>
      </c>
      <c r="F1793" t="s">
        <v>5126</v>
      </c>
      <c r="G1793" t="s">
        <v>58</v>
      </c>
      <c r="H1793" t="s">
        <v>600</v>
      </c>
      <c r="I1793">
        <f t="shared" si="27"/>
        <v>2</v>
      </c>
      <c r="J1793" t="s">
        <v>27</v>
      </c>
      <c r="K1793" t="str" cm="1">
        <f t="array" ref="K1793">_xlfn.SWITCH(TRIM(UPPER(J1793)),
"BUSINESS", "Short Stay",
"CONFERENCE", "Medium Stay",
"VACATION", "Iong Stay",
"HOLIDAY", "Long Stay",
"V", "Leisure",
"UNKNOWN", "Unknown",
"Other")</f>
        <v>Medium Stay</v>
      </c>
    </row>
    <row r="1794" spans="1:11" x14ac:dyDescent="0.3">
      <c r="A1794" t="s">
        <v>5127</v>
      </c>
      <c r="B1794" t="s">
        <v>395</v>
      </c>
      <c r="C1794" t="s">
        <v>61</v>
      </c>
      <c r="D1794" t="s">
        <v>2034</v>
      </c>
      <c r="E1794" t="s">
        <v>40</v>
      </c>
      <c r="F1794" t="s">
        <v>5128</v>
      </c>
      <c r="G1794" t="s">
        <v>398</v>
      </c>
      <c r="H1794" t="s">
        <v>971</v>
      </c>
      <c r="I1794">
        <f t="shared" si="27"/>
        <v>2</v>
      </c>
      <c r="J1794" t="s">
        <v>27</v>
      </c>
      <c r="K1794" t="str" cm="1">
        <f t="array" ref="K1794">_xlfn.SWITCH(TRIM(UPPER(J1794)),
"BUSINESS", "Short Stay",
"CONFERENCE", "Medium Stay",
"VACATION", "Iong Stay",
"HOLIDAY", "Long Stay",
"V", "Leisure",
"UNKNOWN", "Unknown",
"Other")</f>
        <v>Medium Stay</v>
      </c>
    </row>
    <row r="1795" spans="1:11" x14ac:dyDescent="0.3">
      <c r="A1795" t="s">
        <v>5129</v>
      </c>
      <c r="B1795" t="s">
        <v>2260</v>
      </c>
      <c r="C1795" t="s">
        <v>38</v>
      </c>
      <c r="D1795" t="s">
        <v>1179</v>
      </c>
      <c r="E1795" t="s">
        <v>176</v>
      </c>
      <c r="F1795" t="s">
        <v>5130</v>
      </c>
      <c r="G1795" t="s">
        <v>255</v>
      </c>
      <c r="H1795" t="s">
        <v>1857</v>
      </c>
      <c r="I1795">
        <f t="shared" ref="I1795" si="28">H1795-G1795</f>
        <v>5</v>
      </c>
      <c r="J1795" t="s">
        <v>27</v>
      </c>
      <c r="K1795" t="str" cm="1">
        <f t="array" ref="K1795">_xlfn.SWITCH(TRIM(UPPER(J1795)),
"BUSINESS", "Short Stay",
"CONFERENCE", "Medium Stay",
"VACATION", "Iong Stay",
"HOLIDAY", "Long Stay",
"V", "Leisure",
"UNKNOWN", "Unknown",
"Other")</f>
        <v>Medium Stay</v>
      </c>
    </row>
    <row r="1796" spans="1:11" x14ac:dyDescent="0.3">
      <c r="A1796" t="s">
        <v>5131</v>
      </c>
      <c r="B1796" t="s">
        <v>1761</v>
      </c>
      <c r="C1796" t="s">
        <v>75</v>
      </c>
      <c r="D1796" t="s">
        <v>889</v>
      </c>
      <c r="E1796" t="s">
        <v>156</v>
      </c>
      <c r="F1796" t="s">
        <v>4971</v>
      </c>
      <c r="G1796" t="s">
        <v>1763</v>
      </c>
      <c r="H1796" t="s">
        <v>554</v>
      </c>
      <c r="I1796">
        <f>H1796-G1796</f>
        <v>5</v>
      </c>
      <c r="J1796" t="s">
        <v>27</v>
      </c>
      <c r="K1796" t="str" cm="1">
        <f t="array" ref="K1796">_xlfn.SWITCH(TRIM(UPPER(J1796)),
"BUSINESS", "Short Stay",
"CONFERENCE", "Medium Stay",
"VACATION", "Iong Stay",
"HOLIDAY", "Long Stay",
"V", "Leisure",
"UNKNOWN", "Unknown",
"Other")</f>
        <v>Medium Stay</v>
      </c>
    </row>
    <row r="1797" spans="1:11" x14ac:dyDescent="0.3">
      <c r="A1797" t="s">
        <v>5132</v>
      </c>
      <c r="B1797" t="s">
        <v>1722</v>
      </c>
      <c r="C1797" t="s">
        <v>21</v>
      </c>
      <c r="D1797" t="s">
        <v>2449</v>
      </c>
      <c r="E1797" t="s">
        <v>77</v>
      </c>
      <c r="F1797" t="s">
        <v>5133</v>
      </c>
      <c r="G1797" t="s">
        <v>635</v>
      </c>
      <c r="H1797" t="s">
        <v>1296</v>
      </c>
      <c r="I1797">
        <f t="shared" ref="I1797:I1860" si="29">H1797-G1797</f>
        <v>4</v>
      </c>
      <c r="J1797" t="s">
        <v>18</v>
      </c>
      <c r="K1797" t="str" cm="1">
        <f t="array" ref="K1797">_xlfn.SWITCH(TRIM(UPPER(J1797)),
"BUSINESS", "Short Stay",
"CONFERENCE", "Medium Stay",
"VACATION", "Iong Stay",
"HOLIDAY", "Long Stay",
"V", "Leisure",
"UNKNOWN", "Unknown",
"Other")</f>
        <v>Short Stay</v>
      </c>
    </row>
    <row r="1798" spans="1:11" x14ac:dyDescent="0.3">
      <c r="A1798" t="s">
        <v>5134</v>
      </c>
      <c r="B1798" t="s">
        <v>1156</v>
      </c>
      <c r="C1798" t="s">
        <v>174</v>
      </c>
      <c r="D1798" t="s">
        <v>632</v>
      </c>
      <c r="E1798" t="s">
        <v>156</v>
      </c>
      <c r="F1798" t="s">
        <v>5135</v>
      </c>
      <c r="G1798" t="s">
        <v>1159</v>
      </c>
      <c r="H1798" t="s">
        <v>277</v>
      </c>
      <c r="I1798">
        <f t="shared" si="29"/>
        <v>3</v>
      </c>
      <c r="J1798" t="s">
        <v>44</v>
      </c>
      <c r="K1798" t="str" cm="1">
        <f t="array" ref="K1798">_xlfn.SWITCH(TRIM(UPPER(J1798)),
"BUSINESS", "Short Stay",
"CONFERENCE", "Medium Stay",
"VACATION", "Iong Stay",
"HOLIDAY", "Long Stay",
"V", "Leisure",
"UNKNOWN", "Unknown",
"Other")</f>
        <v>Other</v>
      </c>
    </row>
    <row r="1799" spans="1:11" x14ac:dyDescent="0.3">
      <c r="A1799" t="s">
        <v>5136</v>
      </c>
      <c r="B1799" t="s">
        <v>300</v>
      </c>
      <c r="C1799" t="s">
        <v>174</v>
      </c>
      <c r="D1799" t="s">
        <v>4009</v>
      </c>
      <c r="E1799" t="s">
        <v>149</v>
      </c>
      <c r="F1799" t="s">
        <v>5137</v>
      </c>
      <c r="G1799" t="s">
        <v>303</v>
      </c>
      <c r="H1799" t="s">
        <v>1100</v>
      </c>
      <c r="I1799">
        <f t="shared" si="29"/>
        <v>5</v>
      </c>
      <c r="J1799" t="s">
        <v>121</v>
      </c>
      <c r="K1799" t="str" cm="1">
        <f t="array" ref="K1799">_xlfn.SWITCH(TRIM(UPPER(J1799)),
"BUSINESS", "Short Stay",
"CONFERENCE", "Medium Stay",
"VACATION", "Iong Stay",
"HOLIDAY", "Long Stay",
"V", "Leisure",
"UNKNOWN", "Unknown",
"Other")</f>
        <v>Iong Stay</v>
      </c>
    </row>
    <row r="1800" spans="1:11" x14ac:dyDescent="0.3">
      <c r="A1800" t="s">
        <v>5138</v>
      </c>
      <c r="B1800" t="s">
        <v>401</v>
      </c>
      <c r="C1800" t="s">
        <v>21</v>
      </c>
      <c r="D1800" t="s">
        <v>2143</v>
      </c>
      <c r="E1800" t="s">
        <v>149</v>
      </c>
      <c r="F1800" t="s">
        <v>5139</v>
      </c>
      <c r="G1800" t="s">
        <v>35</v>
      </c>
      <c r="H1800" t="s">
        <v>749</v>
      </c>
      <c r="I1800">
        <f t="shared" si="29"/>
        <v>4</v>
      </c>
      <c r="J1800" t="s">
        <v>44</v>
      </c>
      <c r="K1800" t="str" cm="1">
        <f t="array" ref="K1800">_xlfn.SWITCH(TRIM(UPPER(J1800)),
"BUSINESS", "Short Stay",
"CONFERENCE", "Medium Stay",
"VACATION", "Iong Stay",
"HOLIDAY", "Long Stay",
"V", "Leisure",
"UNKNOWN", "Unknown",
"Other")</f>
        <v>Other</v>
      </c>
    </row>
    <row r="1801" spans="1:11" x14ac:dyDescent="0.3">
      <c r="A1801" t="s">
        <v>5140</v>
      </c>
      <c r="B1801" t="s">
        <v>2187</v>
      </c>
      <c r="C1801" t="s">
        <v>97</v>
      </c>
      <c r="D1801" t="s">
        <v>1954</v>
      </c>
      <c r="E1801" t="s">
        <v>458</v>
      </c>
      <c r="F1801" t="s">
        <v>5141</v>
      </c>
      <c r="G1801" t="s">
        <v>1788</v>
      </c>
      <c r="H1801" t="s">
        <v>2107</v>
      </c>
      <c r="I1801">
        <f t="shared" si="29"/>
        <v>5</v>
      </c>
      <c r="J1801" t="s">
        <v>44</v>
      </c>
      <c r="K1801" t="str" cm="1">
        <f t="array" ref="K1801">_xlfn.SWITCH(TRIM(UPPER(J1801)),
"BUSINESS", "Short Stay",
"CONFERENCE", "Medium Stay",
"VACATION", "Iong Stay",
"HOLIDAY", "Long Stay",
"V", "Leisure",
"UNKNOWN", "Unknown",
"Other")</f>
        <v>Other</v>
      </c>
    </row>
    <row r="1802" spans="1:11" x14ac:dyDescent="0.3">
      <c r="A1802" t="s">
        <v>5142</v>
      </c>
      <c r="B1802" t="s">
        <v>2264</v>
      </c>
      <c r="C1802" t="s">
        <v>30</v>
      </c>
      <c r="D1802" t="s">
        <v>5143</v>
      </c>
      <c r="E1802" t="s">
        <v>546</v>
      </c>
      <c r="F1802" t="s">
        <v>5144</v>
      </c>
      <c r="G1802" t="s">
        <v>1857</v>
      </c>
      <c r="H1802" t="s">
        <v>1788</v>
      </c>
      <c r="I1802">
        <f t="shared" si="29"/>
        <v>3</v>
      </c>
      <c r="J1802" t="s">
        <v>18</v>
      </c>
      <c r="K1802" t="str" cm="1">
        <f t="array" ref="K1802">_xlfn.SWITCH(TRIM(UPPER(J1802)),
"BUSINESS", "Short Stay",
"CONFERENCE", "Medium Stay",
"VACATION", "Iong Stay",
"HOLIDAY", "Long Stay",
"V", "Leisure",
"UNKNOWN", "Unknown",
"Other")</f>
        <v>Short Stay</v>
      </c>
    </row>
    <row r="1803" spans="1:11" x14ac:dyDescent="0.3">
      <c r="A1803" t="s">
        <v>5145</v>
      </c>
      <c r="B1803" t="s">
        <v>712</v>
      </c>
      <c r="C1803" t="s">
        <v>75</v>
      </c>
      <c r="D1803" t="s">
        <v>3356</v>
      </c>
      <c r="E1803" t="s">
        <v>40</v>
      </c>
      <c r="F1803" t="s">
        <v>5146</v>
      </c>
      <c r="G1803" t="s">
        <v>715</v>
      </c>
      <c r="H1803" t="s">
        <v>989</v>
      </c>
      <c r="I1803">
        <f t="shared" si="29"/>
        <v>4</v>
      </c>
      <c r="J1803" t="s">
        <v>18</v>
      </c>
      <c r="K1803" t="str" cm="1">
        <f t="array" ref="K1803">_xlfn.SWITCH(TRIM(UPPER(J1803)),
"BUSINESS", "Short Stay",
"CONFERENCE", "Medium Stay",
"VACATION", "Iong Stay",
"HOLIDAY", "Long Stay",
"V", "Leisure",
"UNKNOWN", "Unknown",
"Other")</f>
        <v>Short Stay</v>
      </c>
    </row>
    <row r="1804" spans="1:11" x14ac:dyDescent="0.3">
      <c r="A1804" t="s">
        <v>5147</v>
      </c>
      <c r="B1804" t="s">
        <v>1114</v>
      </c>
      <c r="C1804" t="s">
        <v>21</v>
      </c>
      <c r="D1804" t="s">
        <v>207</v>
      </c>
      <c r="E1804" t="s">
        <v>32</v>
      </c>
      <c r="F1804" t="s">
        <v>5148</v>
      </c>
      <c r="G1804" t="s">
        <v>1117</v>
      </c>
      <c r="H1804" t="s">
        <v>495</v>
      </c>
      <c r="I1804">
        <f t="shared" si="29"/>
        <v>5</v>
      </c>
      <c r="J1804" t="s">
        <v>27</v>
      </c>
      <c r="K1804" t="str" cm="1">
        <f t="array" ref="K1804">_xlfn.SWITCH(TRIM(UPPER(J1804)),
"BUSINESS", "Short Stay",
"CONFERENCE", "Medium Stay",
"VACATION", "Iong Stay",
"HOLIDAY", "Long Stay",
"V", "Leisure",
"UNKNOWN", "Unknown",
"Other")</f>
        <v>Medium Stay</v>
      </c>
    </row>
    <row r="1805" spans="1:11" x14ac:dyDescent="0.3">
      <c r="A1805" t="s">
        <v>5149</v>
      </c>
      <c r="B1805" t="s">
        <v>2875</v>
      </c>
      <c r="C1805" t="s">
        <v>21</v>
      </c>
      <c r="D1805" t="s">
        <v>3759</v>
      </c>
      <c r="E1805" t="s">
        <v>69</v>
      </c>
      <c r="F1805" t="s">
        <v>5150</v>
      </c>
      <c r="G1805" t="s">
        <v>731</v>
      </c>
      <c r="H1805" t="s">
        <v>398</v>
      </c>
      <c r="I1805">
        <f t="shared" si="29"/>
        <v>2</v>
      </c>
      <c r="J1805" t="s">
        <v>27</v>
      </c>
      <c r="K1805" t="str" cm="1">
        <f t="array" ref="K1805">_xlfn.SWITCH(TRIM(UPPER(J1805)),
"BUSINESS", "Short Stay",
"CONFERENCE", "Medium Stay",
"VACATION", "Iong Stay",
"HOLIDAY", "Long Stay",
"V", "Leisure",
"UNKNOWN", "Unknown",
"Other")</f>
        <v>Medium Stay</v>
      </c>
    </row>
    <row r="1806" spans="1:11" x14ac:dyDescent="0.3">
      <c r="A1806" t="s">
        <v>5151</v>
      </c>
      <c r="B1806" t="s">
        <v>2395</v>
      </c>
      <c r="C1806" t="s">
        <v>54</v>
      </c>
      <c r="D1806" t="s">
        <v>992</v>
      </c>
      <c r="E1806" t="s">
        <v>476</v>
      </c>
      <c r="F1806" t="s">
        <v>5152</v>
      </c>
      <c r="G1806" t="s">
        <v>2398</v>
      </c>
      <c r="H1806" t="s">
        <v>327</v>
      </c>
      <c r="I1806">
        <f t="shared" si="29"/>
        <v>2</v>
      </c>
      <c r="J1806" t="s">
        <v>27</v>
      </c>
      <c r="K1806" t="str" cm="1">
        <f t="array" ref="K1806">_xlfn.SWITCH(TRIM(UPPER(J1806)),
"BUSINESS", "Short Stay",
"CONFERENCE", "Medium Stay",
"VACATION", "Iong Stay",
"HOLIDAY", "Long Stay",
"V", "Leisure",
"UNKNOWN", "Unknown",
"Other")</f>
        <v>Medium Stay</v>
      </c>
    </row>
    <row r="1807" spans="1:11" x14ac:dyDescent="0.3">
      <c r="A1807" t="s">
        <v>5153</v>
      </c>
      <c r="B1807" t="s">
        <v>4849</v>
      </c>
      <c r="C1807" t="s">
        <v>75</v>
      </c>
      <c r="D1807" t="s">
        <v>4515</v>
      </c>
      <c r="E1807" t="s">
        <v>458</v>
      </c>
      <c r="F1807" t="s">
        <v>5154</v>
      </c>
      <c r="G1807" t="s">
        <v>908</v>
      </c>
      <c r="H1807" t="s">
        <v>473</v>
      </c>
      <c r="I1807">
        <f t="shared" si="29"/>
        <v>5</v>
      </c>
      <c r="J1807" t="s">
        <v>44</v>
      </c>
      <c r="K1807" t="str" cm="1">
        <f t="array" ref="K1807">_xlfn.SWITCH(TRIM(UPPER(J1807)),
"BUSINESS", "Short Stay",
"CONFERENCE", "Medium Stay",
"VACATION", "Iong Stay",
"HOLIDAY", "Long Stay",
"V", "Leisure",
"UNKNOWN", "Unknown",
"Other")</f>
        <v>Other</v>
      </c>
    </row>
    <row r="1808" spans="1:11" x14ac:dyDescent="0.3">
      <c r="A1808" t="s">
        <v>5155</v>
      </c>
      <c r="B1808" t="s">
        <v>1178</v>
      </c>
      <c r="C1808" t="s">
        <v>83</v>
      </c>
      <c r="D1808" t="s">
        <v>1197</v>
      </c>
      <c r="E1808" t="s">
        <v>63</v>
      </c>
      <c r="F1808" t="s">
        <v>5156</v>
      </c>
      <c r="G1808" t="s">
        <v>1181</v>
      </c>
      <c r="H1808" t="s">
        <v>399</v>
      </c>
      <c r="I1808">
        <f t="shared" si="29"/>
        <v>5</v>
      </c>
      <c r="J1808" t="s">
        <v>44</v>
      </c>
      <c r="K1808" t="str" cm="1">
        <f t="array" ref="K1808">_xlfn.SWITCH(TRIM(UPPER(J1808)),
"BUSINESS", "Short Stay",
"CONFERENCE", "Medium Stay",
"VACATION", "Iong Stay",
"HOLIDAY", "Long Stay",
"V", "Leisure",
"UNKNOWN", "Unknown",
"Other")</f>
        <v>Other</v>
      </c>
    </row>
    <row r="1809" spans="1:11" x14ac:dyDescent="0.3">
      <c r="A1809" t="s">
        <v>5157</v>
      </c>
      <c r="B1809" t="s">
        <v>960</v>
      </c>
      <c r="C1809" t="s">
        <v>12</v>
      </c>
      <c r="D1809" t="s">
        <v>280</v>
      </c>
      <c r="E1809" t="s">
        <v>14</v>
      </c>
      <c r="F1809" t="s">
        <v>5158</v>
      </c>
      <c r="G1809" t="s">
        <v>963</v>
      </c>
      <c r="H1809" t="s">
        <v>184</v>
      </c>
      <c r="I1809">
        <f t="shared" si="29"/>
        <v>4</v>
      </c>
      <c r="J1809" t="s">
        <v>121</v>
      </c>
      <c r="K1809" t="str" cm="1">
        <f t="array" ref="K1809">_xlfn.SWITCH(TRIM(UPPER(J1809)),
"BUSINESS", "Short Stay",
"CONFERENCE", "Medium Stay",
"VACATION", "Iong Stay",
"HOLIDAY", "Long Stay",
"V", "Leisure",
"UNKNOWN", "Unknown",
"Other")</f>
        <v>Iong Stay</v>
      </c>
    </row>
    <row r="1810" spans="1:11" x14ac:dyDescent="0.3">
      <c r="A1810" t="s">
        <v>5159</v>
      </c>
      <c r="B1810" t="s">
        <v>1799</v>
      </c>
      <c r="C1810" t="s">
        <v>21</v>
      </c>
      <c r="D1810" t="s">
        <v>2011</v>
      </c>
      <c r="E1810" t="s">
        <v>69</v>
      </c>
      <c r="F1810" t="s">
        <v>5160</v>
      </c>
      <c r="G1810" t="s">
        <v>1125</v>
      </c>
      <c r="H1810" t="s">
        <v>344</v>
      </c>
      <c r="I1810">
        <f t="shared" si="29"/>
        <v>5</v>
      </c>
      <c r="J1810" t="s">
        <v>18</v>
      </c>
      <c r="K1810" t="str" cm="1">
        <f t="array" ref="K1810">_xlfn.SWITCH(TRIM(UPPER(J1810)),
"BUSINESS", "Short Stay",
"CONFERENCE", "Medium Stay",
"VACATION", "Iong Stay",
"HOLIDAY", "Long Stay",
"V", "Leisure",
"UNKNOWN", "Unknown",
"Other")</f>
        <v>Short Stay</v>
      </c>
    </row>
    <row r="1811" spans="1:11" x14ac:dyDescent="0.3">
      <c r="A1811" t="s">
        <v>5161</v>
      </c>
      <c r="B1811" t="s">
        <v>1412</v>
      </c>
      <c r="C1811" t="s">
        <v>97</v>
      </c>
      <c r="D1811" t="s">
        <v>733</v>
      </c>
      <c r="E1811" t="s">
        <v>458</v>
      </c>
      <c r="F1811" t="s">
        <v>5162</v>
      </c>
      <c r="G1811" t="s">
        <v>1414</v>
      </c>
      <c r="H1811" t="s">
        <v>1300</v>
      </c>
      <c r="I1811">
        <f t="shared" si="29"/>
        <v>1</v>
      </c>
      <c r="J1811" t="s">
        <v>44</v>
      </c>
      <c r="K1811" t="str" cm="1">
        <f t="array" ref="K1811">_xlfn.SWITCH(TRIM(UPPER(J1811)),
"BUSINESS", "Short Stay",
"CONFERENCE", "Medium Stay",
"VACATION", "Iong Stay",
"HOLIDAY", "Long Stay",
"V", "Leisure",
"UNKNOWN", "Unknown",
"Other")</f>
        <v>Other</v>
      </c>
    </row>
    <row r="1812" spans="1:11" x14ac:dyDescent="0.3">
      <c r="A1812" t="s">
        <v>5163</v>
      </c>
      <c r="B1812" t="s">
        <v>1725</v>
      </c>
      <c r="C1812" t="s">
        <v>54</v>
      </c>
      <c r="D1812" t="s">
        <v>1637</v>
      </c>
      <c r="E1812" t="s">
        <v>32</v>
      </c>
      <c r="F1812" t="s">
        <v>5164</v>
      </c>
      <c r="G1812" t="s">
        <v>1728</v>
      </c>
      <c r="H1812" t="s">
        <v>554</v>
      </c>
      <c r="I1812">
        <f t="shared" si="29"/>
        <v>2</v>
      </c>
      <c r="J1812" t="s">
        <v>18</v>
      </c>
      <c r="K1812" t="str" cm="1">
        <f t="array" ref="K1812">_xlfn.SWITCH(TRIM(UPPER(J1812)),
"BUSINESS", "Short Stay",
"CONFERENCE", "Medium Stay",
"VACATION", "Iong Stay",
"HOLIDAY", "Long Stay",
"V", "Leisure",
"UNKNOWN", "Unknown",
"Other")</f>
        <v>Short Stay</v>
      </c>
    </row>
    <row r="1813" spans="1:11" x14ac:dyDescent="0.3">
      <c r="A1813" t="s">
        <v>5165</v>
      </c>
      <c r="B1813" t="s">
        <v>3244</v>
      </c>
      <c r="C1813" t="s">
        <v>30</v>
      </c>
      <c r="D1813" t="s">
        <v>441</v>
      </c>
      <c r="E1813" t="s">
        <v>176</v>
      </c>
      <c r="F1813" t="s">
        <v>3754</v>
      </c>
      <c r="G1813" t="s">
        <v>480</v>
      </c>
      <c r="H1813" t="s">
        <v>1048</v>
      </c>
      <c r="I1813">
        <f t="shared" si="29"/>
        <v>5</v>
      </c>
      <c r="J1813" t="s">
        <v>121</v>
      </c>
      <c r="K1813" t="str" cm="1">
        <f t="array" ref="K1813">_xlfn.SWITCH(TRIM(UPPER(J1813)),
"BUSINESS", "Short Stay",
"CONFERENCE", "Medium Stay",
"VACATION", "Iong Stay",
"HOLIDAY", "Long Stay",
"V", "Leisure",
"UNKNOWN", "Unknown",
"Other")</f>
        <v>Iong Stay</v>
      </c>
    </row>
    <row r="1814" spans="1:11" x14ac:dyDescent="0.3">
      <c r="A1814" t="s">
        <v>5166</v>
      </c>
      <c r="B1814" t="s">
        <v>968</v>
      </c>
      <c r="C1814" t="s">
        <v>54</v>
      </c>
      <c r="D1814" t="s">
        <v>3500</v>
      </c>
      <c r="E1814" t="s">
        <v>430</v>
      </c>
      <c r="F1814" t="s">
        <v>5167</v>
      </c>
      <c r="G1814" t="s">
        <v>971</v>
      </c>
      <c r="H1814" t="s">
        <v>861</v>
      </c>
      <c r="I1814">
        <f t="shared" si="29"/>
        <v>4</v>
      </c>
      <c r="J1814" t="s">
        <v>18</v>
      </c>
      <c r="K1814" t="str" cm="1">
        <f t="array" ref="K1814">_xlfn.SWITCH(TRIM(UPPER(J1814)),
"BUSINESS", "Short Stay",
"CONFERENCE", "Medium Stay",
"VACATION", "Iong Stay",
"HOLIDAY", "Long Stay",
"V", "Leisure",
"UNKNOWN", "Unknown",
"Other")</f>
        <v>Short Stay</v>
      </c>
    </row>
    <row r="1815" spans="1:11" x14ac:dyDescent="0.3">
      <c r="A1815" t="s">
        <v>5168</v>
      </c>
      <c r="B1815" t="s">
        <v>11</v>
      </c>
      <c r="C1815" t="s">
        <v>12</v>
      </c>
      <c r="D1815" t="s">
        <v>5169</v>
      </c>
      <c r="E1815" t="s">
        <v>23</v>
      </c>
      <c r="F1815" t="s">
        <v>5170</v>
      </c>
      <c r="G1815" t="s">
        <v>16</v>
      </c>
      <c r="H1815" t="s">
        <v>1176</v>
      </c>
      <c r="I1815">
        <f t="shared" si="29"/>
        <v>5</v>
      </c>
      <c r="J1815" t="s">
        <v>121</v>
      </c>
      <c r="K1815" t="str" cm="1">
        <f t="array" ref="K1815">_xlfn.SWITCH(TRIM(UPPER(J1815)),
"BUSINESS", "Short Stay",
"CONFERENCE", "Medium Stay",
"VACATION", "Iong Stay",
"HOLIDAY", "Long Stay",
"V", "Leisure",
"UNKNOWN", "Unknown",
"Other")</f>
        <v>Iong Stay</v>
      </c>
    </row>
    <row r="1816" spans="1:11" x14ac:dyDescent="0.3">
      <c r="A1816" t="s">
        <v>5171</v>
      </c>
      <c r="B1816" t="s">
        <v>2338</v>
      </c>
      <c r="C1816" t="s">
        <v>30</v>
      </c>
      <c r="D1816" t="s">
        <v>3665</v>
      </c>
      <c r="E1816" t="s">
        <v>214</v>
      </c>
      <c r="F1816" t="s">
        <v>5172</v>
      </c>
      <c r="G1816" t="s">
        <v>2340</v>
      </c>
      <c r="H1816" t="s">
        <v>1575</v>
      </c>
      <c r="I1816">
        <f t="shared" si="29"/>
        <v>3</v>
      </c>
      <c r="J1816" t="s">
        <v>44</v>
      </c>
      <c r="K1816" t="str" cm="1">
        <f t="array" ref="K1816">_xlfn.SWITCH(TRIM(UPPER(J1816)),
"BUSINESS", "Short Stay",
"CONFERENCE", "Medium Stay",
"VACATION", "Iong Stay",
"HOLIDAY", "Long Stay",
"V", "Leisure",
"UNKNOWN", "Unknown",
"Other")</f>
        <v>Other</v>
      </c>
    </row>
    <row r="1817" spans="1:11" x14ac:dyDescent="0.3">
      <c r="A1817" t="s">
        <v>5173</v>
      </c>
      <c r="B1817" t="s">
        <v>1510</v>
      </c>
      <c r="C1817" t="s">
        <v>12</v>
      </c>
      <c r="D1817" t="s">
        <v>3804</v>
      </c>
      <c r="E1817" t="s">
        <v>458</v>
      </c>
      <c r="F1817" t="s">
        <v>5174</v>
      </c>
      <c r="G1817" t="s">
        <v>101</v>
      </c>
      <c r="H1817" t="s">
        <v>621</v>
      </c>
      <c r="I1817">
        <f t="shared" si="29"/>
        <v>4</v>
      </c>
      <c r="J1817" t="s">
        <v>18</v>
      </c>
      <c r="K1817" t="str" cm="1">
        <f t="array" ref="K1817">_xlfn.SWITCH(TRIM(UPPER(J1817)),
"BUSINESS", "Short Stay",
"CONFERENCE", "Medium Stay",
"VACATION", "Iong Stay",
"HOLIDAY", "Long Stay",
"V", "Leisure",
"UNKNOWN", "Unknown",
"Other")</f>
        <v>Short Stay</v>
      </c>
    </row>
    <row r="1818" spans="1:11" x14ac:dyDescent="0.3">
      <c r="A1818" t="s">
        <v>5175</v>
      </c>
      <c r="B1818" t="s">
        <v>3252</v>
      </c>
      <c r="C1818" t="s">
        <v>38</v>
      </c>
      <c r="D1818" t="s">
        <v>435</v>
      </c>
      <c r="E1818" t="s">
        <v>40</v>
      </c>
      <c r="F1818" t="s">
        <v>4307</v>
      </c>
      <c r="G1818" t="s">
        <v>2870</v>
      </c>
      <c r="H1818" t="s">
        <v>58</v>
      </c>
      <c r="I1818">
        <f t="shared" si="29"/>
        <v>3</v>
      </c>
      <c r="J1818" t="s">
        <v>44</v>
      </c>
      <c r="K1818" t="str" cm="1">
        <f t="array" ref="K1818">_xlfn.SWITCH(TRIM(UPPER(J1818)),
"BUSINESS", "Short Stay",
"CONFERENCE", "Medium Stay",
"VACATION", "Iong Stay",
"HOLIDAY", "Long Stay",
"V", "Leisure",
"UNKNOWN", "Unknown",
"Other")</f>
        <v>Other</v>
      </c>
    </row>
    <row r="1819" spans="1:11" x14ac:dyDescent="0.3">
      <c r="A1819" t="s">
        <v>5176</v>
      </c>
      <c r="B1819" t="s">
        <v>596</v>
      </c>
      <c r="C1819" t="s">
        <v>97</v>
      </c>
      <c r="D1819" t="s">
        <v>1924</v>
      </c>
      <c r="E1819" t="s">
        <v>32</v>
      </c>
      <c r="F1819" t="s">
        <v>5177</v>
      </c>
      <c r="G1819" t="s">
        <v>599</v>
      </c>
      <c r="H1819" t="s">
        <v>1689</v>
      </c>
      <c r="I1819">
        <f t="shared" si="29"/>
        <v>5</v>
      </c>
      <c r="J1819" t="s">
        <v>18</v>
      </c>
      <c r="K1819" t="str" cm="1">
        <f t="array" ref="K1819">_xlfn.SWITCH(TRIM(UPPER(J1819)),
"BUSINESS", "Short Stay",
"CONFERENCE", "Medium Stay",
"VACATION", "Iong Stay",
"HOLIDAY", "Long Stay",
"V", "Leisure",
"UNKNOWN", "Unknown",
"Other")</f>
        <v>Short Stay</v>
      </c>
    </row>
    <row r="1820" spans="1:11" x14ac:dyDescent="0.3">
      <c r="A1820" t="s">
        <v>5178</v>
      </c>
      <c r="B1820" t="s">
        <v>1916</v>
      </c>
      <c r="C1820" t="s">
        <v>30</v>
      </c>
      <c r="D1820" t="s">
        <v>466</v>
      </c>
      <c r="E1820" t="s">
        <v>85</v>
      </c>
      <c r="F1820" t="s">
        <v>4503</v>
      </c>
      <c r="G1820" t="s">
        <v>691</v>
      </c>
      <c r="H1820" t="s">
        <v>1304</v>
      </c>
      <c r="I1820">
        <f t="shared" si="29"/>
        <v>5</v>
      </c>
      <c r="J1820" t="s">
        <v>121</v>
      </c>
      <c r="K1820" t="str" cm="1">
        <f t="array" ref="K1820">_xlfn.SWITCH(TRIM(UPPER(J1820)),
"BUSINESS", "Short Stay",
"CONFERENCE", "Medium Stay",
"VACATION", "Iong Stay",
"HOLIDAY", "Long Stay",
"V", "Leisure",
"UNKNOWN", "Unknown",
"Other")</f>
        <v>Iong Stay</v>
      </c>
    </row>
    <row r="1821" spans="1:11" x14ac:dyDescent="0.3">
      <c r="A1821" t="s">
        <v>5179</v>
      </c>
      <c r="B1821" t="s">
        <v>2513</v>
      </c>
      <c r="C1821" t="s">
        <v>54</v>
      </c>
      <c r="D1821" t="s">
        <v>3331</v>
      </c>
      <c r="E1821" t="s">
        <v>214</v>
      </c>
      <c r="F1821" t="s">
        <v>5180</v>
      </c>
      <c r="G1821" t="s">
        <v>2516</v>
      </c>
      <c r="H1821" t="s">
        <v>133</v>
      </c>
      <c r="I1821">
        <f t="shared" si="29"/>
        <v>1</v>
      </c>
      <c r="J1821" t="s">
        <v>27</v>
      </c>
      <c r="K1821" t="str" cm="1">
        <f t="array" ref="K1821">_xlfn.SWITCH(TRIM(UPPER(J1821)),
"BUSINESS", "Short Stay",
"CONFERENCE", "Medium Stay",
"VACATION", "Iong Stay",
"HOLIDAY", "Long Stay",
"V", "Leisure",
"UNKNOWN", "Unknown",
"Other")</f>
        <v>Medium Stay</v>
      </c>
    </row>
    <row r="1822" spans="1:11" x14ac:dyDescent="0.3">
      <c r="A1822" t="s">
        <v>5181</v>
      </c>
      <c r="B1822" t="s">
        <v>1678</v>
      </c>
      <c r="C1822" t="s">
        <v>83</v>
      </c>
      <c r="D1822" t="s">
        <v>2733</v>
      </c>
      <c r="E1822" t="s">
        <v>117</v>
      </c>
      <c r="F1822" t="s">
        <v>5182</v>
      </c>
      <c r="G1822" t="s">
        <v>1681</v>
      </c>
      <c r="H1822" t="s">
        <v>913</v>
      </c>
      <c r="I1822">
        <f t="shared" si="29"/>
        <v>2</v>
      </c>
      <c r="J1822" t="s">
        <v>18</v>
      </c>
      <c r="K1822" t="str" cm="1">
        <f t="array" ref="K1822">_xlfn.SWITCH(TRIM(UPPER(J1822)),
"BUSINESS", "Short Stay",
"CONFERENCE", "Medium Stay",
"VACATION", "Iong Stay",
"HOLIDAY", "Long Stay",
"V", "Leisure",
"UNKNOWN", "Unknown",
"Other")</f>
        <v>Short Stay</v>
      </c>
    </row>
    <row r="1823" spans="1:11" x14ac:dyDescent="0.3">
      <c r="A1823" t="s">
        <v>5183</v>
      </c>
      <c r="B1823" t="s">
        <v>1401</v>
      </c>
      <c r="C1823" t="s">
        <v>174</v>
      </c>
      <c r="D1823" t="s">
        <v>1385</v>
      </c>
      <c r="E1823" t="s">
        <v>14</v>
      </c>
      <c r="F1823" t="s">
        <v>5184</v>
      </c>
      <c r="G1823" t="s">
        <v>1404</v>
      </c>
      <c r="H1823" t="s">
        <v>1090</v>
      </c>
      <c r="I1823">
        <f t="shared" si="29"/>
        <v>5</v>
      </c>
      <c r="J1823" t="s">
        <v>121</v>
      </c>
      <c r="K1823" t="str" cm="1">
        <f t="array" ref="K1823">_xlfn.SWITCH(TRIM(UPPER(J1823)),
"BUSINESS", "Short Stay",
"CONFERENCE", "Medium Stay",
"VACATION", "Iong Stay",
"HOLIDAY", "Long Stay",
"V", "Leisure",
"UNKNOWN", "Unknown",
"Other")</f>
        <v>Iong Stay</v>
      </c>
    </row>
    <row r="1824" spans="1:11" x14ac:dyDescent="0.3">
      <c r="A1824" t="s">
        <v>5185</v>
      </c>
      <c r="B1824" t="s">
        <v>520</v>
      </c>
      <c r="C1824" t="s">
        <v>61</v>
      </c>
      <c r="D1824" t="s">
        <v>5186</v>
      </c>
      <c r="E1824" t="s">
        <v>14</v>
      </c>
      <c r="F1824" t="s">
        <v>5187</v>
      </c>
      <c r="G1824" t="s">
        <v>523</v>
      </c>
      <c r="H1824" t="s">
        <v>524</v>
      </c>
      <c r="I1824">
        <f t="shared" si="29"/>
        <v>1</v>
      </c>
      <c r="J1824" t="s">
        <v>44</v>
      </c>
      <c r="K1824" t="str" cm="1">
        <f t="array" ref="K1824">_xlfn.SWITCH(TRIM(UPPER(J1824)),
"BUSINESS", "Short Stay",
"CONFERENCE", "Medium Stay",
"VACATION", "Iong Stay",
"HOLIDAY", "Long Stay",
"V", "Leisure",
"UNKNOWN", "Unknown",
"Other")</f>
        <v>Other</v>
      </c>
    </row>
    <row r="1825" spans="1:11" x14ac:dyDescent="0.3">
      <c r="A1825" t="s">
        <v>5188</v>
      </c>
      <c r="B1825" t="s">
        <v>960</v>
      </c>
      <c r="C1825" t="s">
        <v>12</v>
      </c>
      <c r="D1825" t="s">
        <v>331</v>
      </c>
      <c r="E1825" t="s">
        <v>314</v>
      </c>
      <c r="F1825" t="s">
        <v>5189</v>
      </c>
      <c r="G1825" t="s">
        <v>963</v>
      </c>
      <c r="H1825" t="s">
        <v>184</v>
      </c>
      <c r="I1825">
        <f t="shared" si="29"/>
        <v>4</v>
      </c>
      <c r="J1825" t="s">
        <v>18</v>
      </c>
      <c r="K1825" t="str" cm="1">
        <f t="array" ref="K1825">_xlfn.SWITCH(TRIM(UPPER(J1825)),
"BUSINESS", "Short Stay",
"CONFERENCE", "Medium Stay",
"VACATION", "Iong Stay",
"HOLIDAY", "Long Stay",
"V", "Leisure",
"UNKNOWN", "Unknown",
"Other")</f>
        <v>Short Stay</v>
      </c>
    </row>
    <row r="1826" spans="1:11" x14ac:dyDescent="0.3">
      <c r="A1826" t="s">
        <v>5190</v>
      </c>
      <c r="B1826" t="s">
        <v>1473</v>
      </c>
      <c r="C1826" t="s">
        <v>21</v>
      </c>
      <c r="D1826" t="s">
        <v>4236</v>
      </c>
      <c r="E1826" t="s">
        <v>85</v>
      </c>
      <c r="F1826" t="s">
        <v>2912</v>
      </c>
      <c r="G1826" t="s">
        <v>191</v>
      </c>
      <c r="H1826" t="s">
        <v>621</v>
      </c>
      <c r="I1826">
        <f t="shared" si="29"/>
        <v>5</v>
      </c>
      <c r="J1826" t="s">
        <v>27</v>
      </c>
      <c r="K1826" t="str" cm="1">
        <f t="array" ref="K1826">_xlfn.SWITCH(TRIM(UPPER(J1826)),
"BUSINESS", "Short Stay",
"CONFERENCE", "Medium Stay",
"VACATION", "Iong Stay",
"HOLIDAY", "Long Stay",
"V", "Leisure",
"UNKNOWN", "Unknown",
"Other")</f>
        <v>Medium Stay</v>
      </c>
    </row>
    <row r="1827" spans="1:11" x14ac:dyDescent="0.3">
      <c r="A1827" t="s">
        <v>5191</v>
      </c>
      <c r="B1827" t="s">
        <v>380</v>
      </c>
      <c r="C1827" t="s">
        <v>97</v>
      </c>
      <c r="D1827" t="s">
        <v>2251</v>
      </c>
      <c r="E1827" t="s">
        <v>40</v>
      </c>
      <c r="F1827" t="s">
        <v>5192</v>
      </c>
      <c r="G1827" t="s">
        <v>383</v>
      </c>
      <c r="H1827" t="s">
        <v>233</v>
      </c>
      <c r="I1827">
        <f t="shared" si="29"/>
        <v>1</v>
      </c>
      <c r="J1827" t="s">
        <v>44</v>
      </c>
      <c r="K1827" t="str" cm="1">
        <f t="array" ref="K1827">_xlfn.SWITCH(TRIM(UPPER(J1827)),
"BUSINESS", "Short Stay",
"CONFERENCE", "Medium Stay",
"VACATION", "Iong Stay",
"HOLIDAY", "Long Stay",
"V", "Leisure",
"UNKNOWN", "Unknown",
"Other")</f>
        <v>Other</v>
      </c>
    </row>
    <row r="1828" spans="1:11" x14ac:dyDescent="0.3">
      <c r="A1828" t="s">
        <v>5193</v>
      </c>
      <c r="B1828" t="s">
        <v>1328</v>
      </c>
      <c r="C1828" t="s">
        <v>97</v>
      </c>
      <c r="D1828" t="s">
        <v>5194</v>
      </c>
      <c r="E1828" t="s">
        <v>40</v>
      </c>
      <c r="F1828" t="s">
        <v>5195</v>
      </c>
      <c r="G1828" t="s">
        <v>1331</v>
      </c>
      <c r="H1828" t="s">
        <v>1646</v>
      </c>
      <c r="I1828">
        <f t="shared" si="29"/>
        <v>4</v>
      </c>
      <c r="J1828" t="s">
        <v>18</v>
      </c>
      <c r="K1828" t="str" cm="1">
        <f t="array" ref="K1828">_xlfn.SWITCH(TRIM(UPPER(J1828)),
"BUSINESS", "Short Stay",
"CONFERENCE", "Medium Stay",
"VACATION", "Iong Stay",
"HOLIDAY", "Long Stay",
"V", "Leisure",
"UNKNOWN", "Unknown",
"Other")</f>
        <v>Short Stay</v>
      </c>
    </row>
    <row r="1829" spans="1:11" x14ac:dyDescent="0.3">
      <c r="A1829" t="s">
        <v>5196</v>
      </c>
      <c r="B1829" t="s">
        <v>2142</v>
      </c>
      <c r="C1829" t="s">
        <v>97</v>
      </c>
      <c r="D1829" t="s">
        <v>4462</v>
      </c>
      <c r="E1829" t="s">
        <v>546</v>
      </c>
      <c r="F1829" t="s">
        <v>2655</v>
      </c>
      <c r="G1829" t="s">
        <v>999</v>
      </c>
      <c r="H1829" t="s">
        <v>1505</v>
      </c>
      <c r="I1829">
        <f t="shared" si="29"/>
        <v>2</v>
      </c>
      <c r="J1829" t="s">
        <v>27</v>
      </c>
      <c r="K1829" t="str" cm="1">
        <f t="array" ref="K1829">_xlfn.SWITCH(TRIM(UPPER(J1829)),
"BUSINESS", "Short Stay",
"CONFERENCE", "Medium Stay",
"VACATION", "Iong Stay",
"HOLIDAY", "Long Stay",
"V", "Leisure",
"UNKNOWN", "Unknown",
"Other")</f>
        <v>Medium Stay</v>
      </c>
    </row>
    <row r="1830" spans="1:11" x14ac:dyDescent="0.3">
      <c r="A1830" t="s">
        <v>5197</v>
      </c>
      <c r="B1830" t="s">
        <v>968</v>
      </c>
      <c r="C1830" t="s">
        <v>54</v>
      </c>
      <c r="D1830" t="s">
        <v>1766</v>
      </c>
      <c r="E1830" t="s">
        <v>63</v>
      </c>
      <c r="F1830" t="s">
        <v>5198</v>
      </c>
      <c r="G1830" t="s">
        <v>971</v>
      </c>
      <c r="H1830" t="s">
        <v>861</v>
      </c>
      <c r="I1830">
        <f t="shared" si="29"/>
        <v>4</v>
      </c>
      <c r="J1830" t="s">
        <v>121</v>
      </c>
      <c r="K1830" t="str" cm="1">
        <f t="array" ref="K1830">_xlfn.SWITCH(TRIM(UPPER(J1830)),
"BUSINESS", "Short Stay",
"CONFERENCE", "Medium Stay",
"VACATION", "Iong Stay",
"HOLIDAY", "Long Stay",
"V", "Leisure",
"UNKNOWN", "Unknown",
"Other")</f>
        <v>Iong Stay</v>
      </c>
    </row>
    <row r="1831" spans="1:11" x14ac:dyDescent="0.3">
      <c r="A1831" t="s">
        <v>5199</v>
      </c>
      <c r="B1831" t="s">
        <v>1725</v>
      </c>
      <c r="C1831" t="s">
        <v>83</v>
      </c>
      <c r="D1831" t="s">
        <v>4502</v>
      </c>
      <c r="E1831" t="s">
        <v>156</v>
      </c>
      <c r="F1831" t="s">
        <v>5200</v>
      </c>
      <c r="G1831" t="s">
        <v>1728</v>
      </c>
      <c r="H1831" t="s">
        <v>553</v>
      </c>
      <c r="I1831">
        <f t="shared" si="29"/>
        <v>1</v>
      </c>
      <c r="J1831" t="s">
        <v>18</v>
      </c>
      <c r="K1831" t="str" cm="1">
        <f t="array" ref="K1831">_xlfn.SWITCH(TRIM(UPPER(J1831)),
"BUSINESS", "Short Stay",
"CONFERENCE", "Medium Stay",
"VACATION", "Iong Stay",
"HOLIDAY", "Long Stay",
"V", "Leisure",
"UNKNOWN", "Unknown",
"Other")</f>
        <v>Short Stay</v>
      </c>
    </row>
    <row r="1832" spans="1:11" x14ac:dyDescent="0.3">
      <c r="A1832" t="s">
        <v>5201</v>
      </c>
      <c r="B1832" t="s">
        <v>1473</v>
      </c>
      <c r="C1832" t="s">
        <v>21</v>
      </c>
      <c r="D1832" t="s">
        <v>2750</v>
      </c>
      <c r="E1832" t="s">
        <v>430</v>
      </c>
      <c r="F1832" t="s">
        <v>5202</v>
      </c>
      <c r="G1832" t="s">
        <v>191</v>
      </c>
      <c r="H1832" t="s">
        <v>101</v>
      </c>
      <c r="I1832">
        <f t="shared" si="29"/>
        <v>1</v>
      </c>
      <c r="J1832" t="s">
        <v>44</v>
      </c>
      <c r="K1832" t="str" cm="1">
        <f t="array" ref="K1832">_xlfn.SWITCH(TRIM(UPPER(J1832)),
"BUSINESS", "Short Stay",
"CONFERENCE", "Medium Stay",
"VACATION", "Iong Stay",
"HOLIDAY", "Long Stay",
"V", "Leisure",
"UNKNOWN", "Unknown",
"Other")</f>
        <v>Other</v>
      </c>
    </row>
    <row r="1833" spans="1:11" x14ac:dyDescent="0.3">
      <c r="A1833" t="s">
        <v>5203</v>
      </c>
      <c r="B1833" t="s">
        <v>1162</v>
      </c>
      <c r="C1833" t="s">
        <v>61</v>
      </c>
      <c r="D1833" t="s">
        <v>1981</v>
      </c>
      <c r="E1833" t="s">
        <v>176</v>
      </c>
      <c r="F1833" t="s">
        <v>5204</v>
      </c>
      <c r="G1833" t="s">
        <v>1164</v>
      </c>
      <c r="H1833" t="s">
        <v>276</v>
      </c>
      <c r="I1833">
        <f t="shared" si="29"/>
        <v>3</v>
      </c>
      <c r="J1833" t="s">
        <v>18</v>
      </c>
      <c r="K1833" t="str" cm="1">
        <f t="array" ref="K1833">_xlfn.SWITCH(TRIM(UPPER(J1833)),
"BUSINESS", "Short Stay",
"CONFERENCE", "Medium Stay",
"VACATION", "Iong Stay",
"HOLIDAY", "Long Stay",
"V", "Leisure",
"UNKNOWN", "Unknown",
"Other")</f>
        <v>Short Stay</v>
      </c>
    </row>
    <row r="1834" spans="1:11" x14ac:dyDescent="0.3">
      <c r="A1834" t="s">
        <v>5205</v>
      </c>
      <c r="B1834" t="s">
        <v>1318</v>
      </c>
      <c r="C1834" t="s">
        <v>38</v>
      </c>
      <c r="D1834" t="s">
        <v>1309</v>
      </c>
      <c r="E1834" t="s">
        <v>149</v>
      </c>
      <c r="F1834" t="s">
        <v>5206</v>
      </c>
      <c r="G1834" t="s">
        <v>989</v>
      </c>
      <c r="H1834" t="s">
        <v>1404</v>
      </c>
      <c r="I1834">
        <f t="shared" si="29"/>
        <v>1</v>
      </c>
      <c r="J1834" t="s">
        <v>121</v>
      </c>
      <c r="K1834" t="str" cm="1">
        <f t="array" ref="K1834">_xlfn.SWITCH(TRIM(UPPER(J1834)),
"BUSINESS", "Short Stay",
"CONFERENCE", "Medium Stay",
"VACATION", "Iong Stay",
"HOLIDAY", "Long Stay",
"V", "Leisure",
"UNKNOWN", "Unknown",
"Other")</f>
        <v>Iong Stay</v>
      </c>
    </row>
    <row r="1835" spans="1:11" x14ac:dyDescent="0.3">
      <c r="A1835" t="s">
        <v>5207</v>
      </c>
      <c r="B1835" t="s">
        <v>921</v>
      </c>
      <c r="C1835" t="s">
        <v>75</v>
      </c>
      <c r="D1835" t="s">
        <v>1821</v>
      </c>
      <c r="E1835" t="s">
        <v>476</v>
      </c>
      <c r="F1835" t="s">
        <v>5208</v>
      </c>
      <c r="G1835" t="s">
        <v>594</v>
      </c>
      <c r="H1835" t="s">
        <v>288</v>
      </c>
      <c r="I1835">
        <f t="shared" si="29"/>
        <v>5</v>
      </c>
      <c r="J1835" t="s">
        <v>44</v>
      </c>
      <c r="K1835" t="str" cm="1">
        <f t="array" ref="K1835">_xlfn.SWITCH(TRIM(UPPER(J1835)),
"BUSINESS", "Short Stay",
"CONFERENCE", "Medium Stay",
"VACATION", "Iong Stay",
"HOLIDAY", "Long Stay",
"V", "Leisure",
"UNKNOWN", "Unknown",
"Other")</f>
        <v>Other</v>
      </c>
    </row>
    <row r="1836" spans="1:11" x14ac:dyDescent="0.3">
      <c r="A1836" t="s">
        <v>5209</v>
      </c>
      <c r="B1836" t="s">
        <v>1855</v>
      </c>
      <c r="C1836" t="s">
        <v>54</v>
      </c>
      <c r="D1836" t="s">
        <v>2848</v>
      </c>
      <c r="E1836" t="s">
        <v>476</v>
      </c>
      <c r="F1836" t="s">
        <v>5210</v>
      </c>
      <c r="G1836" t="s">
        <v>1172</v>
      </c>
      <c r="H1836" t="s">
        <v>1857</v>
      </c>
      <c r="I1836">
        <f t="shared" si="29"/>
        <v>1</v>
      </c>
      <c r="J1836" t="s">
        <v>18</v>
      </c>
      <c r="K1836" t="str" cm="1">
        <f t="array" ref="K1836">_xlfn.SWITCH(TRIM(UPPER(J1836)),
"BUSINESS", "Short Stay",
"CONFERENCE", "Medium Stay",
"VACATION", "Iong Stay",
"HOLIDAY", "Long Stay",
"V", "Leisure",
"UNKNOWN", "Unknown",
"Other")</f>
        <v>Short Stay</v>
      </c>
    </row>
    <row r="1837" spans="1:11" x14ac:dyDescent="0.3">
      <c r="A1837" t="s">
        <v>5211</v>
      </c>
      <c r="B1837" t="s">
        <v>401</v>
      </c>
      <c r="C1837" t="s">
        <v>174</v>
      </c>
      <c r="D1837" t="s">
        <v>649</v>
      </c>
      <c r="E1837" t="s">
        <v>314</v>
      </c>
      <c r="F1837" t="s">
        <v>5212</v>
      </c>
      <c r="G1837" t="s">
        <v>35</v>
      </c>
      <c r="H1837" t="s">
        <v>238</v>
      </c>
      <c r="I1837">
        <f t="shared" si="29"/>
        <v>3</v>
      </c>
      <c r="J1837" t="s">
        <v>121</v>
      </c>
      <c r="K1837" t="str" cm="1">
        <f t="array" ref="K1837">_xlfn.SWITCH(TRIM(UPPER(J1837)),
"BUSINESS", "Short Stay",
"CONFERENCE", "Medium Stay",
"VACATION", "Iong Stay",
"HOLIDAY", "Long Stay",
"V", "Leisure",
"UNKNOWN", "Unknown",
"Other")</f>
        <v>Iong Stay</v>
      </c>
    </row>
    <row r="1838" spans="1:11" x14ac:dyDescent="0.3">
      <c r="A1838" t="s">
        <v>5213</v>
      </c>
      <c r="B1838" t="s">
        <v>580</v>
      </c>
      <c r="C1838" t="s">
        <v>38</v>
      </c>
      <c r="D1838" t="s">
        <v>1064</v>
      </c>
      <c r="E1838" t="s">
        <v>69</v>
      </c>
      <c r="F1838" t="s">
        <v>5214</v>
      </c>
      <c r="G1838" t="s">
        <v>583</v>
      </c>
      <c r="H1838" t="s">
        <v>1048</v>
      </c>
      <c r="I1838">
        <f t="shared" si="29"/>
        <v>2</v>
      </c>
      <c r="J1838" t="s">
        <v>121</v>
      </c>
      <c r="K1838" t="str" cm="1">
        <f t="array" ref="K1838">_xlfn.SWITCH(TRIM(UPPER(J1838)),
"BUSINESS", "Short Stay",
"CONFERENCE", "Medium Stay",
"VACATION", "Iong Stay",
"HOLIDAY", "Long Stay",
"V", "Leisure",
"UNKNOWN", "Unknown",
"Other")</f>
        <v>Iong Stay</v>
      </c>
    </row>
    <row r="1839" spans="1:11" x14ac:dyDescent="0.3">
      <c r="A1839" t="s">
        <v>5215</v>
      </c>
      <c r="B1839" t="s">
        <v>682</v>
      </c>
      <c r="C1839" t="s">
        <v>97</v>
      </c>
      <c r="D1839" t="s">
        <v>2532</v>
      </c>
      <c r="E1839" t="s">
        <v>314</v>
      </c>
      <c r="F1839" t="s">
        <v>5216</v>
      </c>
      <c r="G1839" t="s">
        <v>685</v>
      </c>
      <c r="H1839" t="s">
        <v>1226</v>
      </c>
      <c r="I1839">
        <f t="shared" si="29"/>
        <v>2</v>
      </c>
      <c r="J1839" t="s">
        <v>121</v>
      </c>
      <c r="K1839" t="str" cm="1">
        <f t="array" ref="K1839">_xlfn.SWITCH(TRIM(UPPER(J1839)),
"BUSINESS", "Short Stay",
"CONFERENCE", "Medium Stay",
"VACATION", "Iong Stay",
"HOLIDAY", "Long Stay",
"V", "Leisure",
"UNKNOWN", "Unknown",
"Other")</f>
        <v>Iong Stay</v>
      </c>
    </row>
    <row r="1840" spans="1:11" x14ac:dyDescent="0.3">
      <c r="A1840" t="s">
        <v>5217</v>
      </c>
      <c r="B1840" t="s">
        <v>1465</v>
      </c>
      <c r="C1840" t="s">
        <v>174</v>
      </c>
      <c r="D1840" t="s">
        <v>2158</v>
      </c>
      <c r="E1840" t="s">
        <v>430</v>
      </c>
      <c r="F1840" t="s">
        <v>5218</v>
      </c>
      <c r="G1840" t="s">
        <v>1415</v>
      </c>
      <c r="H1840" t="s">
        <v>1407</v>
      </c>
      <c r="I1840">
        <f t="shared" si="29"/>
        <v>5</v>
      </c>
      <c r="J1840" t="s">
        <v>27</v>
      </c>
      <c r="K1840" t="str" cm="1">
        <f t="array" ref="K1840">_xlfn.SWITCH(TRIM(UPPER(J1840)),
"BUSINESS", "Short Stay",
"CONFERENCE", "Medium Stay",
"VACATION", "Iong Stay",
"HOLIDAY", "Long Stay",
"V", "Leisure",
"UNKNOWN", "Unknown",
"Other")</f>
        <v>Medium Stay</v>
      </c>
    </row>
    <row r="1841" spans="1:11" x14ac:dyDescent="0.3">
      <c r="A1841" t="s">
        <v>5219</v>
      </c>
      <c r="B1841" t="s">
        <v>4043</v>
      </c>
      <c r="C1841" t="s">
        <v>174</v>
      </c>
      <c r="D1841" t="s">
        <v>5220</v>
      </c>
      <c r="E1841" t="s">
        <v>546</v>
      </c>
      <c r="F1841" t="s">
        <v>5221</v>
      </c>
      <c r="G1841" t="s">
        <v>4045</v>
      </c>
      <c r="H1841" t="s">
        <v>908</v>
      </c>
      <c r="I1841">
        <f t="shared" si="29"/>
        <v>1</v>
      </c>
      <c r="J1841" t="s">
        <v>44</v>
      </c>
      <c r="K1841" t="str" cm="1">
        <f t="array" ref="K1841">_xlfn.SWITCH(TRIM(UPPER(J1841)),
"BUSINESS", "Short Stay",
"CONFERENCE", "Medium Stay",
"VACATION", "Iong Stay",
"HOLIDAY", "Long Stay",
"V", "Leisure",
"UNKNOWN", "Unknown",
"Other")</f>
        <v>Other</v>
      </c>
    </row>
    <row r="1842" spans="1:11" x14ac:dyDescent="0.3">
      <c r="A1842" t="s">
        <v>5222</v>
      </c>
      <c r="B1842" t="s">
        <v>1186</v>
      </c>
      <c r="C1842" t="s">
        <v>54</v>
      </c>
      <c r="D1842" t="s">
        <v>2008</v>
      </c>
      <c r="E1842" t="s">
        <v>214</v>
      </c>
      <c r="F1842" t="s">
        <v>5223</v>
      </c>
      <c r="G1842" t="s">
        <v>931</v>
      </c>
      <c r="H1842" t="s">
        <v>1280</v>
      </c>
      <c r="I1842">
        <f t="shared" si="29"/>
        <v>2</v>
      </c>
      <c r="J1842" t="s">
        <v>44</v>
      </c>
      <c r="K1842" t="str" cm="1">
        <f t="array" ref="K1842">_xlfn.SWITCH(TRIM(UPPER(J1842)),
"BUSINESS", "Short Stay",
"CONFERENCE", "Medium Stay",
"VACATION", "Iong Stay",
"HOLIDAY", "Long Stay",
"V", "Leisure",
"UNKNOWN", "Unknown",
"Other")</f>
        <v>Other</v>
      </c>
    </row>
    <row r="1843" spans="1:11" x14ac:dyDescent="0.3">
      <c r="A1843" t="s">
        <v>5224</v>
      </c>
      <c r="B1843" t="s">
        <v>1661</v>
      </c>
      <c r="C1843" t="s">
        <v>54</v>
      </c>
      <c r="D1843" t="s">
        <v>3497</v>
      </c>
      <c r="E1843" t="s">
        <v>201</v>
      </c>
      <c r="F1843" t="s">
        <v>5225</v>
      </c>
      <c r="G1843" t="s">
        <v>946</v>
      </c>
      <c r="H1843" t="s">
        <v>239</v>
      </c>
      <c r="I1843">
        <f t="shared" si="29"/>
        <v>2</v>
      </c>
      <c r="J1843" t="s">
        <v>44</v>
      </c>
      <c r="K1843" t="str" cm="1">
        <f t="array" ref="K1843">_xlfn.SWITCH(TRIM(UPPER(J1843)),
"BUSINESS", "Short Stay",
"CONFERENCE", "Medium Stay",
"VACATION", "Iong Stay",
"HOLIDAY", "Long Stay",
"V", "Leisure",
"UNKNOWN", "Unknown",
"Other")</f>
        <v>Other</v>
      </c>
    </row>
    <row r="1844" spans="1:11" x14ac:dyDescent="0.3">
      <c r="A1844" t="s">
        <v>5226</v>
      </c>
      <c r="B1844" t="s">
        <v>1844</v>
      </c>
      <c r="C1844" t="s">
        <v>54</v>
      </c>
      <c r="D1844" t="s">
        <v>836</v>
      </c>
      <c r="E1844" t="s">
        <v>14</v>
      </c>
      <c r="F1844" t="s">
        <v>5227</v>
      </c>
      <c r="G1844" t="s">
        <v>1847</v>
      </c>
      <c r="H1844" t="s">
        <v>245</v>
      </c>
      <c r="I1844">
        <f t="shared" si="29"/>
        <v>2</v>
      </c>
      <c r="J1844" t="s">
        <v>18</v>
      </c>
      <c r="K1844" t="str" cm="1">
        <f t="array" ref="K1844">_xlfn.SWITCH(TRIM(UPPER(J1844)),
"BUSINESS", "Short Stay",
"CONFERENCE", "Medium Stay",
"VACATION", "Iong Stay",
"HOLIDAY", "Long Stay",
"V", "Leisure",
"UNKNOWN", "Unknown",
"Other")</f>
        <v>Short Stay</v>
      </c>
    </row>
    <row r="1845" spans="1:11" x14ac:dyDescent="0.3">
      <c r="A1845" t="s">
        <v>5228</v>
      </c>
      <c r="B1845" t="s">
        <v>1817</v>
      </c>
      <c r="C1845" t="s">
        <v>97</v>
      </c>
      <c r="D1845" t="s">
        <v>2408</v>
      </c>
      <c r="E1845" t="s">
        <v>149</v>
      </c>
      <c r="F1845" t="s">
        <v>5229</v>
      </c>
      <c r="G1845" t="s">
        <v>984</v>
      </c>
      <c r="H1845" t="s">
        <v>744</v>
      </c>
      <c r="I1845">
        <f t="shared" si="29"/>
        <v>5</v>
      </c>
      <c r="J1845" t="s">
        <v>18</v>
      </c>
      <c r="K1845" t="str" cm="1">
        <f t="array" ref="K1845">_xlfn.SWITCH(TRIM(UPPER(J1845)),
"BUSINESS", "Short Stay",
"CONFERENCE", "Medium Stay",
"VACATION", "Iong Stay",
"HOLIDAY", "Long Stay",
"V", "Leisure",
"UNKNOWN", "Unknown",
"Other")</f>
        <v>Short Stay</v>
      </c>
    </row>
    <row r="1846" spans="1:11" x14ac:dyDescent="0.3">
      <c r="A1846" t="s">
        <v>5230</v>
      </c>
      <c r="B1846" t="s">
        <v>53</v>
      </c>
      <c r="C1846" t="s">
        <v>75</v>
      </c>
      <c r="D1846" t="s">
        <v>1746</v>
      </c>
      <c r="E1846" t="s">
        <v>156</v>
      </c>
      <c r="F1846" t="s">
        <v>5231</v>
      </c>
      <c r="G1846" t="s">
        <v>57</v>
      </c>
      <c r="H1846" t="s">
        <v>203</v>
      </c>
      <c r="I1846">
        <f t="shared" si="29"/>
        <v>1</v>
      </c>
      <c r="J1846" t="s">
        <v>121</v>
      </c>
      <c r="K1846" t="str" cm="1">
        <f t="array" ref="K1846">_xlfn.SWITCH(TRIM(UPPER(J1846)),
"BUSINESS", "Short Stay",
"CONFERENCE", "Medium Stay",
"VACATION", "Iong Stay",
"HOLIDAY", "Long Stay",
"V", "Leisure",
"UNKNOWN", "Unknown",
"Other")</f>
        <v>Iong Stay</v>
      </c>
    </row>
    <row r="1847" spans="1:11" x14ac:dyDescent="0.3">
      <c r="A1847" t="s">
        <v>5232</v>
      </c>
      <c r="B1847" t="s">
        <v>1859</v>
      </c>
      <c r="C1847" t="s">
        <v>21</v>
      </c>
      <c r="D1847" t="s">
        <v>2718</v>
      </c>
      <c r="E1847" t="s">
        <v>176</v>
      </c>
      <c r="F1847" t="s">
        <v>5233</v>
      </c>
      <c r="G1847" t="s">
        <v>1861</v>
      </c>
      <c r="H1847" t="s">
        <v>1456</v>
      </c>
      <c r="I1847">
        <f t="shared" si="29"/>
        <v>5</v>
      </c>
      <c r="J1847" t="s">
        <v>121</v>
      </c>
      <c r="K1847" t="str" cm="1">
        <f t="array" ref="K1847">_xlfn.SWITCH(TRIM(UPPER(J1847)),
"BUSINESS", "Short Stay",
"CONFERENCE", "Medium Stay",
"VACATION", "Iong Stay",
"HOLIDAY", "Long Stay",
"V", "Leisure",
"UNKNOWN", "Unknown",
"Other")</f>
        <v>Iong Stay</v>
      </c>
    </row>
    <row r="1848" spans="1:11" x14ac:dyDescent="0.3">
      <c r="A1848" t="s">
        <v>5234</v>
      </c>
      <c r="B1848" t="s">
        <v>766</v>
      </c>
      <c r="C1848" t="s">
        <v>75</v>
      </c>
      <c r="D1848" t="s">
        <v>5235</v>
      </c>
      <c r="E1848" t="s">
        <v>314</v>
      </c>
      <c r="F1848" t="s">
        <v>5236</v>
      </c>
      <c r="G1848" t="s">
        <v>769</v>
      </c>
      <c r="H1848" t="s">
        <v>2107</v>
      </c>
      <c r="I1848">
        <f t="shared" si="29"/>
        <v>3</v>
      </c>
      <c r="J1848" t="s">
        <v>18</v>
      </c>
      <c r="K1848" t="str" cm="1">
        <f t="array" ref="K1848">_xlfn.SWITCH(TRIM(UPPER(J1848)),
"BUSINESS", "Short Stay",
"CONFERENCE", "Medium Stay",
"VACATION", "Iong Stay",
"HOLIDAY", "Long Stay",
"V", "Leisure",
"UNKNOWN", "Unknown",
"Other")</f>
        <v>Short Stay</v>
      </c>
    </row>
    <row r="1849" spans="1:11" x14ac:dyDescent="0.3">
      <c r="A1849" t="s">
        <v>5237</v>
      </c>
      <c r="B1849" t="s">
        <v>2635</v>
      </c>
      <c r="C1849" t="s">
        <v>174</v>
      </c>
      <c r="D1849" t="s">
        <v>575</v>
      </c>
      <c r="E1849" t="s">
        <v>458</v>
      </c>
      <c r="F1849" t="s">
        <v>4154</v>
      </c>
      <c r="G1849" t="s">
        <v>2628</v>
      </c>
      <c r="H1849" t="s">
        <v>120</v>
      </c>
      <c r="I1849">
        <f t="shared" si="29"/>
        <v>5</v>
      </c>
      <c r="J1849" t="s">
        <v>27</v>
      </c>
      <c r="K1849" t="str" cm="1">
        <f t="array" ref="K1849">_xlfn.SWITCH(TRIM(UPPER(J1849)),
"BUSINESS", "Short Stay",
"CONFERENCE", "Medium Stay",
"VACATION", "Iong Stay",
"HOLIDAY", "Long Stay",
"V", "Leisure",
"UNKNOWN", "Unknown",
"Other")</f>
        <v>Medium Stay</v>
      </c>
    </row>
    <row r="1850" spans="1:11" x14ac:dyDescent="0.3">
      <c r="A1850" t="s">
        <v>5238</v>
      </c>
      <c r="B1850" t="s">
        <v>1083</v>
      </c>
      <c r="C1850" t="s">
        <v>83</v>
      </c>
      <c r="D1850" t="s">
        <v>737</v>
      </c>
      <c r="E1850" t="s">
        <v>214</v>
      </c>
      <c r="F1850" t="s">
        <v>1038</v>
      </c>
      <c r="G1850" t="s">
        <v>554</v>
      </c>
      <c r="H1850" t="s">
        <v>1085</v>
      </c>
      <c r="I1850">
        <f t="shared" si="29"/>
        <v>1</v>
      </c>
      <c r="J1850" t="s">
        <v>121</v>
      </c>
      <c r="K1850" t="str" cm="1">
        <f t="array" ref="K1850">_xlfn.SWITCH(TRIM(UPPER(J1850)),
"BUSINESS", "Short Stay",
"CONFERENCE", "Medium Stay",
"VACATION", "Iong Stay",
"HOLIDAY", "Long Stay",
"V", "Leisure",
"UNKNOWN", "Unknown",
"Other")</f>
        <v>Iong Stay</v>
      </c>
    </row>
    <row r="1851" spans="1:11" x14ac:dyDescent="0.3">
      <c r="A1851" t="s">
        <v>5239</v>
      </c>
      <c r="B1851" t="s">
        <v>2322</v>
      </c>
      <c r="C1851" t="s">
        <v>97</v>
      </c>
      <c r="D1851" t="s">
        <v>929</v>
      </c>
      <c r="E1851" t="s">
        <v>40</v>
      </c>
      <c r="F1851" t="s">
        <v>5240</v>
      </c>
      <c r="G1851" t="s">
        <v>485</v>
      </c>
      <c r="H1851" t="s">
        <v>1225</v>
      </c>
      <c r="I1851">
        <f t="shared" si="29"/>
        <v>3</v>
      </c>
      <c r="J1851" t="s">
        <v>121</v>
      </c>
      <c r="K1851" t="str" cm="1">
        <f t="array" ref="K1851">_xlfn.SWITCH(TRIM(UPPER(J1851)),
"BUSINESS", "Short Stay",
"CONFERENCE", "Medium Stay",
"VACATION", "Iong Stay",
"HOLIDAY", "Long Stay",
"V", "Leisure",
"UNKNOWN", "Unknown",
"Other")</f>
        <v>Iong Stay</v>
      </c>
    </row>
    <row r="1852" spans="1:11" x14ac:dyDescent="0.3">
      <c r="A1852" t="s">
        <v>5241</v>
      </c>
      <c r="B1852" t="s">
        <v>1338</v>
      </c>
      <c r="C1852" t="s">
        <v>83</v>
      </c>
      <c r="D1852" t="s">
        <v>2139</v>
      </c>
      <c r="E1852" t="s">
        <v>214</v>
      </c>
      <c r="F1852" t="s">
        <v>5242</v>
      </c>
      <c r="G1852" t="s">
        <v>171</v>
      </c>
      <c r="H1852" t="s">
        <v>1125</v>
      </c>
      <c r="I1852">
        <f t="shared" si="29"/>
        <v>2</v>
      </c>
      <c r="J1852" t="s">
        <v>18</v>
      </c>
      <c r="K1852" t="str" cm="1">
        <f t="array" ref="K1852">_xlfn.SWITCH(TRIM(UPPER(J1852)),
"BUSINESS", "Short Stay",
"CONFERENCE", "Medium Stay",
"VACATION", "Iong Stay",
"HOLIDAY", "Long Stay",
"V", "Leisure",
"UNKNOWN", "Unknown",
"Other")</f>
        <v>Short Stay</v>
      </c>
    </row>
    <row r="1853" spans="1:11" x14ac:dyDescent="0.3">
      <c r="A1853" t="s">
        <v>5243</v>
      </c>
      <c r="B1853" t="s">
        <v>1451</v>
      </c>
      <c r="C1853" t="s">
        <v>97</v>
      </c>
      <c r="D1853" t="s">
        <v>3995</v>
      </c>
      <c r="E1853" t="s">
        <v>48</v>
      </c>
      <c r="F1853" t="s">
        <v>5244</v>
      </c>
      <c r="G1853" t="s">
        <v>615</v>
      </c>
      <c r="H1853" t="s">
        <v>539</v>
      </c>
      <c r="I1853">
        <f t="shared" si="29"/>
        <v>1</v>
      </c>
      <c r="J1853" t="s">
        <v>44</v>
      </c>
      <c r="K1853" t="str" cm="1">
        <f t="array" ref="K1853">_xlfn.SWITCH(TRIM(UPPER(J1853)),
"BUSINESS", "Short Stay",
"CONFERENCE", "Medium Stay",
"VACATION", "Iong Stay",
"HOLIDAY", "Long Stay",
"V", "Leisure",
"UNKNOWN", "Unknown",
"Other")</f>
        <v>Other</v>
      </c>
    </row>
    <row r="1854" spans="1:11" x14ac:dyDescent="0.3">
      <c r="A1854" t="s">
        <v>5245</v>
      </c>
      <c r="B1854" t="s">
        <v>1216</v>
      </c>
      <c r="C1854" t="s">
        <v>75</v>
      </c>
      <c r="D1854" t="s">
        <v>371</v>
      </c>
      <c r="E1854" t="s">
        <v>176</v>
      </c>
      <c r="F1854" t="s">
        <v>5246</v>
      </c>
      <c r="G1854" t="s">
        <v>1219</v>
      </c>
      <c r="H1854" t="s">
        <v>1220</v>
      </c>
      <c r="I1854">
        <f t="shared" si="29"/>
        <v>4</v>
      </c>
      <c r="J1854" t="s">
        <v>27</v>
      </c>
      <c r="K1854" t="str" cm="1">
        <f t="array" ref="K1854">_xlfn.SWITCH(TRIM(UPPER(J1854)),
"BUSINESS", "Short Stay",
"CONFERENCE", "Medium Stay",
"VACATION", "Iong Stay",
"HOLIDAY", "Long Stay",
"V", "Leisure",
"UNKNOWN", "Unknown",
"Other")</f>
        <v>Medium Stay</v>
      </c>
    </row>
    <row r="1855" spans="1:11" x14ac:dyDescent="0.3">
      <c r="A1855" t="s">
        <v>5247</v>
      </c>
      <c r="B1855" t="s">
        <v>1001</v>
      </c>
      <c r="C1855" t="s">
        <v>174</v>
      </c>
      <c r="D1855" t="s">
        <v>1298</v>
      </c>
      <c r="E1855" t="s">
        <v>214</v>
      </c>
      <c r="F1855" t="s">
        <v>5248</v>
      </c>
      <c r="G1855" t="s">
        <v>233</v>
      </c>
      <c r="H1855" t="s">
        <v>196</v>
      </c>
      <c r="I1855">
        <f t="shared" si="29"/>
        <v>1</v>
      </c>
      <c r="J1855" t="s">
        <v>27</v>
      </c>
      <c r="K1855" t="str" cm="1">
        <f t="array" ref="K1855">_xlfn.SWITCH(TRIM(UPPER(J1855)),
"BUSINESS", "Short Stay",
"CONFERENCE", "Medium Stay",
"VACATION", "Iong Stay",
"HOLIDAY", "Long Stay",
"V", "Leisure",
"UNKNOWN", "Unknown",
"Other")</f>
        <v>Medium Stay</v>
      </c>
    </row>
    <row r="1856" spans="1:11" x14ac:dyDescent="0.3">
      <c r="A1856" t="s">
        <v>5249</v>
      </c>
      <c r="B1856" t="s">
        <v>1162</v>
      </c>
      <c r="C1856" t="s">
        <v>38</v>
      </c>
      <c r="D1856" t="s">
        <v>591</v>
      </c>
      <c r="E1856" t="s">
        <v>77</v>
      </c>
      <c r="F1856" t="s">
        <v>5250</v>
      </c>
      <c r="G1856" t="s">
        <v>1164</v>
      </c>
      <c r="H1856" t="s">
        <v>276</v>
      </c>
      <c r="I1856">
        <f t="shared" si="29"/>
        <v>3</v>
      </c>
      <c r="J1856" t="s">
        <v>121</v>
      </c>
      <c r="K1856" t="str" cm="1">
        <f t="array" ref="K1856">_xlfn.SWITCH(TRIM(UPPER(J1856)),
"BUSINESS", "Short Stay",
"CONFERENCE", "Medium Stay",
"VACATION", "Iong Stay",
"HOLIDAY", "Long Stay",
"V", "Leisure",
"UNKNOWN", "Unknown",
"Other")</f>
        <v>Iong Stay</v>
      </c>
    </row>
    <row r="1857" spans="1:11" x14ac:dyDescent="0.3">
      <c r="A1857" t="s">
        <v>5251</v>
      </c>
      <c r="B1857" t="s">
        <v>2509</v>
      </c>
      <c r="C1857" t="s">
        <v>83</v>
      </c>
      <c r="D1857" t="s">
        <v>47</v>
      </c>
      <c r="E1857" t="s">
        <v>32</v>
      </c>
      <c r="F1857" t="s">
        <v>3299</v>
      </c>
      <c r="G1857" t="s">
        <v>1862</v>
      </c>
      <c r="H1857" t="s">
        <v>796</v>
      </c>
      <c r="I1857">
        <f t="shared" si="29"/>
        <v>1</v>
      </c>
      <c r="J1857" t="s">
        <v>44</v>
      </c>
      <c r="K1857" t="str" cm="1">
        <f t="array" ref="K1857">_xlfn.SWITCH(TRIM(UPPER(J1857)),
"BUSINESS", "Short Stay",
"CONFERENCE", "Medium Stay",
"VACATION", "Iong Stay",
"HOLIDAY", "Long Stay",
"V", "Leisure",
"UNKNOWN", "Unknown",
"Other")</f>
        <v>Other</v>
      </c>
    </row>
    <row r="1858" spans="1:11" x14ac:dyDescent="0.3">
      <c r="A1858" t="s">
        <v>5252</v>
      </c>
      <c r="B1858" t="s">
        <v>161</v>
      </c>
      <c r="C1858" t="s">
        <v>38</v>
      </c>
      <c r="D1858" t="s">
        <v>5253</v>
      </c>
      <c r="E1858" t="s">
        <v>69</v>
      </c>
      <c r="F1858" t="s">
        <v>5254</v>
      </c>
      <c r="G1858" t="s">
        <v>164</v>
      </c>
      <c r="H1858" t="s">
        <v>1681</v>
      </c>
      <c r="I1858">
        <f t="shared" si="29"/>
        <v>1</v>
      </c>
      <c r="J1858" t="s">
        <v>121</v>
      </c>
      <c r="K1858" t="str" cm="1">
        <f t="array" ref="K1858">_xlfn.SWITCH(TRIM(UPPER(J1858)),
"BUSINESS", "Short Stay",
"CONFERENCE", "Medium Stay",
"VACATION", "Iong Stay",
"HOLIDAY", "Long Stay",
"V", "Leisure",
"UNKNOWN", "Unknown",
"Other")</f>
        <v>Iong Stay</v>
      </c>
    </row>
    <row r="1859" spans="1:11" x14ac:dyDescent="0.3">
      <c r="A1859" t="s">
        <v>5255</v>
      </c>
      <c r="B1859" t="s">
        <v>252</v>
      </c>
      <c r="C1859" t="s">
        <v>30</v>
      </c>
      <c r="D1859" t="s">
        <v>2723</v>
      </c>
      <c r="E1859" t="s">
        <v>149</v>
      </c>
      <c r="F1859" t="s">
        <v>5256</v>
      </c>
      <c r="G1859" t="s">
        <v>88</v>
      </c>
      <c r="H1859" t="s">
        <v>255</v>
      </c>
      <c r="I1859">
        <f t="shared" si="29"/>
        <v>3</v>
      </c>
      <c r="J1859" t="s">
        <v>44</v>
      </c>
      <c r="K1859" t="str" cm="1">
        <f t="array" ref="K1859">_xlfn.SWITCH(TRIM(UPPER(J1859)),
"BUSINESS", "Short Stay",
"CONFERENCE", "Medium Stay",
"VACATION", "Iong Stay",
"HOLIDAY", "Long Stay",
"V", "Leisure",
"UNKNOWN", "Unknown",
"Other")</f>
        <v>Other</v>
      </c>
    </row>
    <row r="1860" spans="1:11" x14ac:dyDescent="0.3">
      <c r="A1860" t="s">
        <v>5257</v>
      </c>
      <c r="B1860" t="s">
        <v>1966</v>
      </c>
      <c r="C1860" t="s">
        <v>12</v>
      </c>
      <c r="D1860" t="s">
        <v>5258</v>
      </c>
      <c r="E1860" t="s">
        <v>14</v>
      </c>
      <c r="F1860" t="s">
        <v>5259</v>
      </c>
      <c r="G1860" t="s">
        <v>1176</v>
      </c>
      <c r="H1860" t="s">
        <v>753</v>
      </c>
      <c r="I1860">
        <f t="shared" si="29"/>
        <v>1</v>
      </c>
      <c r="J1860" t="s">
        <v>44</v>
      </c>
      <c r="K1860" t="str" cm="1">
        <f t="array" ref="K1860">_xlfn.SWITCH(TRIM(UPPER(J1860)),
"BUSINESS", "Short Stay",
"CONFERENCE", "Medium Stay",
"VACATION", "Iong Stay",
"HOLIDAY", "Long Stay",
"V", "Leisure",
"UNKNOWN", "Unknown",
"Other")</f>
        <v>Other</v>
      </c>
    </row>
    <row r="1861" spans="1:11" x14ac:dyDescent="0.3">
      <c r="A1861" t="s">
        <v>5260</v>
      </c>
      <c r="B1861" t="s">
        <v>380</v>
      </c>
      <c r="C1861" t="s">
        <v>61</v>
      </c>
      <c r="D1861" t="s">
        <v>1111</v>
      </c>
      <c r="E1861" t="s">
        <v>314</v>
      </c>
      <c r="F1861" t="s">
        <v>743</v>
      </c>
      <c r="G1861" t="s">
        <v>383</v>
      </c>
      <c r="H1861" t="s">
        <v>1066</v>
      </c>
      <c r="I1861">
        <f t="shared" ref="I1861:I1924" si="30">H1861-G1861</f>
        <v>3</v>
      </c>
      <c r="J1861" t="s">
        <v>44</v>
      </c>
      <c r="K1861" t="str" cm="1">
        <f t="array" ref="K1861">_xlfn.SWITCH(TRIM(UPPER(J1861)),
"BUSINESS", "Short Stay",
"CONFERENCE", "Medium Stay",
"VACATION", "Iong Stay",
"HOLIDAY", "Long Stay",
"V", "Leisure",
"UNKNOWN", "Unknown",
"Other")</f>
        <v>Other</v>
      </c>
    </row>
    <row r="1862" spans="1:11" x14ac:dyDescent="0.3">
      <c r="A1862" t="s">
        <v>5261</v>
      </c>
      <c r="B1862" t="s">
        <v>1401</v>
      </c>
      <c r="C1862" t="s">
        <v>30</v>
      </c>
      <c r="D1862" t="s">
        <v>5262</v>
      </c>
      <c r="E1862" t="s">
        <v>69</v>
      </c>
      <c r="F1862" t="s">
        <v>5263</v>
      </c>
      <c r="G1862" t="s">
        <v>1404</v>
      </c>
      <c r="H1862" t="s">
        <v>1833</v>
      </c>
      <c r="I1862">
        <f t="shared" si="30"/>
        <v>2</v>
      </c>
      <c r="J1862" t="s">
        <v>27</v>
      </c>
      <c r="K1862" t="str" cm="1">
        <f t="array" ref="K1862">_xlfn.SWITCH(TRIM(UPPER(J1862)),
"BUSINESS", "Short Stay",
"CONFERENCE", "Medium Stay",
"VACATION", "Iong Stay",
"HOLIDAY", "Long Stay",
"V", "Leisure",
"UNKNOWN", "Unknown",
"Other")</f>
        <v>Medium Stay</v>
      </c>
    </row>
    <row r="1863" spans="1:11" x14ac:dyDescent="0.3">
      <c r="A1863" t="s">
        <v>5264</v>
      </c>
      <c r="B1863" t="s">
        <v>2413</v>
      </c>
      <c r="C1863" t="s">
        <v>97</v>
      </c>
      <c r="D1863" t="s">
        <v>847</v>
      </c>
      <c r="E1863" t="s">
        <v>156</v>
      </c>
      <c r="F1863" t="s">
        <v>5265</v>
      </c>
      <c r="G1863" t="s">
        <v>739</v>
      </c>
      <c r="H1863" t="s">
        <v>523</v>
      </c>
      <c r="I1863">
        <f t="shared" si="30"/>
        <v>2</v>
      </c>
      <c r="J1863" t="s">
        <v>27</v>
      </c>
      <c r="K1863" t="str" cm="1">
        <f t="array" ref="K1863">_xlfn.SWITCH(TRIM(UPPER(J1863)),
"BUSINESS", "Short Stay",
"CONFERENCE", "Medium Stay",
"VACATION", "Iong Stay",
"HOLIDAY", "Long Stay",
"V", "Leisure",
"UNKNOWN", "Unknown",
"Other")</f>
        <v>Medium Stay</v>
      </c>
    </row>
    <row r="1864" spans="1:11" x14ac:dyDescent="0.3">
      <c r="A1864" t="s">
        <v>5266</v>
      </c>
      <c r="B1864" t="s">
        <v>319</v>
      </c>
      <c r="C1864" t="s">
        <v>30</v>
      </c>
      <c r="D1864" t="s">
        <v>1127</v>
      </c>
      <c r="E1864" t="s">
        <v>32</v>
      </c>
      <c r="F1864" t="s">
        <v>5267</v>
      </c>
      <c r="G1864" t="s">
        <v>322</v>
      </c>
      <c r="H1864" t="s">
        <v>695</v>
      </c>
      <c r="I1864">
        <f t="shared" si="30"/>
        <v>1</v>
      </c>
      <c r="J1864" t="s">
        <v>27</v>
      </c>
      <c r="K1864" t="str" cm="1">
        <f t="array" ref="K1864">_xlfn.SWITCH(TRIM(UPPER(J1864)),
"BUSINESS", "Short Stay",
"CONFERENCE", "Medium Stay",
"VACATION", "Iong Stay",
"HOLIDAY", "Long Stay",
"V", "Leisure",
"UNKNOWN", "Unknown",
"Other")</f>
        <v>Medium Stay</v>
      </c>
    </row>
    <row r="1865" spans="1:11" x14ac:dyDescent="0.3">
      <c r="A1865" t="s">
        <v>5268</v>
      </c>
      <c r="B1865" t="s">
        <v>1912</v>
      </c>
      <c r="C1865" t="s">
        <v>30</v>
      </c>
      <c r="D1865" t="s">
        <v>4245</v>
      </c>
      <c r="E1865" t="s">
        <v>32</v>
      </c>
      <c r="F1865" t="s">
        <v>5269</v>
      </c>
      <c r="G1865" t="s">
        <v>363</v>
      </c>
      <c r="H1865" t="s">
        <v>1267</v>
      </c>
      <c r="I1865">
        <f t="shared" si="30"/>
        <v>3</v>
      </c>
      <c r="J1865" t="s">
        <v>121</v>
      </c>
      <c r="K1865" t="str" cm="1">
        <f t="array" ref="K1865">_xlfn.SWITCH(TRIM(UPPER(J1865)),
"BUSINESS", "Short Stay",
"CONFERENCE", "Medium Stay",
"VACATION", "Iong Stay",
"HOLIDAY", "Long Stay",
"V", "Leisure",
"UNKNOWN", "Unknown",
"Other")</f>
        <v>Iong Stay</v>
      </c>
    </row>
    <row r="1866" spans="1:11" x14ac:dyDescent="0.3">
      <c r="A1866" t="s">
        <v>5270</v>
      </c>
      <c r="B1866" t="s">
        <v>2025</v>
      </c>
      <c r="C1866" t="s">
        <v>21</v>
      </c>
      <c r="D1866" t="s">
        <v>4701</v>
      </c>
      <c r="E1866" t="s">
        <v>214</v>
      </c>
      <c r="F1866" t="s">
        <v>5271</v>
      </c>
      <c r="G1866" t="s">
        <v>1522</v>
      </c>
      <c r="H1866" t="s">
        <v>119</v>
      </c>
      <c r="I1866">
        <f t="shared" si="30"/>
        <v>2</v>
      </c>
      <c r="J1866" t="s">
        <v>18</v>
      </c>
      <c r="K1866" t="str" cm="1">
        <f t="array" ref="K1866">_xlfn.SWITCH(TRIM(UPPER(J1866)),
"BUSINESS", "Short Stay",
"CONFERENCE", "Medium Stay",
"VACATION", "Iong Stay",
"HOLIDAY", "Long Stay",
"V", "Leisure",
"UNKNOWN", "Unknown",
"Other")</f>
        <v>Short Stay</v>
      </c>
    </row>
    <row r="1867" spans="1:11" x14ac:dyDescent="0.3">
      <c r="A1867" t="s">
        <v>5272</v>
      </c>
      <c r="B1867" t="s">
        <v>1368</v>
      </c>
      <c r="C1867" t="s">
        <v>61</v>
      </c>
      <c r="D1867" t="s">
        <v>3506</v>
      </c>
      <c r="E1867" t="s">
        <v>48</v>
      </c>
      <c r="F1867" t="s">
        <v>5273</v>
      </c>
      <c r="G1867" t="s">
        <v>941</v>
      </c>
      <c r="H1867" t="s">
        <v>1905</v>
      </c>
      <c r="I1867">
        <f t="shared" si="30"/>
        <v>3</v>
      </c>
      <c r="J1867" t="s">
        <v>18</v>
      </c>
      <c r="K1867" t="str" cm="1">
        <f t="array" ref="K1867">_xlfn.SWITCH(TRIM(UPPER(J1867)),
"BUSINESS", "Short Stay",
"CONFERENCE", "Medium Stay",
"VACATION", "Iong Stay",
"HOLIDAY", "Long Stay",
"V", "Leisure",
"UNKNOWN", "Unknown",
"Other")</f>
        <v>Short Stay</v>
      </c>
    </row>
    <row r="1868" spans="1:11" x14ac:dyDescent="0.3">
      <c r="A1868" t="s">
        <v>5274</v>
      </c>
      <c r="B1868" t="s">
        <v>1206</v>
      </c>
      <c r="C1868" t="s">
        <v>30</v>
      </c>
      <c r="D1868" t="s">
        <v>5275</v>
      </c>
      <c r="E1868" t="s">
        <v>77</v>
      </c>
      <c r="F1868" t="s">
        <v>5276</v>
      </c>
      <c r="G1868" t="s">
        <v>1208</v>
      </c>
      <c r="H1868" t="s">
        <v>1407</v>
      </c>
      <c r="I1868">
        <f t="shared" si="30"/>
        <v>2</v>
      </c>
      <c r="J1868" t="s">
        <v>121</v>
      </c>
      <c r="K1868" t="str" cm="1">
        <f t="array" ref="K1868">_xlfn.SWITCH(TRIM(UPPER(J1868)),
"BUSINESS", "Short Stay",
"CONFERENCE", "Medium Stay",
"VACATION", "Iong Stay",
"HOLIDAY", "Long Stay",
"V", "Leisure",
"UNKNOWN", "Unknown",
"Other")</f>
        <v>Iong Stay</v>
      </c>
    </row>
    <row r="1869" spans="1:11" x14ac:dyDescent="0.3">
      <c r="A1869" t="s">
        <v>5277</v>
      </c>
      <c r="B1869" t="s">
        <v>1953</v>
      </c>
      <c r="C1869" t="s">
        <v>97</v>
      </c>
      <c r="D1869" t="s">
        <v>551</v>
      </c>
      <c r="E1869" t="s">
        <v>85</v>
      </c>
      <c r="F1869" t="s">
        <v>5278</v>
      </c>
      <c r="G1869" t="s">
        <v>1347</v>
      </c>
      <c r="H1869" t="s">
        <v>885</v>
      </c>
      <c r="I1869">
        <f t="shared" si="30"/>
        <v>2</v>
      </c>
      <c r="J1869" t="s">
        <v>27</v>
      </c>
      <c r="K1869" t="str" cm="1">
        <f t="array" ref="K1869">_xlfn.SWITCH(TRIM(UPPER(J1869)),
"BUSINESS", "Short Stay",
"CONFERENCE", "Medium Stay",
"VACATION", "Iong Stay",
"HOLIDAY", "Long Stay",
"V", "Leisure",
"UNKNOWN", "Unknown",
"Other")</f>
        <v>Medium Stay</v>
      </c>
    </row>
    <row r="1870" spans="1:11" x14ac:dyDescent="0.3">
      <c r="A1870" t="s">
        <v>5279</v>
      </c>
      <c r="B1870" t="s">
        <v>2395</v>
      </c>
      <c r="C1870" t="s">
        <v>174</v>
      </c>
      <c r="D1870" t="s">
        <v>1014</v>
      </c>
      <c r="E1870" t="s">
        <v>314</v>
      </c>
      <c r="F1870" t="s">
        <v>5280</v>
      </c>
      <c r="G1870" t="s">
        <v>2398</v>
      </c>
      <c r="H1870" t="s">
        <v>327</v>
      </c>
      <c r="I1870">
        <f t="shared" si="30"/>
        <v>2</v>
      </c>
      <c r="J1870" t="s">
        <v>121</v>
      </c>
      <c r="K1870" t="str" cm="1">
        <f t="array" ref="K1870">_xlfn.SWITCH(TRIM(UPPER(J1870)),
"BUSINESS", "Short Stay",
"CONFERENCE", "Medium Stay",
"VACATION", "Iong Stay",
"HOLIDAY", "Long Stay",
"V", "Leisure",
"UNKNOWN", "Unknown",
"Other")</f>
        <v>Iong Stay</v>
      </c>
    </row>
    <row r="1871" spans="1:11" x14ac:dyDescent="0.3">
      <c r="A1871" t="s">
        <v>5281</v>
      </c>
      <c r="B1871" t="s">
        <v>2555</v>
      </c>
      <c r="C1871" t="s">
        <v>30</v>
      </c>
      <c r="D1871" t="s">
        <v>3665</v>
      </c>
      <c r="E1871" t="s">
        <v>458</v>
      </c>
      <c r="F1871" t="s">
        <v>3980</v>
      </c>
      <c r="G1871" t="s">
        <v>600</v>
      </c>
      <c r="H1871" t="s">
        <v>1485</v>
      </c>
      <c r="I1871">
        <f t="shared" si="30"/>
        <v>3</v>
      </c>
      <c r="J1871" t="s">
        <v>44</v>
      </c>
      <c r="K1871" t="str" cm="1">
        <f t="array" ref="K1871">_xlfn.SWITCH(TRIM(UPPER(J1871)),
"BUSINESS", "Short Stay",
"CONFERENCE", "Medium Stay",
"VACATION", "Iong Stay",
"HOLIDAY", "Long Stay",
"V", "Leisure",
"UNKNOWN", "Unknown",
"Other")</f>
        <v>Other</v>
      </c>
    </row>
    <row r="1872" spans="1:11" x14ac:dyDescent="0.3">
      <c r="A1872" t="s">
        <v>5282</v>
      </c>
      <c r="B1872" t="s">
        <v>682</v>
      </c>
      <c r="C1872" t="s">
        <v>38</v>
      </c>
      <c r="D1872" t="s">
        <v>2486</v>
      </c>
      <c r="E1872" t="s">
        <v>85</v>
      </c>
      <c r="F1872" t="s">
        <v>5283</v>
      </c>
      <c r="G1872" t="s">
        <v>685</v>
      </c>
      <c r="H1872" t="s">
        <v>719</v>
      </c>
      <c r="I1872">
        <f t="shared" si="30"/>
        <v>4</v>
      </c>
      <c r="J1872" t="s">
        <v>18</v>
      </c>
      <c r="K1872" t="str" cm="1">
        <f t="array" ref="K1872">_xlfn.SWITCH(TRIM(UPPER(J1872)),
"BUSINESS", "Short Stay",
"CONFERENCE", "Medium Stay",
"VACATION", "Iong Stay",
"HOLIDAY", "Long Stay",
"V", "Leisure",
"UNKNOWN", "Unknown",
"Other")</f>
        <v>Short Stay</v>
      </c>
    </row>
    <row r="1873" spans="1:11" x14ac:dyDescent="0.3">
      <c r="A1873" t="s">
        <v>5284</v>
      </c>
      <c r="B1873" t="s">
        <v>82</v>
      </c>
      <c r="C1873" t="s">
        <v>75</v>
      </c>
      <c r="D1873" t="s">
        <v>4330</v>
      </c>
      <c r="E1873" t="s">
        <v>314</v>
      </c>
      <c r="F1873" t="s">
        <v>5285</v>
      </c>
      <c r="G1873" t="s">
        <v>87</v>
      </c>
      <c r="H1873" t="s">
        <v>791</v>
      </c>
      <c r="I1873">
        <f t="shared" si="30"/>
        <v>4</v>
      </c>
      <c r="J1873" t="s">
        <v>18</v>
      </c>
      <c r="K1873" t="str" cm="1">
        <f t="array" ref="K1873">_xlfn.SWITCH(TRIM(UPPER(J1873)),
"BUSINESS", "Short Stay",
"CONFERENCE", "Medium Stay",
"VACATION", "Iong Stay",
"HOLIDAY", "Long Stay",
"V", "Leisure",
"UNKNOWN", "Unknown",
"Other")</f>
        <v>Short Stay</v>
      </c>
    </row>
    <row r="1874" spans="1:11" x14ac:dyDescent="0.3">
      <c r="A1874" t="s">
        <v>5286</v>
      </c>
      <c r="B1874" t="s">
        <v>1761</v>
      </c>
      <c r="C1874" t="s">
        <v>83</v>
      </c>
      <c r="D1874" t="s">
        <v>3500</v>
      </c>
      <c r="E1874" t="s">
        <v>69</v>
      </c>
      <c r="F1874" t="s">
        <v>5287</v>
      </c>
      <c r="G1874" t="s">
        <v>1763</v>
      </c>
      <c r="H1874" t="s">
        <v>2777</v>
      </c>
      <c r="I1874">
        <f t="shared" si="30"/>
        <v>2</v>
      </c>
      <c r="J1874" t="s">
        <v>121</v>
      </c>
      <c r="K1874" t="str" cm="1">
        <f t="array" ref="K1874">_xlfn.SWITCH(TRIM(UPPER(J1874)),
"BUSINESS", "Short Stay",
"CONFERENCE", "Medium Stay",
"VACATION", "Iong Stay",
"HOLIDAY", "Long Stay",
"V", "Leisure",
"UNKNOWN", "Unknown",
"Other")</f>
        <v>Iong Stay</v>
      </c>
    </row>
    <row r="1875" spans="1:11" x14ac:dyDescent="0.3">
      <c r="A1875" t="s">
        <v>5288</v>
      </c>
      <c r="B1875" t="s">
        <v>2555</v>
      </c>
      <c r="C1875" t="s">
        <v>54</v>
      </c>
      <c r="D1875" t="s">
        <v>4585</v>
      </c>
      <c r="E1875" t="s">
        <v>176</v>
      </c>
      <c r="F1875" t="s">
        <v>690</v>
      </c>
      <c r="G1875" t="s">
        <v>600</v>
      </c>
      <c r="H1875" t="s">
        <v>615</v>
      </c>
      <c r="I1875">
        <f t="shared" si="30"/>
        <v>5</v>
      </c>
      <c r="J1875" t="s">
        <v>27</v>
      </c>
      <c r="K1875" t="str" cm="1">
        <f t="array" ref="K1875">_xlfn.SWITCH(TRIM(UPPER(J1875)),
"BUSINESS", "Short Stay",
"CONFERENCE", "Medium Stay",
"VACATION", "Iong Stay",
"HOLIDAY", "Long Stay",
"V", "Leisure",
"UNKNOWN", "Unknown",
"Other")</f>
        <v>Medium Stay</v>
      </c>
    </row>
    <row r="1876" spans="1:11" x14ac:dyDescent="0.3">
      <c r="A1876" t="s">
        <v>5289</v>
      </c>
      <c r="B1876" t="s">
        <v>3355</v>
      </c>
      <c r="C1876" t="s">
        <v>30</v>
      </c>
      <c r="D1876" t="s">
        <v>2026</v>
      </c>
      <c r="E1876" t="s">
        <v>77</v>
      </c>
      <c r="F1876" t="s">
        <v>5290</v>
      </c>
      <c r="G1876" t="s">
        <v>26</v>
      </c>
      <c r="H1876" t="s">
        <v>1280</v>
      </c>
      <c r="I1876">
        <f t="shared" si="30"/>
        <v>1</v>
      </c>
      <c r="J1876" t="s">
        <v>44</v>
      </c>
      <c r="K1876" t="str" cm="1">
        <f t="array" ref="K1876">_xlfn.SWITCH(TRIM(UPPER(J1876)),
"BUSINESS", "Short Stay",
"CONFERENCE", "Medium Stay",
"VACATION", "Iong Stay",
"HOLIDAY", "Long Stay",
"V", "Leisure",
"UNKNOWN", "Unknown",
"Other")</f>
        <v>Other</v>
      </c>
    </row>
    <row r="1877" spans="1:11" x14ac:dyDescent="0.3">
      <c r="A1877" t="s">
        <v>5291</v>
      </c>
      <c r="B1877" t="s">
        <v>2642</v>
      </c>
      <c r="C1877" t="s">
        <v>30</v>
      </c>
      <c r="D1877" t="s">
        <v>1010</v>
      </c>
      <c r="E1877" t="s">
        <v>156</v>
      </c>
      <c r="F1877" t="s">
        <v>5292</v>
      </c>
      <c r="G1877" t="s">
        <v>1363</v>
      </c>
      <c r="H1877" t="s">
        <v>1296</v>
      </c>
      <c r="I1877">
        <f t="shared" si="30"/>
        <v>1</v>
      </c>
      <c r="J1877" t="s">
        <v>18</v>
      </c>
      <c r="K1877" t="str" cm="1">
        <f t="array" ref="K1877">_xlfn.SWITCH(TRIM(UPPER(J1877)),
"BUSINESS", "Short Stay",
"CONFERENCE", "Medium Stay",
"VACATION", "Iong Stay",
"HOLIDAY", "Long Stay",
"V", "Leisure",
"UNKNOWN", "Unknown",
"Other")</f>
        <v>Short Stay</v>
      </c>
    </row>
    <row r="1878" spans="1:11" x14ac:dyDescent="0.3">
      <c r="A1878" t="s">
        <v>5293</v>
      </c>
      <c r="B1878" t="s">
        <v>2178</v>
      </c>
      <c r="C1878" t="s">
        <v>21</v>
      </c>
      <c r="D1878" t="s">
        <v>5294</v>
      </c>
      <c r="E1878" t="s">
        <v>430</v>
      </c>
      <c r="F1878" t="s">
        <v>5295</v>
      </c>
      <c r="G1878" t="s">
        <v>735</v>
      </c>
      <c r="H1878" t="s">
        <v>1058</v>
      </c>
      <c r="I1878">
        <f t="shared" si="30"/>
        <v>5</v>
      </c>
      <c r="J1878" t="s">
        <v>27</v>
      </c>
      <c r="K1878" t="str" cm="1">
        <f t="array" ref="K1878">_xlfn.SWITCH(TRIM(UPPER(J1878)),
"BUSINESS", "Short Stay",
"CONFERENCE", "Medium Stay",
"VACATION", "Iong Stay",
"HOLIDAY", "Long Stay",
"V", "Leisure",
"UNKNOWN", "Unknown",
"Other")</f>
        <v>Medium Stay</v>
      </c>
    </row>
    <row r="1879" spans="1:11" x14ac:dyDescent="0.3">
      <c r="A1879" t="s">
        <v>5296</v>
      </c>
      <c r="B1879" t="s">
        <v>2104</v>
      </c>
      <c r="C1879" t="s">
        <v>38</v>
      </c>
      <c r="D1879" t="s">
        <v>1258</v>
      </c>
      <c r="E1879" t="s">
        <v>476</v>
      </c>
      <c r="F1879" t="s">
        <v>5297</v>
      </c>
      <c r="G1879" t="s">
        <v>2107</v>
      </c>
      <c r="H1879" t="s">
        <v>989</v>
      </c>
      <c r="I1879">
        <f t="shared" si="30"/>
        <v>5</v>
      </c>
      <c r="J1879" t="s">
        <v>27</v>
      </c>
      <c r="K1879" t="str" cm="1">
        <f t="array" ref="K1879">_xlfn.SWITCH(TRIM(UPPER(J1879)),
"BUSINESS", "Short Stay",
"CONFERENCE", "Medium Stay",
"VACATION", "Iong Stay",
"HOLIDAY", "Long Stay",
"V", "Leisure",
"UNKNOWN", "Unknown",
"Other")</f>
        <v>Medium Stay</v>
      </c>
    </row>
    <row r="1880" spans="1:11" x14ac:dyDescent="0.3">
      <c r="A1880" t="s">
        <v>5298</v>
      </c>
      <c r="B1880" t="s">
        <v>1510</v>
      </c>
      <c r="C1880" t="s">
        <v>75</v>
      </c>
      <c r="D1880" t="s">
        <v>2002</v>
      </c>
      <c r="E1880" t="s">
        <v>14</v>
      </c>
      <c r="F1880" t="s">
        <v>5299</v>
      </c>
      <c r="G1880" t="s">
        <v>101</v>
      </c>
      <c r="H1880" t="s">
        <v>621</v>
      </c>
      <c r="I1880">
        <f t="shared" si="30"/>
        <v>4</v>
      </c>
      <c r="J1880" t="s">
        <v>27</v>
      </c>
      <c r="K1880" t="str" cm="1">
        <f t="array" ref="K1880">_xlfn.SWITCH(TRIM(UPPER(J1880)),
"BUSINESS", "Short Stay",
"CONFERENCE", "Medium Stay",
"VACATION", "Iong Stay",
"HOLIDAY", "Long Stay",
"V", "Leisure",
"UNKNOWN", "Unknown",
"Other")</f>
        <v>Medium Stay</v>
      </c>
    </row>
    <row r="1881" spans="1:11" x14ac:dyDescent="0.3">
      <c r="A1881" t="s">
        <v>5300</v>
      </c>
      <c r="B1881" t="s">
        <v>161</v>
      </c>
      <c r="C1881" t="s">
        <v>54</v>
      </c>
      <c r="D1881" t="s">
        <v>2950</v>
      </c>
      <c r="E1881" t="s">
        <v>314</v>
      </c>
      <c r="F1881" t="s">
        <v>5301</v>
      </c>
      <c r="G1881" t="s">
        <v>164</v>
      </c>
      <c r="H1881" t="s">
        <v>913</v>
      </c>
      <c r="I1881">
        <f t="shared" si="30"/>
        <v>3</v>
      </c>
      <c r="J1881" t="s">
        <v>18</v>
      </c>
      <c r="K1881" t="str" cm="1">
        <f t="array" ref="K1881">_xlfn.SWITCH(TRIM(UPPER(J1881)),
"BUSINESS", "Short Stay",
"CONFERENCE", "Medium Stay",
"VACATION", "Iong Stay",
"HOLIDAY", "Long Stay",
"V", "Leisure",
"UNKNOWN", "Unknown",
"Other")</f>
        <v>Short Stay</v>
      </c>
    </row>
    <row r="1882" spans="1:11" x14ac:dyDescent="0.3">
      <c r="A1882" t="s">
        <v>5302</v>
      </c>
      <c r="B1882" t="s">
        <v>3009</v>
      </c>
      <c r="C1882" t="s">
        <v>30</v>
      </c>
      <c r="D1882" t="s">
        <v>236</v>
      </c>
      <c r="E1882" t="s">
        <v>430</v>
      </c>
      <c r="F1882" t="s">
        <v>5303</v>
      </c>
      <c r="G1882" t="s">
        <v>839</v>
      </c>
      <c r="H1882" t="s">
        <v>378</v>
      </c>
      <c r="I1882">
        <f t="shared" si="30"/>
        <v>2</v>
      </c>
      <c r="J1882" t="s">
        <v>27</v>
      </c>
      <c r="K1882" t="str" cm="1">
        <f t="array" ref="K1882">_xlfn.SWITCH(TRIM(UPPER(J1882)),
"BUSINESS", "Short Stay",
"CONFERENCE", "Medium Stay",
"VACATION", "Iong Stay",
"HOLIDAY", "Long Stay",
"V", "Leisure",
"UNKNOWN", "Unknown",
"Other")</f>
        <v>Medium Stay</v>
      </c>
    </row>
    <row r="1883" spans="1:11" x14ac:dyDescent="0.3">
      <c r="A1883" t="s">
        <v>5304</v>
      </c>
      <c r="B1883" t="s">
        <v>123</v>
      </c>
      <c r="C1883" t="s">
        <v>97</v>
      </c>
      <c r="D1883" t="s">
        <v>1640</v>
      </c>
      <c r="E1883" t="s">
        <v>117</v>
      </c>
      <c r="F1883" t="s">
        <v>5305</v>
      </c>
      <c r="G1883" t="s">
        <v>126</v>
      </c>
      <c r="H1883" t="s">
        <v>1956</v>
      </c>
      <c r="I1883">
        <f t="shared" si="30"/>
        <v>3</v>
      </c>
      <c r="J1883" t="s">
        <v>121</v>
      </c>
      <c r="K1883" t="str" cm="1">
        <f t="array" ref="K1883">_xlfn.SWITCH(TRIM(UPPER(J1883)),
"BUSINESS", "Short Stay",
"CONFERENCE", "Medium Stay",
"VACATION", "Iong Stay",
"HOLIDAY", "Long Stay",
"V", "Leisure",
"UNKNOWN", "Unknown",
"Other")</f>
        <v>Iong Stay</v>
      </c>
    </row>
    <row r="1884" spans="1:11" x14ac:dyDescent="0.3">
      <c r="A1884" t="s">
        <v>5306</v>
      </c>
      <c r="B1884" t="s">
        <v>1994</v>
      </c>
      <c r="C1884" t="s">
        <v>54</v>
      </c>
      <c r="D1884" t="s">
        <v>5307</v>
      </c>
      <c r="E1884" t="s">
        <v>476</v>
      </c>
      <c r="F1884" t="s">
        <v>5308</v>
      </c>
      <c r="G1884" t="s">
        <v>764</v>
      </c>
      <c r="H1884" t="s">
        <v>245</v>
      </c>
      <c r="I1884">
        <f t="shared" si="30"/>
        <v>3</v>
      </c>
      <c r="J1884" t="s">
        <v>121</v>
      </c>
      <c r="K1884" t="str" cm="1">
        <f t="array" ref="K1884">_xlfn.SWITCH(TRIM(UPPER(J1884)),
"BUSINESS", "Short Stay",
"CONFERENCE", "Medium Stay",
"VACATION", "Iong Stay",
"HOLIDAY", "Long Stay",
"V", "Leisure",
"UNKNOWN", "Unknown",
"Other")</f>
        <v>Iong Stay</v>
      </c>
    </row>
    <row r="1885" spans="1:11" x14ac:dyDescent="0.3">
      <c r="A1885" t="s">
        <v>5309</v>
      </c>
      <c r="B1885" t="s">
        <v>2219</v>
      </c>
      <c r="C1885" t="s">
        <v>21</v>
      </c>
      <c r="D1885" t="s">
        <v>1582</v>
      </c>
      <c r="E1885" t="s">
        <v>546</v>
      </c>
      <c r="F1885" t="s">
        <v>5310</v>
      </c>
      <c r="G1885" t="s">
        <v>1085</v>
      </c>
      <c r="H1885" t="s">
        <v>1861</v>
      </c>
      <c r="I1885">
        <f t="shared" si="30"/>
        <v>1</v>
      </c>
      <c r="J1885" t="s">
        <v>121</v>
      </c>
      <c r="K1885" t="str" cm="1">
        <f t="array" ref="K1885">_xlfn.SWITCH(TRIM(UPPER(J1885)),
"BUSINESS", "Short Stay",
"CONFERENCE", "Medium Stay",
"VACATION", "Iong Stay",
"HOLIDAY", "Long Stay",
"V", "Leisure",
"UNKNOWN", "Unknown",
"Other")</f>
        <v>Iong Stay</v>
      </c>
    </row>
    <row r="1886" spans="1:11" x14ac:dyDescent="0.3">
      <c r="A1886" t="s">
        <v>5311</v>
      </c>
      <c r="B1886" t="s">
        <v>1585</v>
      </c>
      <c r="C1886" t="s">
        <v>30</v>
      </c>
      <c r="D1886" t="s">
        <v>2434</v>
      </c>
      <c r="E1886" t="s">
        <v>63</v>
      </c>
      <c r="F1886" t="s">
        <v>5312</v>
      </c>
      <c r="G1886" t="s">
        <v>1588</v>
      </c>
      <c r="H1886" t="s">
        <v>1456</v>
      </c>
      <c r="I1886">
        <f t="shared" si="30"/>
        <v>4</v>
      </c>
      <c r="J1886" t="s">
        <v>121</v>
      </c>
      <c r="K1886" t="str" cm="1">
        <f t="array" ref="K1886">_xlfn.SWITCH(TRIM(UPPER(J1886)),
"BUSINESS", "Short Stay",
"CONFERENCE", "Medium Stay",
"VACATION", "Iong Stay",
"HOLIDAY", "Long Stay",
"V", "Leisure",
"UNKNOWN", "Unknown",
"Other")</f>
        <v>Iong Stay</v>
      </c>
    </row>
    <row r="1887" spans="1:11" x14ac:dyDescent="0.3">
      <c r="A1887" t="s">
        <v>5313</v>
      </c>
      <c r="B1887" t="s">
        <v>1572</v>
      </c>
      <c r="C1887" t="s">
        <v>61</v>
      </c>
      <c r="D1887" t="s">
        <v>1294</v>
      </c>
      <c r="E1887" t="s">
        <v>214</v>
      </c>
      <c r="F1887" t="s">
        <v>5314</v>
      </c>
      <c r="G1887" t="s">
        <v>1575</v>
      </c>
      <c r="H1887" t="s">
        <v>1195</v>
      </c>
      <c r="I1887">
        <f t="shared" si="30"/>
        <v>5</v>
      </c>
      <c r="J1887" t="s">
        <v>121</v>
      </c>
      <c r="K1887" t="str" cm="1">
        <f t="array" ref="K1887">_xlfn.SWITCH(TRIM(UPPER(J1887)),
"BUSINESS", "Short Stay",
"CONFERENCE", "Medium Stay",
"VACATION", "Iong Stay",
"HOLIDAY", "Long Stay",
"V", "Leisure",
"UNKNOWN", "Unknown",
"Other")</f>
        <v>Iong Stay</v>
      </c>
    </row>
    <row r="1888" spans="1:11" x14ac:dyDescent="0.3">
      <c r="A1888" t="s">
        <v>5315</v>
      </c>
      <c r="B1888" t="s">
        <v>1102</v>
      </c>
      <c r="C1888" t="s">
        <v>83</v>
      </c>
      <c r="D1888" t="s">
        <v>5316</v>
      </c>
      <c r="E1888" t="s">
        <v>14</v>
      </c>
      <c r="F1888" t="s">
        <v>5317</v>
      </c>
      <c r="G1888" t="s">
        <v>1105</v>
      </c>
      <c r="H1888" t="s">
        <v>151</v>
      </c>
      <c r="I1888">
        <f t="shared" si="30"/>
        <v>5</v>
      </c>
      <c r="J1888" t="s">
        <v>44</v>
      </c>
      <c r="K1888" t="str" cm="1">
        <f t="array" ref="K1888">_xlfn.SWITCH(TRIM(UPPER(J1888)),
"BUSINESS", "Short Stay",
"CONFERENCE", "Medium Stay",
"VACATION", "Iong Stay",
"HOLIDAY", "Long Stay",
"V", "Leisure",
"UNKNOWN", "Unknown",
"Other")</f>
        <v>Other</v>
      </c>
    </row>
    <row r="1889" spans="1:11" x14ac:dyDescent="0.3">
      <c r="A1889" t="s">
        <v>5318</v>
      </c>
      <c r="B1889" t="s">
        <v>1222</v>
      </c>
      <c r="C1889" t="s">
        <v>61</v>
      </c>
      <c r="D1889" t="s">
        <v>3331</v>
      </c>
      <c r="E1889" t="s">
        <v>214</v>
      </c>
      <c r="F1889" t="s">
        <v>5319</v>
      </c>
      <c r="G1889" t="s">
        <v>1225</v>
      </c>
      <c r="H1889" t="s">
        <v>685</v>
      </c>
      <c r="I1889">
        <f t="shared" si="30"/>
        <v>3</v>
      </c>
      <c r="J1889" t="s">
        <v>44</v>
      </c>
      <c r="K1889" t="str" cm="1">
        <f t="array" ref="K1889">_xlfn.SWITCH(TRIM(UPPER(J1889)),
"BUSINESS", "Short Stay",
"CONFERENCE", "Medium Stay",
"VACATION", "Iong Stay",
"HOLIDAY", "Long Stay",
"V", "Leisure",
"UNKNOWN", "Unknown",
"Other")</f>
        <v>Other</v>
      </c>
    </row>
    <row r="1890" spans="1:11" x14ac:dyDescent="0.3">
      <c r="A1890" t="s">
        <v>5320</v>
      </c>
      <c r="B1890" t="s">
        <v>1040</v>
      </c>
      <c r="C1890" t="s">
        <v>97</v>
      </c>
      <c r="D1890" t="s">
        <v>2002</v>
      </c>
      <c r="E1890" t="s">
        <v>117</v>
      </c>
      <c r="F1890" t="s">
        <v>5321</v>
      </c>
      <c r="G1890" t="s">
        <v>1043</v>
      </c>
      <c r="H1890" t="s">
        <v>877</v>
      </c>
      <c r="I1890">
        <f t="shared" si="30"/>
        <v>4</v>
      </c>
      <c r="J1890" t="s">
        <v>18</v>
      </c>
      <c r="K1890" t="str" cm="1">
        <f t="array" ref="K1890">_xlfn.SWITCH(TRIM(UPPER(J1890)),
"BUSINESS", "Short Stay",
"CONFERENCE", "Medium Stay",
"VACATION", "Iong Stay",
"HOLIDAY", "Long Stay",
"V", "Leisure",
"UNKNOWN", "Unknown",
"Other")</f>
        <v>Short Stay</v>
      </c>
    </row>
    <row r="1891" spans="1:11" x14ac:dyDescent="0.3">
      <c r="A1891" t="s">
        <v>5322</v>
      </c>
      <c r="B1891" t="s">
        <v>1397</v>
      </c>
      <c r="C1891" t="s">
        <v>30</v>
      </c>
      <c r="D1891" t="s">
        <v>1046</v>
      </c>
      <c r="E1891" t="s">
        <v>176</v>
      </c>
      <c r="F1891" t="s">
        <v>5323</v>
      </c>
      <c r="G1891" t="s">
        <v>1268</v>
      </c>
      <c r="H1891" t="s">
        <v>588</v>
      </c>
      <c r="I1891">
        <f t="shared" si="30"/>
        <v>1</v>
      </c>
      <c r="J1891" t="s">
        <v>121</v>
      </c>
      <c r="K1891" t="str" cm="1">
        <f t="array" ref="K1891">_xlfn.SWITCH(TRIM(UPPER(J1891)),
"BUSINESS", "Short Stay",
"CONFERENCE", "Medium Stay",
"VACATION", "Iong Stay",
"HOLIDAY", "Long Stay",
"V", "Leisure",
"UNKNOWN", "Unknown",
"Other")</f>
        <v>Iong Stay</v>
      </c>
    </row>
    <row r="1892" spans="1:11" x14ac:dyDescent="0.3">
      <c r="A1892" t="s">
        <v>5324</v>
      </c>
      <c r="B1892" t="s">
        <v>2555</v>
      </c>
      <c r="C1892" t="s">
        <v>83</v>
      </c>
      <c r="D1892" t="s">
        <v>55</v>
      </c>
      <c r="E1892" t="s">
        <v>201</v>
      </c>
      <c r="F1892" t="s">
        <v>5325</v>
      </c>
      <c r="G1892" t="s">
        <v>600</v>
      </c>
      <c r="H1892" t="s">
        <v>1485</v>
      </c>
      <c r="I1892">
        <f t="shared" si="30"/>
        <v>3</v>
      </c>
      <c r="J1892" t="s">
        <v>44</v>
      </c>
      <c r="K1892" t="str" cm="1">
        <f t="array" ref="K1892">_xlfn.SWITCH(TRIM(UPPER(J1892)),
"BUSINESS", "Short Stay",
"CONFERENCE", "Medium Stay",
"VACATION", "Iong Stay",
"HOLIDAY", "Long Stay",
"V", "Leisure",
"UNKNOWN", "Unknown",
"Other")</f>
        <v>Other</v>
      </c>
    </row>
    <row r="1893" spans="1:11" x14ac:dyDescent="0.3">
      <c r="A1893" t="s">
        <v>5326</v>
      </c>
      <c r="B1893" t="s">
        <v>823</v>
      </c>
      <c r="C1893" t="s">
        <v>174</v>
      </c>
      <c r="D1893" t="s">
        <v>4541</v>
      </c>
      <c r="E1893" t="s">
        <v>314</v>
      </c>
      <c r="F1893" t="s">
        <v>5327</v>
      </c>
      <c r="G1893" t="s">
        <v>826</v>
      </c>
      <c r="H1893" t="s">
        <v>72</v>
      </c>
      <c r="I1893">
        <f t="shared" si="30"/>
        <v>4</v>
      </c>
      <c r="J1893" t="s">
        <v>27</v>
      </c>
      <c r="K1893" t="str" cm="1">
        <f t="array" ref="K1893">_xlfn.SWITCH(TRIM(UPPER(J1893)),
"BUSINESS", "Short Stay",
"CONFERENCE", "Medium Stay",
"VACATION", "Iong Stay",
"HOLIDAY", "Long Stay",
"V", "Leisure",
"UNKNOWN", "Unknown",
"Other")</f>
        <v>Medium Stay</v>
      </c>
    </row>
    <row r="1894" spans="1:11" x14ac:dyDescent="0.3">
      <c r="A1894" t="s">
        <v>5328</v>
      </c>
      <c r="B1894" t="s">
        <v>1698</v>
      </c>
      <c r="C1894" t="s">
        <v>97</v>
      </c>
      <c r="D1894" t="s">
        <v>917</v>
      </c>
      <c r="E1894" t="s">
        <v>77</v>
      </c>
      <c r="F1894" t="s">
        <v>5329</v>
      </c>
      <c r="G1894" t="s">
        <v>759</v>
      </c>
      <c r="H1894" t="s">
        <v>1522</v>
      </c>
      <c r="I1894">
        <f t="shared" si="30"/>
        <v>2</v>
      </c>
      <c r="J1894" t="s">
        <v>44</v>
      </c>
      <c r="K1894" t="str" cm="1">
        <f t="array" ref="K1894">_xlfn.SWITCH(TRIM(UPPER(J1894)),
"BUSINESS", "Short Stay",
"CONFERENCE", "Medium Stay",
"VACATION", "Iong Stay",
"HOLIDAY", "Long Stay",
"V", "Leisure",
"UNKNOWN", "Unknown",
"Other")</f>
        <v>Other</v>
      </c>
    </row>
    <row r="1895" spans="1:11" x14ac:dyDescent="0.3">
      <c r="A1895" t="s">
        <v>5330</v>
      </c>
      <c r="B1895" t="s">
        <v>863</v>
      </c>
      <c r="C1895" t="s">
        <v>54</v>
      </c>
      <c r="D1895" t="s">
        <v>366</v>
      </c>
      <c r="E1895" t="s">
        <v>314</v>
      </c>
      <c r="F1895" t="s">
        <v>5331</v>
      </c>
      <c r="G1895" t="s">
        <v>548</v>
      </c>
      <c r="H1895" t="s">
        <v>1894</v>
      </c>
      <c r="I1895">
        <f t="shared" si="30"/>
        <v>1</v>
      </c>
      <c r="J1895" t="s">
        <v>18</v>
      </c>
      <c r="K1895" t="str" cm="1">
        <f t="array" ref="K1895">_xlfn.SWITCH(TRIM(UPPER(J1895)),
"BUSINESS", "Short Stay",
"CONFERENCE", "Medium Stay",
"VACATION", "Iong Stay",
"HOLIDAY", "Long Stay",
"V", "Leisure",
"UNKNOWN", "Unknown",
"Other")</f>
        <v>Short Stay</v>
      </c>
    </row>
    <row r="1896" spans="1:11" x14ac:dyDescent="0.3">
      <c r="A1896" t="s">
        <v>5332</v>
      </c>
      <c r="B1896" t="s">
        <v>1239</v>
      </c>
      <c r="C1896" t="s">
        <v>30</v>
      </c>
      <c r="D1896" t="s">
        <v>675</v>
      </c>
      <c r="E1896" t="s">
        <v>201</v>
      </c>
      <c r="F1896" t="s">
        <v>5333</v>
      </c>
      <c r="G1896" t="s">
        <v>1242</v>
      </c>
      <c r="H1896" t="s">
        <v>1243</v>
      </c>
      <c r="I1896">
        <f t="shared" si="30"/>
        <v>3</v>
      </c>
      <c r="J1896" t="s">
        <v>27</v>
      </c>
      <c r="K1896" t="str" cm="1">
        <f t="array" ref="K1896">_xlfn.SWITCH(TRIM(UPPER(J1896)),
"BUSINESS", "Short Stay",
"CONFERENCE", "Medium Stay",
"VACATION", "Iong Stay",
"HOLIDAY", "Long Stay",
"V", "Leisure",
"UNKNOWN", "Unknown",
"Other")</f>
        <v>Medium Stay</v>
      </c>
    </row>
    <row r="1897" spans="1:11" x14ac:dyDescent="0.3">
      <c r="A1897" t="s">
        <v>5334</v>
      </c>
      <c r="B1897" t="s">
        <v>1591</v>
      </c>
      <c r="C1897" t="s">
        <v>174</v>
      </c>
      <c r="D1897" t="s">
        <v>4371</v>
      </c>
      <c r="E1897" t="s">
        <v>149</v>
      </c>
      <c r="F1897" t="s">
        <v>5335</v>
      </c>
      <c r="G1897" t="s">
        <v>426</v>
      </c>
      <c r="H1897" t="s">
        <v>735</v>
      </c>
      <c r="I1897">
        <f t="shared" si="30"/>
        <v>3</v>
      </c>
      <c r="J1897" t="s">
        <v>18</v>
      </c>
      <c r="K1897" t="str" cm="1">
        <f t="array" ref="K1897">_xlfn.SWITCH(TRIM(UPPER(J1897)),
"BUSINESS", "Short Stay",
"CONFERENCE", "Medium Stay",
"VACATION", "Iong Stay",
"HOLIDAY", "Long Stay",
"V", "Leisure",
"UNKNOWN", "Unknown",
"Other")</f>
        <v>Short Stay</v>
      </c>
    </row>
    <row r="1898" spans="1:11" x14ac:dyDescent="0.3">
      <c r="A1898" t="s">
        <v>5336</v>
      </c>
      <c r="B1898" t="s">
        <v>823</v>
      </c>
      <c r="C1898" t="s">
        <v>97</v>
      </c>
      <c r="D1898" t="s">
        <v>2960</v>
      </c>
      <c r="E1898" t="s">
        <v>214</v>
      </c>
      <c r="F1898" t="s">
        <v>5052</v>
      </c>
      <c r="G1898" t="s">
        <v>826</v>
      </c>
      <c r="H1898" t="s">
        <v>71</v>
      </c>
      <c r="I1898">
        <f t="shared" si="30"/>
        <v>1</v>
      </c>
      <c r="J1898" t="s">
        <v>18</v>
      </c>
      <c r="K1898" t="str" cm="1">
        <f t="array" ref="K1898">_xlfn.SWITCH(TRIM(UPPER(J1898)),
"BUSINESS", "Short Stay",
"CONFERENCE", "Medium Stay",
"VACATION", "Iong Stay",
"HOLIDAY", "Long Stay",
"V", "Leisure",
"UNKNOWN", "Unknown",
"Other")</f>
        <v>Short Stay</v>
      </c>
    </row>
    <row r="1899" spans="1:11" x14ac:dyDescent="0.3">
      <c r="A1899" t="s">
        <v>5337</v>
      </c>
      <c r="B1899" t="s">
        <v>1650</v>
      </c>
      <c r="C1899" t="s">
        <v>12</v>
      </c>
      <c r="D1899" t="s">
        <v>5338</v>
      </c>
      <c r="E1899" t="s">
        <v>201</v>
      </c>
      <c r="F1899" t="s">
        <v>5339</v>
      </c>
      <c r="G1899" t="s">
        <v>1160</v>
      </c>
      <c r="H1899" t="s">
        <v>1176</v>
      </c>
      <c r="I1899">
        <f t="shared" si="30"/>
        <v>2</v>
      </c>
      <c r="J1899" t="s">
        <v>44</v>
      </c>
      <c r="K1899" t="str" cm="1">
        <f t="array" ref="K1899">_xlfn.SWITCH(TRIM(UPPER(J1899)),
"BUSINESS", "Short Stay",
"CONFERENCE", "Medium Stay",
"VACATION", "Iong Stay",
"HOLIDAY", "Long Stay",
"V", "Leisure",
"UNKNOWN", "Unknown",
"Other")</f>
        <v>Other</v>
      </c>
    </row>
    <row r="1900" spans="1:11" x14ac:dyDescent="0.3">
      <c r="A1900" t="s">
        <v>5340</v>
      </c>
      <c r="B1900" t="s">
        <v>943</v>
      </c>
      <c r="C1900" t="s">
        <v>97</v>
      </c>
      <c r="D1900" t="s">
        <v>4117</v>
      </c>
      <c r="E1900" t="s">
        <v>430</v>
      </c>
      <c r="F1900" t="s">
        <v>1812</v>
      </c>
      <c r="G1900" t="s">
        <v>339</v>
      </c>
      <c r="H1900" t="s">
        <v>1219</v>
      </c>
      <c r="I1900">
        <f t="shared" si="30"/>
        <v>5</v>
      </c>
      <c r="J1900" t="s">
        <v>121</v>
      </c>
      <c r="K1900" t="str" cm="1">
        <f t="array" ref="K1900">_xlfn.SWITCH(TRIM(UPPER(J1900)),
"BUSINESS", "Short Stay",
"CONFERENCE", "Medium Stay",
"VACATION", "Iong Stay",
"HOLIDAY", "Long Stay",
"V", "Leisure",
"UNKNOWN", "Unknown",
"Other")</f>
        <v>Iong Stay</v>
      </c>
    </row>
    <row r="1901" spans="1:11" x14ac:dyDescent="0.3">
      <c r="A1901" t="s">
        <v>5341</v>
      </c>
      <c r="B1901" t="s">
        <v>905</v>
      </c>
      <c r="C1901" t="s">
        <v>61</v>
      </c>
      <c r="D1901" t="s">
        <v>607</v>
      </c>
      <c r="E1901" t="s">
        <v>69</v>
      </c>
      <c r="F1901" t="s">
        <v>5342</v>
      </c>
      <c r="G1901" t="s">
        <v>539</v>
      </c>
      <c r="H1901" t="s">
        <v>1204</v>
      </c>
      <c r="I1901">
        <f t="shared" si="30"/>
        <v>4</v>
      </c>
      <c r="J1901" t="s">
        <v>18</v>
      </c>
      <c r="K1901" t="str" cm="1">
        <f t="array" ref="K1901">_xlfn.SWITCH(TRIM(UPPER(J1901)),
"BUSINESS", "Short Stay",
"CONFERENCE", "Medium Stay",
"VACATION", "Iong Stay",
"HOLIDAY", "Long Stay",
"V", "Leisure",
"UNKNOWN", "Unknown",
"Other")</f>
        <v>Short Stay</v>
      </c>
    </row>
    <row r="1902" spans="1:11" x14ac:dyDescent="0.3">
      <c r="A1902" t="s">
        <v>5343</v>
      </c>
      <c r="B1902" t="s">
        <v>1114</v>
      </c>
      <c r="C1902" t="s">
        <v>21</v>
      </c>
      <c r="D1902" t="s">
        <v>3414</v>
      </c>
      <c r="E1902" t="s">
        <v>85</v>
      </c>
      <c r="F1902" t="s">
        <v>5344</v>
      </c>
      <c r="G1902" t="s">
        <v>1117</v>
      </c>
      <c r="H1902" t="s">
        <v>1788</v>
      </c>
      <c r="I1902">
        <f t="shared" si="30"/>
        <v>2</v>
      </c>
      <c r="J1902" t="s">
        <v>44</v>
      </c>
      <c r="K1902" t="str" cm="1">
        <f t="array" ref="K1902">_xlfn.SWITCH(TRIM(UPPER(J1902)),
"BUSINESS", "Short Stay",
"CONFERENCE", "Medium Stay",
"VACATION", "Iong Stay",
"HOLIDAY", "Long Stay",
"V", "Leisure",
"UNKNOWN", "Unknown",
"Other")</f>
        <v>Other</v>
      </c>
    </row>
    <row r="1903" spans="1:11" x14ac:dyDescent="0.3">
      <c r="A1903" t="s">
        <v>5345</v>
      </c>
      <c r="B1903" t="s">
        <v>2413</v>
      </c>
      <c r="C1903" t="s">
        <v>174</v>
      </c>
      <c r="D1903" t="s">
        <v>1998</v>
      </c>
      <c r="E1903" t="s">
        <v>201</v>
      </c>
      <c r="F1903" t="s">
        <v>5346</v>
      </c>
      <c r="G1903" t="s">
        <v>739</v>
      </c>
      <c r="H1903" t="s">
        <v>635</v>
      </c>
      <c r="I1903">
        <f t="shared" si="30"/>
        <v>1</v>
      </c>
      <c r="J1903" t="s">
        <v>44</v>
      </c>
      <c r="K1903" t="str" cm="1">
        <f t="array" ref="K1903">_xlfn.SWITCH(TRIM(UPPER(J1903)),
"BUSINESS", "Short Stay",
"CONFERENCE", "Medium Stay",
"VACATION", "Iong Stay",
"HOLIDAY", "Long Stay",
"V", "Leisure",
"UNKNOWN", "Unknown",
"Other")</f>
        <v>Other</v>
      </c>
    </row>
    <row r="1904" spans="1:11" x14ac:dyDescent="0.3">
      <c r="A1904" t="s">
        <v>5347</v>
      </c>
      <c r="B1904" t="s">
        <v>1761</v>
      </c>
      <c r="C1904" t="s">
        <v>174</v>
      </c>
      <c r="D1904" t="s">
        <v>5348</v>
      </c>
      <c r="E1904" t="s">
        <v>201</v>
      </c>
      <c r="F1904" t="s">
        <v>5349</v>
      </c>
      <c r="G1904" t="s">
        <v>1763</v>
      </c>
      <c r="H1904" t="s">
        <v>1728</v>
      </c>
      <c r="I1904">
        <f t="shared" si="30"/>
        <v>3</v>
      </c>
      <c r="J1904" t="s">
        <v>18</v>
      </c>
      <c r="K1904" t="str" cm="1">
        <f t="array" ref="K1904">_xlfn.SWITCH(TRIM(UPPER(J1904)),
"BUSINESS", "Short Stay",
"CONFERENCE", "Medium Stay",
"VACATION", "Iong Stay",
"HOLIDAY", "Long Stay",
"V", "Leisure",
"UNKNOWN", "Unknown",
"Other")</f>
        <v>Short Stay</v>
      </c>
    </row>
    <row r="1905" spans="1:11" x14ac:dyDescent="0.3">
      <c r="A1905" t="s">
        <v>5350</v>
      </c>
      <c r="B1905" t="s">
        <v>1448</v>
      </c>
      <c r="C1905" t="s">
        <v>75</v>
      </c>
      <c r="D1905" t="s">
        <v>5010</v>
      </c>
      <c r="E1905" t="s">
        <v>201</v>
      </c>
      <c r="F1905" t="s">
        <v>5351</v>
      </c>
      <c r="G1905" t="s">
        <v>1091</v>
      </c>
      <c r="H1905" t="s">
        <v>1012</v>
      </c>
      <c r="I1905">
        <f t="shared" si="30"/>
        <v>3</v>
      </c>
      <c r="J1905" t="s">
        <v>18</v>
      </c>
      <c r="K1905" t="str" cm="1">
        <f t="array" ref="K1905">_xlfn.SWITCH(TRIM(UPPER(J1905)),
"BUSINESS", "Short Stay",
"CONFERENCE", "Medium Stay",
"VACATION", "Iong Stay",
"HOLIDAY", "Long Stay",
"V", "Leisure",
"UNKNOWN", "Unknown",
"Other")</f>
        <v>Short Stay</v>
      </c>
    </row>
    <row r="1906" spans="1:11" x14ac:dyDescent="0.3">
      <c r="A1906" t="s">
        <v>5352</v>
      </c>
      <c r="B1906" t="s">
        <v>1585</v>
      </c>
      <c r="C1906" t="s">
        <v>54</v>
      </c>
      <c r="D1906" t="s">
        <v>794</v>
      </c>
      <c r="E1906" t="s">
        <v>77</v>
      </c>
      <c r="F1906" t="s">
        <v>5353</v>
      </c>
      <c r="G1906" t="s">
        <v>1588</v>
      </c>
      <c r="H1906" t="s">
        <v>1456</v>
      </c>
      <c r="I1906">
        <f t="shared" si="30"/>
        <v>4</v>
      </c>
      <c r="J1906" t="s">
        <v>27</v>
      </c>
      <c r="K1906" t="str" cm="1">
        <f t="array" ref="K1906">_xlfn.SWITCH(TRIM(UPPER(J1906)),
"BUSINESS", "Short Stay",
"CONFERENCE", "Medium Stay",
"VACATION", "Iong Stay",
"HOLIDAY", "Long Stay",
"V", "Leisure",
"UNKNOWN", "Unknown",
"Other")</f>
        <v>Medium Stay</v>
      </c>
    </row>
    <row r="1907" spans="1:11" x14ac:dyDescent="0.3">
      <c r="A1907" t="s">
        <v>5354</v>
      </c>
      <c r="B1907" t="s">
        <v>1454</v>
      </c>
      <c r="C1907" t="s">
        <v>97</v>
      </c>
      <c r="D1907" t="s">
        <v>3147</v>
      </c>
      <c r="E1907" t="s">
        <v>214</v>
      </c>
      <c r="F1907" t="s">
        <v>5355</v>
      </c>
      <c r="G1907" t="s">
        <v>1456</v>
      </c>
      <c r="H1907" t="s">
        <v>625</v>
      </c>
      <c r="I1907">
        <f t="shared" si="30"/>
        <v>3</v>
      </c>
      <c r="J1907" t="s">
        <v>27</v>
      </c>
      <c r="K1907" t="str" cm="1">
        <f t="array" ref="K1907">_xlfn.SWITCH(TRIM(UPPER(J1907)),
"BUSINESS", "Short Stay",
"CONFERENCE", "Medium Stay",
"VACATION", "Iong Stay",
"HOLIDAY", "Long Stay",
"V", "Leisure",
"UNKNOWN", "Unknown",
"Other")</f>
        <v>Medium Stay</v>
      </c>
    </row>
    <row r="1908" spans="1:11" x14ac:dyDescent="0.3">
      <c r="A1908" t="s">
        <v>5356</v>
      </c>
      <c r="B1908" t="s">
        <v>199</v>
      </c>
      <c r="C1908" t="s">
        <v>97</v>
      </c>
      <c r="D1908" t="s">
        <v>1445</v>
      </c>
      <c r="E1908" t="s">
        <v>85</v>
      </c>
      <c r="F1908" t="s">
        <v>5357</v>
      </c>
      <c r="G1908" t="s">
        <v>203</v>
      </c>
      <c r="H1908" t="s">
        <v>599</v>
      </c>
      <c r="I1908">
        <f t="shared" si="30"/>
        <v>2</v>
      </c>
      <c r="J1908" t="s">
        <v>27</v>
      </c>
      <c r="K1908" t="str" cm="1">
        <f t="array" ref="K1908">_xlfn.SWITCH(TRIM(UPPER(J1908)),
"BUSINESS", "Short Stay",
"CONFERENCE", "Medium Stay",
"VACATION", "Iong Stay",
"HOLIDAY", "Long Stay",
"V", "Leisure",
"UNKNOWN", "Unknown",
"Other")</f>
        <v>Medium Stay</v>
      </c>
    </row>
    <row r="1909" spans="1:11" x14ac:dyDescent="0.3">
      <c r="A1909" t="s">
        <v>5358</v>
      </c>
      <c r="B1909" t="s">
        <v>508</v>
      </c>
      <c r="C1909" t="s">
        <v>75</v>
      </c>
      <c r="D1909" t="s">
        <v>1076</v>
      </c>
      <c r="E1909" t="s">
        <v>85</v>
      </c>
      <c r="F1909" t="s">
        <v>5359</v>
      </c>
      <c r="G1909" t="s">
        <v>511</v>
      </c>
      <c r="H1909" t="s">
        <v>634</v>
      </c>
      <c r="I1909">
        <f t="shared" si="30"/>
        <v>3</v>
      </c>
      <c r="J1909" t="s">
        <v>121</v>
      </c>
      <c r="K1909" t="str" cm="1">
        <f t="array" ref="K1909">_xlfn.SWITCH(TRIM(UPPER(J1909)),
"BUSINESS", "Short Stay",
"CONFERENCE", "Medium Stay",
"VACATION", "Iong Stay",
"HOLIDAY", "Long Stay",
"V", "Leisure",
"UNKNOWN", "Unknown",
"Other")</f>
        <v>Iong Stay</v>
      </c>
    </row>
    <row r="1910" spans="1:11" x14ac:dyDescent="0.3">
      <c r="A1910" t="s">
        <v>5360</v>
      </c>
      <c r="B1910" t="s">
        <v>206</v>
      </c>
      <c r="C1910" t="s">
        <v>30</v>
      </c>
      <c r="D1910" t="s">
        <v>3080</v>
      </c>
      <c r="E1910" t="s">
        <v>32</v>
      </c>
      <c r="F1910" t="s">
        <v>5361</v>
      </c>
      <c r="G1910" t="s">
        <v>209</v>
      </c>
      <c r="H1910" t="s">
        <v>758</v>
      </c>
      <c r="I1910">
        <f t="shared" si="30"/>
        <v>2</v>
      </c>
      <c r="J1910" t="s">
        <v>44</v>
      </c>
      <c r="K1910" t="str" cm="1">
        <f t="array" ref="K1910">_xlfn.SWITCH(TRIM(UPPER(J1910)),
"BUSINESS", "Short Stay",
"CONFERENCE", "Medium Stay",
"VACATION", "Iong Stay",
"HOLIDAY", "Long Stay",
"V", "Leisure",
"UNKNOWN", "Unknown",
"Other")</f>
        <v>Other</v>
      </c>
    </row>
    <row r="1911" spans="1:11" x14ac:dyDescent="0.3">
      <c r="A1911" t="s">
        <v>5362</v>
      </c>
      <c r="B1911" t="s">
        <v>1634</v>
      </c>
      <c r="C1911" t="s">
        <v>12</v>
      </c>
      <c r="D1911" t="s">
        <v>4117</v>
      </c>
      <c r="E1911" t="s">
        <v>48</v>
      </c>
      <c r="F1911" t="s">
        <v>5363</v>
      </c>
      <c r="G1911" t="s">
        <v>1311</v>
      </c>
      <c r="H1911" t="s">
        <v>310</v>
      </c>
      <c r="I1911">
        <f t="shared" si="30"/>
        <v>1</v>
      </c>
      <c r="J1911" t="s">
        <v>121</v>
      </c>
      <c r="K1911" t="str" cm="1">
        <f t="array" ref="K1911">_xlfn.SWITCH(TRIM(UPPER(J1911)),
"BUSINESS", "Short Stay",
"CONFERENCE", "Medium Stay",
"VACATION", "Iong Stay",
"HOLIDAY", "Long Stay",
"V", "Leisure",
"UNKNOWN", "Unknown",
"Other")</f>
        <v>Iong Stay</v>
      </c>
    </row>
    <row r="1912" spans="1:11" x14ac:dyDescent="0.3">
      <c r="A1912" t="s">
        <v>5364</v>
      </c>
      <c r="B1912" t="s">
        <v>353</v>
      </c>
      <c r="C1912" t="s">
        <v>61</v>
      </c>
      <c r="D1912" t="s">
        <v>5365</v>
      </c>
      <c r="E1912" t="s">
        <v>40</v>
      </c>
      <c r="F1912" t="s">
        <v>5366</v>
      </c>
      <c r="G1912" t="s">
        <v>356</v>
      </c>
      <c r="H1912" t="s">
        <v>43</v>
      </c>
      <c r="I1912">
        <f t="shared" si="30"/>
        <v>2</v>
      </c>
      <c r="J1912" t="s">
        <v>44</v>
      </c>
      <c r="K1912" t="str" cm="1">
        <f t="array" ref="K1912">_xlfn.SWITCH(TRIM(UPPER(J1912)),
"BUSINESS", "Short Stay",
"CONFERENCE", "Medium Stay",
"VACATION", "Iong Stay",
"HOLIDAY", "Long Stay",
"V", "Leisure",
"UNKNOWN", "Unknown",
"Other")</f>
        <v>Other</v>
      </c>
    </row>
    <row r="1913" spans="1:11" x14ac:dyDescent="0.3">
      <c r="A1913" t="s">
        <v>5367</v>
      </c>
      <c r="B1913" t="s">
        <v>660</v>
      </c>
      <c r="C1913" t="s">
        <v>61</v>
      </c>
      <c r="D1913" t="s">
        <v>3886</v>
      </c>
      <c r="E1913" t="s">
        <v>546</v>
      </c>
      <c r="F1913" t="s">
        <v>5368</v>
      </c>
      <c r="G1913" t="s">
        <v>663</v>
      </c>
      <c r="H1913" t="s">
        <v>2094</v>
      </c>
      <c r="I1913">
        <f t="shared" si="30"/>
        <v>3</v>
      </c>
      <c r="J1913" t="s">
        <v>121</v>
      </c>
      <c r="K1913" t="str" cm="1">
        <f t="array" ref="K1913">_xlfn.SWITCH(TRIM(UPPER(J1913)),
"BUSINESS", "Short Stay",
"CONFERENCE", "Medium Stay",
"VACATION", "Iong Stay",
"HOLIDAY", "Long Stay",
"V", "Leisure",
"UNKNOWN", "Unknown",
"Other")</f>
        <v>Iong Stay</v>
      </c>
    </row>
    <row r="1914" spans="1:11" x14ac:dyDescent="0.3">
      <c r="A1914" t="s">
        <v>5369</v>
      </c>
      <c r="B1914" t="s">
        <v>123</v>
      </c>
      <c r="C1914" t="s">
        <v>21</v>
      </c>
      <c r="D1914" t="s">
        <v>4206</v>
      </c>
      <c r="E1914" t="s">
        <v>201</v>
      </c>
      <c r="F1914" t="s">
        <v>5370</v>
      </c>
      <c r="G1914" t="s">
        <v>126</v>
      </c>
      <c r="H1914" t="s">
        <v>1956</v>
      </c>
      <c r="I1914">
        <f t="shared" si="30"/>
        <v>3</v>
      </c>
      <c r="J1914" t="s">
        <v>44</v>
      </c>
      <c r="K1914" t="str" cm="1">
        <f t="array" ref="K1914">_xlfn.SWITCH(TRIM(UPPER(J1914)),
"BUSINESS", "Short Stay",
"CONFERENCE", "Medium Stay",
"VACATION", "Iong Stay",
"HOLIDAY", "Long Stay",
"V", "Leisure",
"UNKNOWN", "Unknown",
"Other")</f>
        <v>Other</v>
      </c>
    </row>
    <row r="1915" spans="1:11" x14ac:dyDescent="0.3">
      <c r="A1915" t="s">
        <v>5371</v>
      </c>
      <c r="B1915" t="s">
        <v>2109</v>
      </c>
      <c r="C1915" t="s">
        <v>54</v>
      </c>
      <c r="D1915" t="s">
        <v>1018</v>
      </c>
      <c r="E1915" t="s">
        <v>63</v>
      </c>
      <c r="F1915" t="s">
        <v>5372</v>
      </c>
      <c r="G1915" t="s">
        <v>139</v>
      </c>
      <c r="H1915" t="s">
        <v>1066</v>
      </c>
      <c r="I1915">
        <f t="shared" si="30"/>
        <v>5</v>
      </c>
      <c r="J1915" t="s">
        <v>44</v>
      </c>
      <c r="K1915" t="str" cm="1">
        <f t="array" ref="K1915">_xlfn.SWITCH(TRIM(UPPER(J1915)),
"BUSINESS", "Short Stay",
"CONFERENCE", "Medium Stay",
"VACATION", "Iong Stay",
"HOLIDAY", "Long Stay",
"V", "Leisure",
"UNKNOWN", "Unknown",
"Other")</f>
        <v>Other</v>
      </c>
    </row>
    <row r="1916" spans="1:11" x14ac:dyDescent="0.3">
      <c r="A1916" t="s">
        <v>5373</v>
      </c>
      <c r="B1916" t="s">
        <v>2146</v>
      </c>
      <c r="C1916" t="s">
        <v>38</v>
      </c>
      <c r="D1916" t="s">
        <v>2556</v>
      </c>
      <c r="E1916" t="s">
        <v>14</v>
      </c>
      <c r="F1916" t="s">
        <v>5374</v>
      </c>
      <c r="G1916" t="s">
        <v>328</v>
      </c>
      <c r="H1916" t="s">
        <v>184</v>
      </c>
      <c r="I1916">
        <f t="shared" si="30"/>
        <v>3</v>
      </c>
      <c r="J1916" t="s">
        <v>44</v>
      </c>
      <c r="K1916" t="str" cm="1">
        <f t="array" ref="K1916">_xlfn.SWITCH(TRIM(UPPER(J1916)),
"BUSINESS", "Short Stay",
"CONFERENCE", "Medium Stay",
"VACATION", "Iong Stay",
"HOLIDAY", "Long Stay",
"V", "Leisure",
"UNKNOWN", "Unknown",
"Other")</f>
        <v>Other</v>
      </c>
    </row>
    <row r="1917" spans="1:11" x14ac:dyDescent="0.3">
      <c r="A1917" t="s">
        <v>5375</v>
      </c>
      <c r="B1917" t="s">
        <v>606</v>
      </c>
      <c r="C1917" t="s">
        <v>97</v>
      </c>
      <c r="D1917" t="s">
        <v>3059</v>
      </c>
      <c r="E1917" t="s">
        <v>314</v>
      </c>
      <c r="F1917" t="s">
        <v>5376</v>
      </c>
      <c r="G1917" t="s">
        <v>604</v>
      </c>
      <c r="H1917" t="s">
        <v>861</v>
      </c>
      <c r="I1917">
        <f t="shared" si="30"/>
        <v>1</v>
      </c>
      <c r="J1917" t="s">
        <v>121</v>
      </c>
      <c r="K1917" t="str" cm="1">
        <f t="array" ref="K1917">_xlfn.SWITCH(TRIM(UPPER(J1917)),
"BUSINESS", "Short Stay",
"CONFERENCE", "Medium Stay",
"VACATION", "Iong Stay",
"HOLIDAY", "Long Stay",
"V", "Leisure",
"UNKNOWN", "Unknown",
"Other")</f>
        <v>Iong Stay</v>
      </c>
    </row>
    <row r="1918" spans="1:11" x14ac:dyDescent="0.3">
      <c r="A1918" t="s">
        <v>5377</v>
      </c>
      <c r="B1918" t="s">
        <v>1162</v>
      </c>
      <c r="C1918" t="s">
        <v>12</v>
      </c>
      <c r="D1918" t="s">
        <v>742</v>
      </c>
      <c r="E1918" t="s">
        <v>40</v>
      </c>
      <c r="F1918" t="s">
        <v>5378</v>
      </c>
      <c r="G1918" t="s">
        <v>1164</v>
      </c>
      <c r="H1918" t="s">
        <v>277</v>
      </c>
      <c r="I1918">
        <f t="shared" si="30"/>
        <v>4</v>
      </c>
      <c r="J1918" t="s">
        <v>27</v>
      </c>
      <c r="K1918" t="str" cm="1">
        <f t="array" ref="K1918">_xlfn.SWITCH(TRIM(UPPER(J1918)),
"BUSINESS", "Short Stay",
"CONFERENCE", "Medium Stay",
"VACATION", "Iong Stay",
"HOLIDAY", "Long Stay",
"V", "Leisure",
"UNKNOWN", "Unknown",
"Other")</f>
        <v>Medium Stay</v>
      </c>
    </row>
    <row r="1919" spans="1:11" x14ac:dyDescent="0.3">
      <c r="A1919" t="s">
        <v>5379</v>
      </c>
      <c r="B1919" t="s">
        <v>252</v>
      </c>
      <c r="C1919" t="s">
        <v>97</v>
      </c>
      <c r="D1919" t="s">
        <v>3639</v>
      </c>
      <c r="E1919" t="s">
        <v>214</v>
      </c>
      <c r="F1919" t="s">
        <v>5380</v>
      </c>
      <c r="G1919" t="s">
        <v>88</v>
      </c>
      <c r="H1919" t="s">
        <v>255</v>
      </c>
      <c r="I1919">
        <f t="shared" si="30"/>
        <v>3</v>
      </c>
      <c r="J1919" t="s">
        <v>121</v>
      </c>
      <c r="K1919" t="str" cm="1">
        <f t="array" ref="K1919">_xlfn.SWITCH(TRIM(UPPER(J1919)),
"BUSINESS", "Short Stay",
"CONFERENCE", "Medium Stay",
"VACATION", "Iong Stay",
"HOLIDAY", "Long Stay",
"V", "Leisure",
"UNKNOWN", "Unknown",
"Other")</f>
        <v>Iong Stay</v>
      </c>
    </row>
    <row r="1920" spans="1:11" x14ac:dyDescent="0.3">
      <c r="A1920" t="s">
        <v>5381</v>
      </c>
      <c r="B1920" t="s">
        <v>1055</v>
      </c>
      <c r="C1920" t="s">
        <v>75</v>
      </c>
      <c r="D1920" t="s">
        <v>4852</v>
      </c>
      <c r="E1920" t="s">
        <v>430</v>
      </c>
      <c r="F1920" t="s">
        <v>5382</v>
      </c>
      <c r="G1920" t="s">
        <v>310</v>
      </c>
      <c r="H1920" t="s">
        <v>1058</v>
      </c>
      <c r="I1920">
        <f t="shared" si="30"/>
        <v>2</v>
      </c>
      <c r="J1920" t="s">
        <v>18</v>
      </c>
      <c r="K1920" t="str" cm="1">
        <f t="array" ref="K1920">_xlfn.SWITCH(TRIM(UPPER(J1920)),
"BUSINESS", "Short Stay",
"CONFERENCE", "Medium Stay",
"VACATION", "Iong Stay",
"HOLIDAY", "Long Stay",
"V", "Leisure",
"UNKNOWN", "Unknown",
"Other")</f>
        <v>Short Stay</v>
      </c>
    </row>
    <row r="1921" spans="1:11" x14ac:dyDescent="0.3">
      <c r="A1921" t="s">
        <v>5383</v>
      </c>
      <c r="B1921" t="s">
        <v>294</v>
      </c>
      <c r="C1921" t="s">
        <v>21</v>
      </c>
      <c r="D1921" t="s">
        <v>3963</v>
      </c>
      <c r="E1921" t="s">
        <v>458</v>
      </c>
      <c r="F1921" t="s">
        <v>4318</v>
      </c>
      <c r="G1921" t="s">
        <v>297</v>
      </c>
      <c r="H1921" t="s">
        <v>691</v>
      </c>
      <c r="I1921">
        <f t="shared" si="30"/>
        <v>4</v>
      </c>
      <c r="J1921" t="s">
        <v>27</v>
      </c>
      <c r="K1921" t="str" cm="1">
        <f t="array" ref="K1921">_xlfn.SWITCH(TRIM(UPPER(J1921)),
"BUSINESS", "Short Stay",
"CONFERENCE", "Medium Stay",
"VACATION", "Iong Stay",
"HOLIDAY", "Long Stay",
"V", "Leisure",
"UNKNOWN", "Unknown",
"Other")</f>
        <v>Medium Stay</v>
      </c>
    </row>
    <row r="1922" spans="1:11" x14ac:dyDescent="0.3">
      <c r="A1922" t="s">
        <v>5384</v>
      </c>
      <c r="B1922" t="s">
        <v>809</v>
      </c>
      <c r="C1922" t="s">
        <v>174</v>
      </c>
      <c r="D1922" t="s">
        <v>5385</v>
      </c>
      <c r="E1922" t="s">
        <v>546</v>
      </c>
      <c r="F1922" t="s">
        <v>5386</v>
      </c>
      <c r="G1922" t="s">
        <v>812</v>
      </c>
      <c r="H1922" t="s">
        <v>3198</v>
      </c>
      <c r="I1922">
        <f t="shared" si="30"/>
        <v>3</v>
      </c>
      <c r="J1922" t="s">
        <v>44</v>
      </c>
      <c r="K1922" t="str" cm="1">
        <f t="array" ref="K1922">_xlfn.SWITCH(TRIM(UPPER(J1922)),
"BUSINESS", "Short Stay",
"CONFERENCE", "Medium Stay",
"VACATION", "Iong Stay",
"HOLIDAY", "Long Stay",
"V", "Leisure",
"UNKNOWN", "Unknown",
"Other")</f>
        <v>Other</v>
      </c>
    </row>
    <row r="1923" spans="1:11" x14ac:dyDescent="0.3">
      <c r="A1923" t="s">
        <v>5387</v>
      </c>
      <c r="B1923" t="s">
        <v>793</v>
      </c>
      <c r="C1923" t="s">
        <v>75</v>
      </c>
      <c r="D1923" t="s">
        <v>4359</v>
      </c>
      <c r="E1923" t="s">
        <v>149</v>
      </c>
      <c r="F1923" t="s">
        <v>2799</v>
      </c>
      <c r="G1923" t="s">
        <v>796</v>
      </c>
      <c r="H1923" t="s">
        <v>625</v>
      </c>
      <c r="I1923">
        <f t="shared" si="30"/>
        <v>5</v>
      </c>
      <c r="J1923" t="s">
        <v>27</v>
      </c>
      <c r="K1923" t="str" cm="1">
        <f t="array" ref="K1923">_xlfn.SWITCH(TRIM(UPPER(J1923)),
"BUSINESS", "Short Stay",
"CONFERENCE", "Medium Stay",
"VACATION", "Iong Stay",
"HOLIDAY", "Long Stay",
"V", "Leisure",
"UNKNOWN", "Unknown",
"Other")</f>
        <v>Medium Stay</v>
      </c>
    </row>
    <row r="1924" spans="1:11" x14ac:dyDescent="0.3">
      <c r="A1924" t="s">
        <v>5388</v>
      </c>
      <c r="B1924" t="s">
        <v>1718</v>
      </c>
      <c r="C1924" t="s">
        <v>38</v>
      </c>
      <c r="D1924" t="s">
        <v>969</v>
      </c>
      <c r="E1924" t="s">
        <v>32</v>
      </c>
      <c r="F1924" t="s">
        <v>5389</v>
      </c>
      <c r="G1924" t="s">
        <v>877</v>
      </c>
      <c r="H1924" t="s">
        <v>43</v>
      </c>
      <c r="I1924">
        <f t="shared" si="30"/>
        <v>4</v>
      </c>
      <c r="J1924" t="s">
        <v>27</v>
      </c>
      <c r="K1924" t="str" cm="1">
        <f t="array" ref="K1924">_xlfn.SWITCH(TRIM(UPPER(J1924)),
"BUSINESS", "Short Stay",
"CONFERENCE", "Medium Stay",
"VACATION", "Iong Stay",
"HOLIDAY", "Long Stay",
"V", "Leisure",
"UNKNOWN", "Unknown",
"Other")</f>
        <v>Medium Stay</v>
      </c>
    </row>
    <row r="1925" spans="1:11" x14ac:dyDescent="0.3">
      <c r="A1925" t="s">
        <v>5390</v>
      </c>
      <c r="B1925" t="s">
        <v>2222</v>
      </c>
      <c r="C1925" t="s">
        <v>75</v>
      </c>
      <c r="D1925" t="s">
        <v>3516</v>
      </c>
      <c r="E1925" t="s">
        <v>77</v>
      </c>
      <c r="F1925" t="s">
        <v>5391</v>
      </c>
      <c r="G1925" t="s">
        <v>937</v>
      </c>
      <c r="H1925" t="s">
        <v>133</v>
      </c>
      <c r="I1925">
        <f t="shared" ref="I1925:I1988" si="31">H1925-G1925</f>
        <v>5</v>
      </c>
      <c r="J1925" t="s">
        <v>44</v>
      </c>
      <c r="K1925" t="str" cm="1">
        <f t="array" ref="K1925">_xlfn.SWITCH(TRIM(UPPER(J1925)),
"BUSINESS", "Short Stay",
"CONFERENCE", "Medium Stay",
"VACATION", "Iong Stay",
"HOLIDAY", "Long Stay",
"V", "Leisure",
"UNKNOWN", "Unknown",
"Other")</f>
        <v>Other</v>
      </c>
    </row>
    <row r="1926" spans="1:11" x14ac:dyDescent="0.3">
      <c r="A1926" t="s">
        <v>5392</v>
      </c>
      <c r="B1926" t="s">
        <v>4778</v>
      </c>
      <c r="C1926" t="s">
        <v>12</v>
      </c>
      <c r="D1926" t="s">
        <v>2230</v>
      </c>
      <c r="E1926" t="s">
        <v>48</v>
      </c>
      <c r="F1926" t="s">
        <v>4937</v>
      </c>
      <c r="G1926" t="s">
        <v>1220</v>
      </c>
      <c r="H1926" t="s">
        <v>645</v>
      </c>
      <c r="I1926">
        <f t="shared" si="31"/>
        <v>5</v>
      </c>
      <c r="J1926" t="s">
        <v>18</v>
      </c>
      <c r="K1926" t="str" cm="1">
        <f t="array" ref="K1926">_xlfn.SWITCH(TRIM(UPPER(J1926)),
"BUSINESS", "Short Stay",
"CONFERENCE", "Medium Stay",
"VACATION", "Iong Stay",
"HOLIDAY", "Long Stay",
"V", "Leisure",
"UNKNOWN", "Unknown",
"Other")</f>
        <v>Short Stay</v>
      </c>
    </row>
    <row r="1927" spans="1:11" x14ac:dyDescent="0.3">
      <c r="A1927" t="s">
        <v>5393</v>
      </c>
      <c r="B1927" t="s">
        <v>268</v>
      </c>
      <c r="C1927" t="s">
        <v>75</v>
      </c>
      <c r="D1927" t="s">
        <v>2775</v>
      </c>
      <c r="E1927" t="s">
        <v>214</v>
      </c>
      <c r="F1927" t="s">
        <v>5394</v>
      </c>
      <c r="G1927" t="s">
        <v>271</v>
      </c>
      <c r="H1927" t="s">
        <v>170</v>
      </c>
      <c r="I1927">
        <f t="shared" si="31"/>
        <v>1</v>
      </c>
      <c r="J1927" t="s">
        <v>44</v>
      </c>
      <c r="K1927" t="str" cm="1">
        <f t="array" ref="K1927">_xlfn.SWITCH(TRIM(UPPER(J1927)),
"BUSINESS", "Short Stay",
"CONFERENCE", "Medium Stay",
"VACATION", "Iong Stay",
"HOLIDAY", "Long Stay",
"V", "Leisure",
"UNKNOWN", "Unknown",
"Other")</f>
        <v>Other</v>
      </c>
    </row>
    <row r="1928" spans="1:11" x14ac:dyDescent="0.3">
      <c r="A1928" t="s">
        <v>5395</v>
      </c>
      <c r="B1928" t="s">
        <v>3396</v>
      </c>
      <c r="C1928" t="s">
        <v>75</v>
      </c>
      <c r="D1928" t="s">
        <v>1335</v>
      </c>
      <c r="E1928" t="s">
        <v>546</v>
      </c>
      <c r="F1928" t="s">
        <v>5396</v>
      </c>
      <c r="G1928" t="s">
        <v>695</v>
      </c>
      <c r="H1928" t="s">
        <v>88</v>
      </c>
      <c r="I1928">
        <f t="shared" si="31"/>
        <v>1</v>
      </c>
      <c r="J1928" t="s">
        <v>121</v>
      </c>
      <c r="K1928" t="str" cm="1">
        <f t="array" ref="K1928">_xlfn.SWITCH(TRIM(UPPER(J1928)),
"BUSINESS", "Short Stay",
"CONFERENCE", "Medium Stay",
"VACATION", "Iong Stay",
"HOLIDAY", "Long Stay",
"V", "Leisure",
"UNKNOWN", "Unknown",
"Other")</f>
        <v>Iong Stay</v>
      </c>
    </row>
    <row r="1929" spans="1:11" x14ac:dyDescent="0.3">
      <c r="A1929" t="s">
        <v>5397</v>
      </c>
      <c r="B1929" t="s">
        <v>2761</v>
      </c>
      <c r="C1929" t="s">
        <v>174</v>
      </c>
      <c r="D1929" t="s">
        <v>3306</v>
      </c>
      <c r="E1929" t="s">
        <v>32</v>
      </c>
      <c r="F1929" t="s">
        <v>5398</v>
      </c>
      <c r="G1929" t="s">
        <v>2550</v>
      </c>
      <c r="H1929" t="s">
        <v>533</v>
      </c>
      <c r="I1929">
        <f t="shared" si="31"/>
        <v>3</v>
      </c>
      <c r="J1929" t="s">
        <v>27</v>
      </c>
      <c r="K1929" t="str" cm="1">
        <f t="array" ref="K1929">_xlfn.SWITCH(TRIM(UPPER(J1929)),
"BUSINESS", "Short Stay",
"CONFERENCE", "Medium Stay",
"VACATION", "Iong Stay",
"HOLIDAY", "Long Stay",
"V", "Leisure",
"UNKNOWN", "Unknown",
"Other")</f>
        <v>Medium Stay</v>
      </c>
    </row>
    <row r="1930" spans="1:11" x14ac:dyDescent="0.3">
      <c r="A1930" t="s">
        <v>5399</v>
      </c>
      <c r="B1930" t="s">
        <v>2569</v>
      </c>
      <c r="C1930" t="s">
        <v>30</v>
      </c>
      <c r="D1930" t="s">
        <v>3520</v>
      </c>
      <c r="E1930" t="s">
        <v>32</v>
      </c>
      <c r="F1930" t="s">
        <v>5400</v>
      </c>
      <c r="G1930" t="s">
        <v>686</v>
      </c>
      <c r="H1930" t="s">
        <v>1043</v>
      </c>
      <c r="I1930">
        <f t="shared" si="31"/>
        <v>5</v>
      </c>
      <c r="J1930" t="s">
        <v>44</v>
      </c>
      <c r="K1930" t="str" cm="1">
        <f t="array" ref="K1930">_xlfn.SWITCH(TRIM(UPPER(J1930)),
"BUSINESS", "Short Stay",
"CONFERENCE", "Medium Stay",
"VACATION", "Iong Stay",
"HOLIDAY", "Long Stay",
"V", "Leisure",
"UNKNOWN", "Unknown",
"Other")</f>
        <v>Other</v>
      </c>
    </row>
    <row r="1931" spans="1:11" x14ac:dyDescent="0.3">
      <c r="A1931" t="s">
        <v>5401</v>
      </c>
      <c r="B1931" t="s">
        <v>1761</v>
      </c>
      <c r="C1931" t="s">
        <v>75</v>
      </c>
      <c r="D1931" t="s">
        <v>4482</v>
      </c>
      <c r="E1931" t="s">
        <v>69</v>
      </c>
      <c r="F1931" t="s">
        <v>5402</v>
      </c>
      <c r="G1931" t="s">
        <v>1763</v>
      </c>
      <c r="H1931" t="s">
        <v>554</v>
      </c>
      <c r="I1931">
        <f t="shared" si="31"/>
        <v>5</v>
      </c>
      <c r="J1931" t="s">
        <v>44</v>
      </c>
      <c r="K1931" t="str" cm="1">
        <f t="array" ref="K1931">_xlfn.SWITCH(TRIM(UPPER(J1931)),
"BUSINESS", "Short Stay",
"CONFERENCE", "Medium Stay",
"VACATION", "Iong Stay",
"HOLIDAY", "Long Stay",
"V", "Leisure",
"UNKNOWN", "Unknown",
"Other")</f>
        <v>Other</v>
      </c>
    </row>
    <row r="1932" spans="1:11" x14ac:dyDescent="0.3">
      <c r="A1932" t="s">
        <v>5403</v>
      </c>
      <c r="B1932" t="s">
        <v>2555</v>
      </c>
      <c r="C1932" t="s">
        <v>83</v>
      </c>
      <c r="D1932" t="s">
        <v>5404</v>
      </c>
      <c r="E1932" t="s">
        <v>32</v>
      </c>
      <c r="F1932" t="s">
        <v>5405</v>
      </c>
      <c r="G1932" t="s">
        <v>600</v>
      </c>
      <c r="H1932" t="s">
        <v>1485</v>
      </c>
      <c r="I1932">
        <f t="shared" si="31"/>
        <v>3</v>
      </c>
      <c r="J1932" t="s">
        <v>121</v>
      </c>
      <c r="K1932" t="str" cm="1">
        <f t="array" ref="K1932">_xlfn.SWITCH(TRIM(UPPER(J1932)),
"BUSINESS", "Short Stay",
"CONFERENCE", "Medium Stay",
"VACATION", "Iong Stay",
"HOLIDAY", "Long Stay",
"V", "Leisure",
"UNKNOWN", "Unknown",
"Other")</f>
        <v>Iong Stay</v>
      </c>
    </row>
    <row r="1933" spans="1:11" x14ac:dyDescent="0.3">
      <c r="A1933" t="s">
        <v>5406</v>
      </c>
      <c r="B1933" t="s">
        <v>623</v>
      </c>
      <c r="C1933" t="s">
        <v>54</v>
      </c>
      <c r="D1933" t="s">
        <v>1845</v>
      </c>
      <c r="E1933" t="s">
        <v>156</v>
      </c>
      <c r="F1933" t="s">
        <v>5407</v>
      </c>
      <c r="G1933" t="s">
        <v>625</v>
      </c>
      <c r="H1933" t="s">
        <v>885</v>
      </c>
      <c r="I1933">
        <f t="shared" si="31"/>
        <v>4</v>
      </c>
      <c r="J1933" t="s">
        <v>121</v>
      </c>
      <c r="K1933" t="str" cm="1">
        <f t="array" ref="K1933">_xlfn.SWITCH(TRIM(UPPER(J1933)),
"BUSINESS", "Short Stay",
"CONFERENCE", "Medium Stay",
"VACATION", "Iong Stay",
"HOLIDAY", "Long Stay",
"V", "Leisure",
"UNKNOWN", "Unknown",
"Other")</f>
        <v>Iong Stay</v>
      </c>
    </row>
    <row r="1934" spans="1:11" x14ac:dyDescent="0.3">
      <c r="A1934" t="s">
        <v>5408</v>
      </c>
      <c r="B1934" t="s">
        <v>585</v>
      </c>
      <c r="C1934" t="s">
        <v>75</v>
      </c>
      <c r="D1934" t="s">
        <v>4652</v>
      </c>
      <c r="E1934" t="s">
        <v>546</v>
      </c>
      <c r="F1934" t="s">
        <v>5409</v>
      </c>
      <c r="G1934" t="s">
        <v>588</v>
      </c>
      <c r="H1934" t="s">
        <v>1681</v>
      </c>
      <c r="I1934">
        <f t="shared" si="31"/>
        <v>4</v>
      </c>
      <c r="J1934" t="s">
        <v>18</v>
      </c>
      <c r="K1934" t="str" cm="1">
        <f t="array" ref="K1934">_xlfn.SWITCH(TRIM(UPPER(J1934)),
"BUSINESS", "Short Stay",
"CONFERENCE", "Medium Stay",
"VACATION", "Iong Stay",
"HOLIDAY", "Long Stay",
"V", "Leisure",
"UNKNOWN", "Unknown",
"Other")</f>
        <v>Short Stay</v>
      </c>
    </row>
    <row r="1935" spans="1:11" x14ac:dyDescent="0.3">
      <c r="A1935" t="s">
        <v>5410</v>
      </c>
      <c r="B1935" t="s">
        <v>772</v>
      </c>
      <c r="C1935" t="s">
        <v>12</v>
      </c>
      <c r="D1935" t="s">
        <v>2540</v>
      </c>
      <c r="E1935" t="s">
        <v>85</v>
      </c>
      <c r="F1935" t="s">
        <v>5411</v>
      </c>
      <c r="G1935" t="s">
        <v>775</v>
      </c>
      <c r="H1935" t="s">
        <v>100</v>
      </c>
      <c r="I1935">
        <f t="shared" si="31"/>
        <v>4</v>
      </c>
      <c r="J1935" t="s">
        <v>44</v>
      </c>
      <c r="K1935" t="str" cm="1">
        <f t="array" ref="K1935">_xlfn.SWITCH(TRIM(UPPER(J1935)),
"BUSINESS", "Short Stay",
"CONFERENCE", "Medium Stay",
"VACATION", "Iong Stay",
"HOLIDAY", "Long Stay",
"V", "Leisure",
"UNKNOWN", "Unknown",
"Other")</f>
        <v>Other</v>
      </c>
    </row>
    <row r="1936" spans="1:11" x14ac:dyDescent="0.3">
      <c r="A1936" t="s">
        <v>5412</v>
      </c>
      <c r="B1936" t="s">
        <v>3182</v>
      </c>
      <c r="C1936" t="s">
        <v>75</v>
      </c>
      <c r="D1936" t="s">
        <v>4115</v>
      </c>
      <c r="E1936" t="s">
        <v>23</v>
      </c>
      <c r="F1936" t="s">
        <v>2652</v>
      </c>
      <c r="G1936" t="s">
        <v>351</v>
      </c>
      <c r="H1936" t="s">
        <v>1234</v>
      </c>
      <c r="I1936">
        <f t="shared" si="31"/>
        <v>3</v>
      </c>
      <c r="J1936" t="s">
        <v>44</v>
      </c>
      <c r="K1936" t="str" cm="1">
        <f t="array" ref="K1936">_xlfn.SWITCH(TRIM(UPPER(J1936)),
"BUSINESS", "Short Stay",
"CONFERENCE", "Medium Stay",
"VACATION", "Iong Stay",
"HOLIDAY", "Long Stay",
"V", "Leisure",
"UNKNOWN", "Unknown",
"Other")</f>
        <v>Other</v>
      </c>
    </row>
    <row r="1937" spans="1:11" x14ac:dyDescent="0.3">
      <c r="A1937" t="s">
        <v>5413</v>
      </c>
      <c r="B1937" t="s">
        <v>980</v>
      </c>
      <c r="C1937" t="s">
        <v>38</v>
      </c>
      <c r="D1937" t="s">
        <v>2496</v>
      </c>
      <c r="E1937" t="s">
        <v>458</v>
      </c>
      <c r="F1937" t="s">
        <v>855</v>
      </c>
      <c r="G1937" t="s">
        <v>983</v>
      </c>
      <c r="H1937" t="s">
        <v>780</v>
      </c>
      <c r="I1937">
        <f t="shared" si="31"/>
        <v>4</v>
      </c>
      <c r="J1937" t="s">
        <v>44</v>
      </c>
      <c r="K1937" t="str" cm="1">
        <f t="array" ref="K1937">_xlfn.SWITCH(TRIM(UPPER(J1937)),
"BUSINESS", "Short Stay",
"CONFERENCE", "Medium Stay",
"VACATION", "Iong Stay",
"HOLIDAY", "Long Stay",
"V", "Leisure",
"UNKNOWN", "Unknown",
"Other")</f>
        <v>Other</v>
      </c>
    </row>
    <row r="1938" spans="1:11" x14ac:dyDescent="0.3">
      <c r="A1938" t="s">
        <v>5414</v>
      </c>
      <c r="B1938" t="s">
        <v>1650</v>
      </c>
      <c r="C1938" t="s">
        <v>21</v>
      </c>
      <c r="D1938" t="s">
        <v>2126</v>
      </c>
      <c r="E1938" t="s">
        <v>63</v>
      </c>
      <c r="F1938" t="s">
        <v>5415</v>
      </c>
      <c r="G1938" t="s">
        <v>1160</v>
      </c>
      <c r="H1938" t="s">
        <v>753</v>
      </c>
      <c r="I1938">
        <f t="shared" si="31"/>
        <v>3</v>
      </c>
      <c r="J1938" t="s">
        <v>18</v>
      </c>
      <c r="K1938" t="str" cm="1">
        <f t="array" ref="K1938">_xlfn.SWITCH(TRIM(UPPER(J1938)),
"BUSINESS", "Short Stay",
"CONFERENCE", "Medium Stay",
"VACATION", "Iong Stay",
"HOLIDAY", "Long Stay",
"V", "Leisure",
"UNKNOWN", "Unknown",
"Other")</f>
        <v>Short Stay</v>
      </c>
    </row>
    <row r="1939" spans="1:11" x14ac:dyDescent="0.3">
      <c r="A1939" t="s">
        <v>5416</v>
      </c>
      <c r="B1939" t="s">
        <v>1328</v>
      </c>
      <c r="C1939" t="s">
        <v>30</v>
      </c>
      <c r="D1939" t="s">
        <v>116</v>
      </c>
      <c r="E1939" t="s">
        <v>214</v>
      </c>
      <c r="F1939" t="s">
        <v>1158</v>
      </c>
      <c r="G1939" t="s">
        <v>1331</v>
      </c>
      <c r="H1939" t="s">
        <v>594</v>
      </c>
      <c r="I1939">
        <f t="shared" si="31"/>
        <v>2</v>
      </c>
      <c r="J1939" t="s">
        <v>27</v>
      </c>
      <c r="K1939" t="str" cm="1">
        <f t="array" ref="K1939">_xlfn.SWITCH(TRIM(UPPER(J1939)),
"BUSINESS", "Short Stay",
"CONFERENCE", "Medium Stay",
"VACATION", "Iong Stay",
"HOLIDAY", "Long Stay",
"V", "Leisure",
"UNKNOWN", "Unknown",
"Other")</f>
        <v>Medium Stay</v>
      </c>
    </row>
    <row r="1940" spans="1:11" x14ac:dyDescent="0.3">
      <c r="A1940" t="s">
        <v>5417</v>
      </c>
      <c r="B1940" t="s">
        <v>154</v>
      </c>
      <c r="C1940" t="s">
        <v>38</v>
      </c>
      <c r="D1940" t="s">
        <v>230</v>
      </c>
      <c r="E1940" t="s">
        <v>458</v>
      </c>
      <c r="F1940" t="s">
        <v>5418</v>
      </c>
      <c r="G1940" t="s">
        <v>158</v>
      </c>
      <c r="H1940" t="s">
        <v>260</v>
      </c>
      <c r="I1940">
        <f t="shared" si="31"/>
        <v>2</v>
      </c>
      <c r="J1940" t="s">
        <v>44</v>
      </c>
      <c r="K1940" t="str" cm="1">
        <f t="array" ref="K1940">_xlfn.SWITCH(TRIM(UPPER(J1940)),
"BUSINESS", "Short Stay",
"CONFERENCE", "Medium Stay",
"VACATION", "Iong Stay",
"HOLIDAY", "Long Stay",
"V", "Leisure",
"UNKNOWN", "Unknown",
"Other")</f>
        <v>Other</v>
      </c>
    </row>
    <row r="1941" spans="1:11" x14ac:dyDescent="0.3">
      <c r="A1941" t="s">
        <v>5419</v>
      </c>
      <c r="B1941" t="s">
        <v>3244</v>
      </c>
      <c r="C1941" t="s">
        <v>61</v>
      </c>
      <c r="D1941" t="s">
        <v>3804</v>
      </c>
      <c r="E1941" t="s">
        <v>77</v>
      </c>
      <c r="F1941" t="s">
        <v>5420</v>
      </c>
      <c r="G1941" t="s">
        <v>480</v>
      </c>
      <c r="H1941" t="s">
        <v>138</v>
      </c>
      <c r="I1941">
        <f t="shared" si="31"/>
        <v>4</v>
      </c>
      <c r="J1941" t="s">
        <v>27</v>
      </c>
      <c r="K1941" t="str" cm="1">
        <f t="array" ref="K1941">_xlfn.SWITCH(TRIM(UPPER(J1941)),
"BUSINESS", "Short Stay",
"CONFERENCE", "Medium Stay",
"VACATION", "Iong Stay",
"HOLIDAY", "Long Stay",
"V", "Leisure",
"UNKNOWN", "Unknown",
"Other")</f>
        <v>Medium Stay</v>
      </c>
    </row>
    <row r="1942" spans="1:11" x14ac:dyDescent="0.3">
      <c r="A1942" t="s">
        <v>5421</v>
      </c>
      <c r="B1942" t="s">
        <v>541</v>
      </c>
      <c r="C1942" t="s">
        <v>75</v>
      </c>
      <c r="D1942" t="s">
        <v>5422</v>
      </c>
      <c r="E1942" t="s">
        <v>14</v>
      </c>
      <c r="F1942" t="s">
        <v>5423</v>
      </c>
      <c r="G1942" t="s">
        <v>17</v>
      </c>
      <c r="H1942" t="s">
        <v>753</v>
      </c>
      <c r="I1942">
        <f t="shared" si="31"/>
        <v>2</v>
      </c>
      <c r="J1942" t="s">
        <v>18</v>
      </c>
      <c r="K1942" t="str" cm="1">
        <f t="array" ref="K1942">_xlfn.SWITCH(TRIM(UPPER(J1942)),
"BUSINESS", "Short Stay",
"CONFERENCE", "Medium Stay",
"VACATION", "Iong Stay",
"HOLIDAY", "Long Stay",
"V", "Leisure",
"UNKNOWN", "Unknown",
"Other")</f>
        <v>Short Stay</v>
      </c>
    </row>
    <row r="1943" spans="1:11" x14ac:dyDescent="0.3">
      <c r="A1943" t="s">
        <v>5424</v>
      </c>
      <c r="B1943" t="s">
        <v>285</v>
      </c>
      <c r="C1943" t="s">
        <v>21</v>
      </c>
      <c r="D1943" t="s">
        <v>5425</v>
      </c>
      <c r="E1943" t="s">
        <v>77</v>
      </c>
      <c r="F1943" t="s">
        <v>5426</v>
      </c>
      <c r="G1943" t="s">
        <v>288</v>
      </c>
      <c r="H1943" t="s">
        <v>2094</v>
      </c>
      <c r="I1943">
        <f t="shared" si="31"/>
        <v>2</v>
      </c>
      <c r="J1943" t="s">
        <v>121</v>
      </c>
      <c r="K1943" t="str" cm="1">
        <f t="array" ref="K1943">_xlfn.SWITCH(TRIM(UPPER(J1943)),
"BUSINESS", "Short Stay",
"CONFERENCE", "Medium Stay",
"VACATION", "Iong Stay",
"HOLIDAY", "Long Stay",
"V", "Leisure",
"UNKNOWN", "Unknown",
"Other")</f>
        <v>Iong Stay</v>
      </c>
    </row>
    <row r="1944" spans="1:11" x14ac:dyDescent="0.3">
      <c r="A1944" t="s">
        <v>5427</v>
      </c>
      <c r="B1944" t="s">
        <v>2423</v>
      </c>
      <c r="C1944" t="s">
        <v>38</v>
      </c>
      <c r="D1944" t="s">
        <v>2988</v>
      </c>
      <c r="E1944" t="s">
        <v>201</v>
      </c>
      <c r="F1944" t="s">
        <v>5428</v>
      </c>
      <c r="G1944" t="s">
        <v>621</v>
      </c>
      <c r="H1944" t="s">
        <v>826</v>
      </c>
      <c r="I1944">
        <f t="shared" si="31"/>
        <v>3</v>
      </c>
      <c r="J1944" t="s">
        <v>121</v>
      </c>
      <c r="K1944" t="str" cm="1">
        <f t="array" ref="K1944">_xlfn.SWITCH(TRIM(UPPER(J1944)),
"BUSINESS", "Short Stay",
"CONFERENCE", "Medium Stay",
"VACATION", "Iong Stay",
"HOLIDAY", "Long Stay",
"V", "Leisure",
"UNKNOWN", "Unknown",
"Other")</f>
        <v>Iong Stay</v>
      </c>
    </row>
    <row r="1945" spans="1:11" x14ac:dyDescent="0.3">
      <c r="A1945" t="s">
        <v>5429</v>
      </c>
      <c r="B1945" t="s">
        <v>2395</v>
      </c>
      <c r="C1945" t="s">
        <v>75</v>
      </c>
      <c r="D1945" t="s">
        <v>5430</v>
      </c>
      <c r="E1945" t="s">
        <v>77</v>
      </c>
      <c r="F1945" t="s">
        <v>5431</v>
      </c>
      <c r="G1945" t="s">
        <v>2398</v>
      </c>
      <c r="H1945" t="s">
        <v>744</v>
      </c>
      <c r="I1945">
        <f t="shared" si="31"/>
        <v>4</v>
      </c>
      <c r="J1945" t="s">
        <v>18</v>
      </c>
      <c r="K1945" t="str" cm="1">
        <f t="array" ref="K1945">_xlfn.SWITCH(TRIM(UPPER(J1945)),
"BUSINESS", "Short Stay",
"CONFERENCE", "Medium Stay",
"VACATION", "Iong Stay",
"HOLIDAY", "Long Stay",
"V", "Leisure",
"UNKNOWN", "Unknown",
"Other")</f>
        <v>Short Stay</v>
      </c>
    </row>
    <row r="1946" spans="1:11" x14ac:dyDescent="0.3">
      <c r="A1946" t="s">
        <v>5432</v>
      </c>
      <c r="B1946" t="s">
        <v>2063</v>
      </c>
      <c r="C1946" t="s">
        <v>12</v>
      </c>
      <c r="D1946" t="s">
        <v>2919</v>
      </c>
      <c r="E1946" t="s">
        <v>149</v>
      </c>
      <c r="F1946" t="s">
        <v>5433</v>
      </c>
      <c r="G1946" t="s">
        <v>1243</v>
      </c>
      <c r="H1946" t="s">
        <v>2767</v>
      </c>
      <c r="I1946">
        <f t="shared" si="31"/>
        <v>2</v>
      </c>
      <c r="J1946" t="s">
        <v>27</v>
      </c>
      <c r="K1946" t="str" cm="1">
        <f t="array" ref="K1946">_xlfn.SWITCH(TRIM(UPPER(J1946)),
"BUSINESS", "Short Stay",
"CONFERENCE", "Medium Stay",
"VACATION", "Iong Stay",
"HOLIDAY", "Long Stay",
"V", "Leisure",
"UNKNOWN", "Unknown",
"Other")</f>
        <v>Medium Stay</v>
      </c>
    </row>
    <row r="1947" spans="1:11" x14ac:dyDescent="0.3">
      <c r="A1947" t="s">
        <v>5434</v>
      </c>
      <c r="B1947" t="s">
        <v>1912</v>
      </c>
      <c r="C1947" t="s">
        <v>97</v>
      </c>
      <c r="D1947" t="s">
        <v>5435</v>
      </c>
      <c r="E1947" t="s">
        <v>201</v>
      </c>
      <c r="F1947" t="s">
        <v>5436</v>
      </c>
      <c r="G1947" t="s">
        <v>363</v>
      </c>
      <c r="H1947" t="s">
        <v>1833</v>
      </c>
      <c r="I1947">
        <f t="shared" si="31"/>
        <v>4</v>
      </c>
      <c r="J1947" t="s">
        <v>18</v>
      </c>
      <c r="K1947" t="str" cm="1">
        <f t="array" ref="K1947">_xlfn.SWITCH(TRIM(UPPER(J1947)),
"BUSINESS", "Short Stay",
"CONFERENCE", "Medium Stay",
"VACATION", "Iong Stay",
"HOLIDAY", "Long Stay",
"V", "Leisure",
"UNKNOWN", "Unknown",
"Other")</f>
        <v>Short Stay</v>
      </c>
    </row>
    <row r="1948" spans="1:11" x14ac:dyDescent="0.3">
      <c r="A1948" t="s">
        <v>5437</v>
      </c>
      <c r="B1948" t="s">
        <v>1912</v>
      </c>
      <c r="C1948" t="s">
        <v>12</v>
      </c>
      <c r="D1948" t="s">
        <v>348</v>
      </c>
      <c r="E1948" t="s">
        <v>85</v>
      </c>
      <c r="F1948" t="s">
        <v>5438</v>
      </c>
      <c r="G1948" t="s">
        <v>363</v>
      </c>
      <c r="H1948" t="s">
        <v>989</v>
      </c>
      <c r="I1948">
        <f t="shared" si="31"/>
        <v>1</v>
      </c>
      <c r="J1948" t="s">
        <v>44</v>
      </c>
      <c r="K1948" t="str" cm="1">
        <f t="array" ref="K1948">_xlfn.SWITCH(TRIM(UPPER(J1948)),
"BUSINESS", "Short Stay",
"CONFERENCE", "Medium Stay",
"VACATION", "Iong Stay",
"HOLIDAY", "Long Stay",
"V", "Leisure",
"UNKNOWN", "Unknown",
"Other")</f>
        <v>Other</v>
      </c>
    </row>
    <row r="1949" spans="1:11" x14ac:dyDescent="0.3">
      <c r="A1949" t="s">
        <v>5439</v>
      </c>
      <c r="B1949" t="s">
        <v>1032</v>
      </c>
      <c r="C1949" t="s">
        <v>38</v>
      </c>
      <c r="D1949" t="s">
        <v>581</v>
      </c>
      <c r="E1949" t="s">
        <v>156</v>
      </c>
      <c r="F1949" t="s">
        <v>5440</v>
      </c>
      <c r="G1949" t="s">
        <v>1035</v>
      </c>
      <c r="H1949" t="s">
        <v>328</v>
      </c>
      <c r="I1949">
        <f t="shared" si="31"/>
        <v>4</v>
      </c>
      <c r="J1949" t="s">
        <v>27</v>
      </c>
      <c r="K1949" t="str" cm="1">
        <f t="array" ref="K1949">_xlfn.SWITCH(TRIM(UPPER(J1949)),
"BUSINESS", "Short Stay",
"CONFERENCE", "Medium Stay",
"VACATION", "Iong Stay",
"HOLIDAY", "Long Stay",
"V", "Leisure",
"UNKNOWN", "Unknown",
"Other")</f>
        <v>Medium Stay</v>
      </c>
    </row>
    <row r="1950" spans="1:11" x14ac:dyDescent="0.3">
      <c r="A1950" t="s">
        <v>5441</v>
      </c>
      <c r="B1950" t="s">
        <v>874</v>
      </c>
      <c r="C1950" t="s">
        <v>30</v>
      </c>
      <c r="D1950" t="s">
        <v>2966</v>
      </c>
      <c r="E1950" t="s">
        <v>40</v>
      </c>
      <c r="F1950" t="s">
        <v>5442</v>
      </c>
      <c r="G1950" t="s">
        <v>378</v>
      </c>
      <c r="H1950" t="s">
        <v>356</v>
      </c>
      <c r="I1950">
        <f t="shared" si="31"/>
        <v>3</v>
      </c>
      <c r="J1950" t="s">
        <v>44</v>
      </c>
      <c r="K1950" t="str" cm="1">
        <f t="array" ref="K1950">_xlfn.SWITCH(TRIM(UPPER(J1950)),
"BUSINESS", "Short Stay",
"CONFERENCE", "Medium Stay",
"VACATION", "Iong Stay",
"HOLIDAY", "Long Stay",
"V", "Leisure",
"UNKNOWN", "Unknown",
"Other")</f>
        <v>Other</v>
      </c>
    </row>
    <row r="1951" spans="1:11" x14ac:dyDescent="0.3">
      <c r="A1951" t="s">
        <v>5443</v>
      </c>
      <c r="B1951" t="s">
        <v>2935</v>
      </c>
      <c r="C1951" t="s">
        <v>38</v>
      </c>
      <c r="D1951" t="s">
        <v>2681</v>
      </c>
      <c r="E1951" t="s">
        <v>48</v>
      </c>
      <c r="F1951" t="s">
        <v>5444</v>
      </c>
      <c r="G1951" t="s">
        <v>2840</v>
      </c>
      <c r="H1951" t="s">
        <v>983</v>
      </c>
      <c r="I1951">
        <f t="shared" si="31"/>
        <v>2</v>
      </c>
      <c r="J1951" t="s">
        <v>18</v>
      </c>
      <c r="K1951" t="str" cm="1">
        <f t="array" ref="K1951">_xlfn.SWITCH(TRIM(UPPER(J1951)),
"BUSINESS", "Short Stay",
"CONFERENCE", "Medium Stay",
"VACATION", "Iong Stay",
"HOLIDAY", "Long Stay",
"V", "Leisure",
"UNKNOWN", "Unknown",
"Other")</f>
        <v>Short Stay</v>
      </c>
    </row>
    <row r="1952" spans="1:11" x14ac:dyDescent="0.3">
      <c r="A1952" t="s">
        <v>5445</v>
      </c>
      <c r="B1952" t="s">
        <v>2363</v>
      </c>
      <c r="C1952" t="s">
        <v>61</v>
      </c>
      <c r="D1952" t="s">
        <v>2031</v>
      </c>
      <c r="E1952" t="s">
        <v>430</v>
      </c>
      <c r="F1952" t="s">
        <v>5446</v>
      </c>
      <c r="G1952" t="s">
        <v>357</v>
      </c>
      <c r="H1952" t="s">
        <v>706</v>
      </c>
      <c r="I1952">
        <f t="shared" si="31"/>
        <v>5</v>
      </c>
      <c r="J1952" t="s">
        <v>18</v>
      </c>
      <c r="K1952" t="str" cm="1">
        <f t="array" ref="K1952">_xlfn.SWITCH(TRIM(UPPER(J1952)),
"BUSINESS", "Short Stay",
"CONFERENCE", "Medium Stay",
"VACATION", "Iong Stay",
"HOLIDAY", "Long Stay",
"V", "Leisure",
"UNKNOWN", "Unknown",
"Other")</f>
        <v>Short Stay</v>
      </c>
    </row>
    <row r="1953" spans="1:11" x14ac:dyDescent="0.3">
      <c r="A1953" t="s">
        <v>5447</v>
      </c>
      <c r="B1953" t="s">
        <v>1997</v>
      </c>
      <c r="C1953" t="s">
        <v>97</v>
      </c>
      <c r="D1953" t="s">
        <v>3722</v>
      </c>
      <c r="E1953" t="s">
        <v>69</v>
      </c>
      <c r="F1953" t="s">
        <v>5448</v>
      </c>
      <c r="G1953" t="s">
        <v>1199</v>
      </c>
      <c r="H1953" t="s">
        <v>178</v>
      </c>
      <c r="I1953">
        <f t="shared" si="31"/>
        <v>4</v>
      </c>
      <c r="J1953" t="s">
        <v>44</v>
      </c>
      <c r="K1953" t="str" cm="1">
        <f t="array" ref="K1953">_xlfn.SWITCH(TRIM(UPPER(J1953)),
"BUSINESS", "Short Stay",
"CONFERENCE", "Medium Stay",
"VACATION", "Iong Stay",
"HOLIDAY", "Long Stay",
"V", "Leisure",
"UNKNOWN", "Unknown",
"Other")</f>
        <v>Other</v>
      </c>
    </row>
    <row r="1954" spans="1:11" x14ac:dyDescent="0.3">
      <c r="A1954" t="s">
        <v>5449</v>
      </c>
      <c r="B1954" t="s">
        <v>335</v>
      </c>
      <c r="C1954" t="s">
        <v>174</v>
      </c>
      <c r="D1954" t="s">
        <v>1981</v>
      </c>
      <c r="E1954" t="s">
        <v>63</v>
      </c>
      <c r="F1954" t="s">
        <v>5450</v>
      </c>
      <c r="G1954" t="s">
        <v>338</v>
      </c>
      <c r="H1954" t="s">
        <v>34</v>
      </c>
      <c r="I1954">
        <f t="shared" si="31"/>
        <v>1</v>
      </c>
      <c r="J1954" t="s">
        <v>121</v>
      </c>
      <c r="K1954" t="str" cm="1">
        <f t="array" ref="K1954">_xlfn.SWITCH(TRIM(UPPER(J1954)),
"BUSINESS", "Short Stay",
"CONFERENCE", "Medium Stay",
"VACATION", "Iong Stay",
"HOLIDAY", "Long Stay",
"V", "Leisure",
"UNKNOWN", "Unknown",
"Other")</f>
        <v>Iong Stay</v>
      </c>
    </row>
    <row r="1955" spans="1:11" x14ac:dyDescent="0.3">
      <c r="A1955" t="s">
        <v>5451</v>
      </c>
      <c r="B1955" t="s">
        <v>406</v>
      </c>
      <c r="C1955" t="s">
        <v>54</v>
      </c>
      <c r="D1955" t="s">
        <v>2408</v>
      </c>
      <c r="E1955" t="s">
        <v>77</v>
      </c>
      <c r="F1955" t="s">
        <v>5452</v>
      </c>
      <c r="G1955" t="s">
        <v>409</v>
      </c>
      <c r="H1955" t="s">
        <v>501</v>
      </c>
      <c r="I1955">
        <f t="shared" si="31"/>
        <v>3</v>
      </c>
      <c r="J1955" t="s">
        <v>27</v>
      </c>
      <c r="K1955" t="str" cm="1">
        <f t="array" ref="K1955">_xlfn.SWITCH(TRIM(UPPER(J1955)),
"BUSINESS", "Short Stay",
"CONFERENCE", "Medium Stay",
"VACATION", "Iong Stay",
"HOLIDAY", "Long Stay",
"V", "Leisure",
"UNKNOWN", "Unknown",
"Other")</f>
        <v>Medium Stay</v>
      </c>
    </row>
    <row r="1956" spans="1:11" x14ac:dyDescent="0.3">
      <c r="A1956" t="s">
        <v>5453</v>
      </c>
      <c r="B1956" t="s">
        <v>1510</v>
      </c>
      <c r="C1956" t="s">
        <v>54</v>
      </c>
      <c r="D1956" t="s">
        <v>5454</v>
      </c>
      <c r="E1956" t="s">
        <v>32</v>
      </c>
      <c r="F1956" t="s">
        <v>4168</v>
      </c>
      <c r="G1956" t="s">
        <v>101</v>
      </c>
      <c r="H1956" t="s">
        <v>958</v>
      </c>
      <c r="I1956">
        <f t="shared" si="31"/>
        <v>5</v>
      </c>
      <c r="J1956" t="s">
        <v>27</v>
      </c>
      <c r="K1956" t="str" cm="1">
        <f t="array" ref="K1956">_xlfn.SWITCH(TRIM(UPPER(J1956)),
"BUSINESS", "Short Stay",
"CONFERENCE", "Medium Stay",
"VACATION", "Iong Stay",
"HOLIDAY", "Long Stay",
"V", "Leisure",
"UNKNOWN", "Unknown",
"Other")</f>
        <v>Medium Stay</v>
      </c>
    </row>
    <row r="1957" spans="1:11" x14ac:dyDescent="0.3">
      <c r="A1957" t="s">
        <v>5455</v>
      </c>
      <c r="B1957" t="s">
        <v>879</v>
      </c>
      <c r="C1957" t="s">
        <v>30</v>
      </c>
      <c r="D1957" t="s">
        <v>2595</v>
      </c>
      <c r="E1957" t="s">
        <v>40</v>
      </c>
      <c r="F1957" t="s">
        <v>5456</v>
      </c>
      <c r="G1957" t="s">
        <v>179</v>
      </c>
      <c r="H1957" t="s">
        <v>151</v>
      </c>
      <c r="I1957">
        <f t="shared" si="31"/>
        <v>1</v>
      </c>
      <c r="J1957" t="s">
        <v>121</v>
      </c>
      <c r="K1957" t="str" cm="1">
        <f t="array" ref="K1957">_xlfn.SWITCH(TRIM(UPPER(J1957)),
"BUSINESS", "Short Stay",
"CONFERENCE", "Medium Stay",
"VACATION", "Iong Stay",
"HOLIDAY", "Long Stay",
"V", "Leisure",
"UNKNOWN", "Unknown",
"Other")</f>
        <v>Iong Stay</v>
      </c>
    </row>
    <row r="1958" spans="1:11" x14ac:dyDescent="0.3">
      <c r="A1958" t="s">
        <v>5457</v>
      </c>
      <c r="B1958" t="s">
        <v>1156</v>
      </c>
      <c r="C1958" t="s">
        <v>61</v>
      </c>
      <c r="D1958" t="s">
        <v>1742</v>
      </c>
      <c r="E1958" t="s">
        <v>40</v>
      </c>
      <c r="F1958" t="s">
        <v>5458</v>
      </c>
      <c r="G1958" t="s">
        <v>1159</v>
      </c>
      <c r="H1958" t="s">
        <v>17</v>
      </c>
      <c r="I1958">
        <f t="shared" si="31"/>
        <v>5</v>
      </c>
      <c r="J1958" t="s">
        <v>18</v>
      </c>
      <c r="K1958" t="str" cm="1">
        <f t="array" ref="K1958">_xlfn.SWITCH(TRIM(UPPER(J1958)),
"BUSINESS", "Short Stay",
"CONFERENCE", "Medium Stay",
"VACATION", "Iong Stay",
"HOLIDAY", "Long Stay",
"V", "Leisure",
"UNKNOWN", "Unknown",
"Other")</f>
        <v>Short Stay</v>
      </c>
    </row>
    <row r="1959" spans="1:11" x14ac:dyDescent="0.3">
      <c r="A1959" t="s">
        <v>5459</v>
      </c>
      <c r="B1959" t="s">
        <v>526</v>
      </c>
      <c r="C1959" t="s">
        <v>21</v>
      </c>
      <c r="D1959" t="s">
        <v>2454</v>
      </c>
      <c r="E1959" t="s">
        <v>149</v>
      </c>
      <c r="F1959" t="s">
        <v>5460</v>
      </c>
      <c r="G1959" t="s">
        <v>345</v>
      </c>
      <c r="H1959" t="s">
        <v>250</v>
      </c>
      <c r="I1959">
        <f t="shared" si="31"/>
        <v>2</v>
      </c>
      <c r="J1959" t="s">
        <v>27</v>
      </c>
      <c r="K1959" t="str" cm="1">
        <f t="array" ref="K1959">_xlfn.SWITCH(TRIM(UPPER(J1959)),
"BUSINESS", "Short Stay",
"CONFERENCE", "Medium Stay",
"VACATION", "Iong Stay",
"HOLIDAY", "Long Stay",
"V", "Leisure",
"UNKNOWN", "Unknown",
"Other")</f>
        <v>Medium Stay</v>
      </c>
    </row>
    <row r="1960" spans="1:11" x14ac:dyDescent="0.3">
      <c r="A1960" t="s">
        <v>5461</v>
      </c>
      <c r="B1960" t="s">
        <v>2219</v>
      </c>
      <c r="C1960" t="s">
        <v>21</v>
      </c>
      <c r="D1960" t="s">
        <v>1573</v>
      </c>
      <c r="E1960" t="s">
        <v>117</v>
      </c>
      <c r="F1960" t="s">
        <v>5462</v>
      </c>
      <c r="G1960" t="s">
        <v>1085</v>
      </c>
      <c r="H1960" t="s">
        <v>1862</v>
      </c>
      <c r="I1960">
        <f t="shared" si="31"/>
        <v>3</v>
      </c>
      <c r="J1960" t="s">
        <v>44</v>
      </c>
      <c r="K1960" t="str" cm="1">
        <f t="array" ref="K1960">_xlfn.SWITCH(TRIM(UPPER(J1960)),
"BUSINESS", "Short Stay",
"CONFERENCE", "Medium Stay",
"VACATION", "Iong Stay",
"HOLIDAY", "Long Stay",
"V", "Leisure",
"UNKNOWN", "Unknown",
"Other")</f>
        <v>Other</v>
      </c>
    </row>
    <row r="1961" spans="1:11" x14ac:dyDescent="0.3">
      <c r="A1961" t="s">
        <v>5463</v>
      </c>
      <c r="B1961" t="s">
        <v>235</v>
      </c>
      <c r="C1961" t="s">
        <v>174</v>
      </c>
      <c r="D1961" t="s">
        <v>939</v>
      </c>
      <c r="E1961" t="s">
        <v>14</v>
      </c>
      <c r="F1961" t="s">
        <v>5464</v>
      </c>
      <c r="G1961" t="s">
        <v>238</v>
      </c>
      <c r="H1961" t="s">
        <v>404</v>
      </c>
      <c r="I1961">
        <f t="shared" si="31"/>
        <v>2</v>
      </c>
      <c r="J1961" t="s">
        <v>44</v>
      </c>
      <c r="K1961" t="str" cm="1">
        <f t="array" ref="K1961">_xlfn.SWITCH(TRIM(UPPER(J1961)),
"BUSINESS", "Short Stay",
"CONFERENCE", "Medium Stay",
"VACATION", "Iong Stay",
"HOLIDAY", "Long Stay",
"V", "Leisure",
"UNKNOWN", "Unknown",
"Other")</f>
        <v>Other</v>
      </c>
    </row>
    <row r="1962" spans="1:11" x14ac:dyDescent="0.3">
      <c r="A1962" t="s">
        <v>5465</v>
      </c>
      <c r="B1962" t="s">
        <v>3355</v>
      </c>
      <c r="C1962" t="s">
        <v>12</v>
      </c>
      <c r="D1962" t="s">
        <v>2988</v>
      </c>
      <c r="E1962" t="s">
        <v>458</v>
      </c>
      <c r="F1962" t="s">
        <v>5466</v>
      </c>
      <c r="G1962" t="s">
        <v>26</v>
      </c>
      <c r="H1962" t="s">
        <v>392</v>
      </c>
      <c r="I1962">
        <f t="shared" si="31"/>
        <v>3</v>
      </c>
      <c r="J1962" t="s">
        <v>121</v>
      </c>
      <c r="K1962" t="str" cm="1">
        <f t="array" ref="K1962">_xlfn.SWITCH(TRIM(UPPER(J1962)),
"BUSINESS", "Short Stay",
"CONFERENCE", "Medium Stay",
"VACATION", "Iong Stay",
"HOLIDAY", "Long Stay",
"V", "Leisure",
"UNKNOWN", "Unknown",
"Other")</f>
        <v>Iong Stay</v>
      </c>
    </row>
    <row r="1963" spans="1:11" x14ac:dyDescent="0.3">
      <c r="A1963" t="s">
        <v>5467</v>
      </c>
      <c r="B1963" t="s">
        <v>440</v>
      </c>
      <c r="C1963" t="s">
        <v>75</v>
      </c>
      <c r="D1963" t="s">
        <v>1430</v>
      </c>
      <c r="E1963" t="s">
        <v>40</v>
      </c>
      <c r="F1963" t="s">
        <v>5468</v>
      </c>
      <c r="G1963" t="s">
        <v>94</v>
      </c>
      <c r="H1963" t="s">
        <v>730</v>
      </c>
      <c r="I1963">
        <f t="shared" si="31"/>
        <v>1</v>
      </c>
      <c r="J1963" t="s">
        <v>18</v>
      </c>
      <c r="K1963" t="str" cm="1">
        <f t="array" ref="K1963">_xlfn.SWITCH(TRIM(UPPER(J1963)),
"BUSINESS", "Short Stay",
"CONFERENCE", "Medium Stay",
"VACATION", "Iong Stay",
"HOLIDAY", "Long Stay",
"V", "Leisure",
"UNKNOWN", "Unknown",
"Other")</f>
        <v>Short Stay</v>
      </c>
    </row>
    <row r="1964" spans="1:11" x14ac:dyDescent="0.3">
      <c r="A1964" t="s">
        <v>5469</v>
      </c>
      <c r="B1964" t="s">
        <v>1714</v>
      </c>
      <c r="C1964" t="s">
        <v>30</v>
      </c>
      <c r="D1964" t="s">
        <v>5470</v>
      </c>
      <c r="E1964" t="s">
        <v>476</v>
      </c>
      <c r="F1964" t="s">
        <v>5471</v>
      </c>
      <c r="G1964" t="s">
        <v>58</v>
      </c>
      <c r="H1964" t="s">
        <v>600</v>
      </c>
      <c r="I1964">
        <f t="shared" si="31"/>
        <v>2</v>
      </c>
      <c r="J1964" t="s">
        <v>121</v>
      </c>
      <c r="K1964" t="str" cm="1">
        <f t="array" ref="K1964">_xlfn.SWITCH(TRIM(UPPER(J1964)),
"BUSINESS", "Short Stay",
"CONFERENCE", "Medium Stay",
"VACATION", "Iong Stay",
"HOLIDAY", "Long Stay",
"V", "Leisure",
"UNKNOWN", "Unknown",
"Other")</f>
        <v>Iong Stay</v>
      </c>
    </row>
    <row r="1965" spans="1:11" x14ac:dyDescent="0.3">
      <c r="A1965" t="s">
        <v>5472</v>
      </c>
      <c r="B1965" t="s">
        <v>2935</v>
      </c>
      <c r="C1965" t="s">
        <v>12</v>
      </c>
      <c r="D1965" t="s">
        <v>2070</v>
      </c>
      <c r="E1965" t="s">
        <v>48</v>
      </c>
      <c r="F1965" t="s">
        <v>5473</v>
      </c>
      <c r="G1965" t="s">
        <v>2840</v>
      </c>
      <c r="H1965" t="s">
        <v>1208</v>
      </c>
      <c r="I1965">
        <f t="shared" si="31"/>
        <v>1</v>
      </c>
      <c r="J1965" t="s">
        <v>27</v>
      </c>
      <c r="K1965" t="str" cm="1">
        <f t="array" ref="K1965">_xlfn.SWITCH(TRIM(UPPER(J1965)),
"BUSINESS", "Short Stay",
"CONFERENCE", "Medium Stay",
"VACATION", "Iong Stay",
"HOLIDAY", "Long Stay",
"V", "Leisure",
"UNKNOWN", "Unknown",
"Other")</f>
        <v>Medium Stay</v>
      </c>
    </row>
    <row r="1966" spans="1:11" x14ac:dyDescent="0.3">
      <c r="A1966" t="s">
        <v>5474</v>
      </c>
      <c r="B1966" t="s">
        <v>401</v>
      </c>
      <c r="C1966" t="s">
        <v>54</v>
      </c>
      <c r="D1966" t="s">
        <v>542</v>
      </c>
      <c r="E1966" t="s">
        <v>40</v>
      </c>
      <c r="F1966" t="s">
        <v>5475</v>
      </c>
      <c r="G1966" t="s">
        <v>35</v>
      </c>
      <c r="H1966" t="s">
        <v>404</v>
      </c>
      <c r="I1966">
        <f t="shared" si="31"/>
        <v>5</v>
      </c>
      <c r="J1966" t="s">
        <v>27</v>
      </c>
      <c r="K1966" t="str" cm="1">
        <f t="array" ref="K1966">_xlfn.SWITCH(TRIM(UPPER(J1966)),
"BUSINESS", "Short Stay",
"CONFERENCE", "Medium Stay",
"VACATION", "Iong Stay",
"HOLIDAY", "Long Stay",
"V", "Leisure",
"UNKNOWN", "Unknown",
"Other")</f>
        <v>Medium Stay</v>
      </c>
    </row>
    <row r="1967" spans="1:11" x14ac:dyDescent="0.3">
      <c r="A1967" t="s">
        <v>5476</v>
      </c>
      <c r="B1967" t="s">
        <v>2328</v>
      </c>
      <c r="C1967" t="s">
        <v>174</v>
      </c>
      <c r="D1967" t="s">
        <v>5477</v>
      </c>
      <c r="E1967" t="s">
        <v>458</v>
      </c>
      <c r="F1967" t="s">
        <v>5478</v>
      </c>
      <c r="G1967" t="s">
        <v>533</v>
      </c>
      <c r="H1967" t="s">
        <v>635</v>
      </c>
      <c r="I1967">
        <f t="shared" si="31"/>
        <v>2</v>
      </c>
      <c r="J1967" t="s">
        <v>18</v>
      </c>
      <c r="K1967" t="str" cm="1">
        <f t="array" ref="K1967">_xlfn.SWITCH(TRIM(UPPER(J1967)),
"BUSINESS", "Short Stay",
"CONFERENCE", "Medium Stay",
"VACATION", "Iong Stay",
"HOLIDAY", "Long Stay",
"V", "Leisure",
"UNKNOWN", "Unknown",
"Other")</f>
        <v>Short Stay</v>
      </c>
    </row>
    <row r="1968" spans="1:11" x14ac:dyDescent="0.3">
      <c r="A1968" t="s">
        <v>5479</v>
      </c>
      <c r="B1968" t="s">
        <v>863</v>
      </c>
      <c r="C1968" t="s">
        <v>12</v>
      </c>
      <c r="D1968" t="s">
        <v>965</v>
      </c>
      <c r="E1968" t="s">
        <v>77</v>
      </c>
      <c r="F1968" t="s">
        <v>5480</v>
      </c>
      <c r="G1968" t="s">
        <v>548</v>
      </c>
      <c r="H1968" t="s">
        <v>821</v>
      </c>
      <c r="I1968">
        <f t="shared" si="31"/>
        <v>2</v>
      </c>
      <c r="J1968" t="s">
        <v>18</v>
      </c>
      <c r="K1968" t="str" cm="1">
        <f t="array" ref="K1968">_xlfn.SWITCH(TRIM(UPPER(J1968)),
"BUSINESS", "Short Stay",
"CONFERENCE", "Medium Stay",
"VACATION", "Iong Stay",
"HOLIDAY", "Long Stay",
"V", "Leisure",
"UNKNOWN", "Unknown",
"Other")</f>
        <v>Short Stay</v>
      </c>
    </row>
    <row r="1969" spans="1:11" x14ac:dyDescent="0.3">
      <c r="A1969" t="s">
        <v>5481</v>
      </c>
      <c r="B1969" t="s">
        <v>1302</v>
      </c>
      <c r="C1969" t="s">
        <v>75</v>
      </c>
      <c r="D1969" t="s">
        <v>5482</v>
      </c>
      <c r="E1969" t="s">
        <v>14</v>
      </c>
      <c r="F1969" t="s">
        <v>5483</v>
      </c>
      <c r="G1969" t="s">
        <v>1304</v>
      </c>
      <c r="H1969" t="s">
        <v>178</v>
      </c>
      <c r="I1969">
        <f t="shared" si="31"/>
        <v>2</v>
      </c>
      <c r="J1969" t="s">
        <v>121</v>
      </c>
      <c r="K1969" t="str" cm="1">
        <f t="array" ref="K1969">_xlfn.SWITCH(TRIM(UPPER(J1969)),
"BUSINESS", "Short Stay",
"CONFERENCE", "Medium Stay",
"VACATION", "Iong Stay",
"HOLIDAY", "Long Stay",
"V", "Leisure",
"UNKNOWN", "Unknown",
"Other")</f>
        <v>Iong Stay</v>
      </c>
    </row>
    <row r="1970" spans="1:11" x14ac:dyDescent="0.3">
      <c r="A1970" t="s">
        <v>5484</v>
      </c>
      <c r="B1970" t="s">
        <v>2935</v>
      </c>
      <c r="C1970" t="s">
        <v>174</v>
      </c>
      <c r="D1970" t="s">
        <v>1672</v>
      </c>
      <c r="E1970" t="s">
        <v>458</v>
      </c>
      <c r="F1970" t="s">
        <v>5485</v>
      </c>
      <c r="G1970" t="s">
        <v>2840</v>
      </c>
      <c r="H1970" t="s">
        <v>983</v>
      </c>
      <c r="I1970">
        <f t="shared" si="31"/>
        <v>2</v>
      </c>
      <c r="J1970" t="s">
        <v>121</v>
      </c>
      <c r="K1970" t="str" cm="1">
        <f t="array" ref="K1970">_xlfn.SWITCH(TRIM(UPPER(J1970)),
"BUSINESS", "Short Stay",
"CONFERENCE", "Medium Stay",
"VACATION", "Iong Stay",
"HOLIDAY", "Long Stay",
"V", "Leisure",
"UNKNOWN", "Unknown",
"Other")</f>
        <v>Iong Stay</v>
      </c>
    </row>
    <row r="1971" spans="1:11" x14ac:dyDescent="0.3">
      <c r="A1971" t="s">
        <v>5486</v>
      </c>
      <c r="B1971" t="s">
        <v>1358</v>
      </c>
      <c r="C1971" t="s">
        <v>30</v>
      </c>
      <c r="D1971" t="s">
        <v>3615</v>
      </c>
      <c r="E1971" t="s">
        <v>546</v>
      </c>
      <c r="F1971" t="s">
        <v>5487</v>
      </c>
      <c r="G1971" t="s">
        <v>924</v>
      </c>
      <c r="H1971" t="s">
        <v>663</v>
      </c>
      <c r="I1971">
        <f t="shared" si="31"/>
        <v>1</v>
      </c>
      <c r="J1971" t="s">
        <v>18</v>
      </c>
      <c r="K1971" t="str" cm="1">
        <f t="array" ref="K1971">_xlfn.SWITCH(TRIM(UPPER(J1971)),
"BUSINESS", "Short Stay",
"CONFERENCE", "Medium Stay",
"VACATION", "Iong Stay",
"HOLIDAY", "Long Stay",
"V", "Leisure",
"UNKNOWN", "Unknown",
"Other")</f>
        <v>Short Stay</v>
      </c>
    </row>
    <row r="1972" spans="1:11" x14ac:dyDescent="0.3">
      <c r="A1972" t="s">
        <v>5488</v>
      </c>
      <c r="B1972" t="s">
        <v>434</v>
      </c>
      <c r="C1972" t="s">
        <v>38</v>
      </c>
      <c r="D1972" t="s">
        <v>2158</v>
      </c>
      <c r="E1972" t="s">
        <v>23</v>
      </c>
      <c r="F1972" t="s">
        <v>5489</v>
      </c>
      <c r="G1972" t="s">
        <v>437</v>
      </c>
      <c r="H1972" t="s">
        <v>438</v>
      </c>
      <c r="I1972">
        <f t="shared" si="31"/>
        <v>1</v>
      </c>
      <c r="J1972" t="s">
        <v>27</v>
      </c>
      <c r="K1972" t="str" cm="1">
        <f t="array" ref="K1972">_xlfn.SWITCH(TRIM(UPPER(J1972)),
"BUSINESS", "Short Stay",
"CONFERENCE", "Medium Stay",
"VACATION", "Iong Stay",
"HOLIDAY", "Long Stay",
"V", "Leisure",
"UNKNOWN", "Unknown",
"Other")</f>
        <v>Medium Stay</v>
      </c>
    </row>
    <row r="1973" spans="1:11" x14ac:dyDescent="0.3">
      <c r="A1973" t="s">
        <v>5490</v>
      </c>
      <c r="B1973" t="s">
        <v>129</v>
      </c>
      <c r="C1973" t="s">
        <v>97</v>
      </c>
      <c r="D1973" t="s">
        <v>1991</v>
      </c>
      <c r="E1973" t="s">
        <v>40</v>
      </c>
      <c r="F1973" t="s">
        <v>4768</v>
      </c>
      <c r="G1973" t="s">
        <v>132</v>
      </c>
      <c r="H1973" t="s">
        <v>706</v>
      </c>
      <c r="I1973">
        <f t="shared" si="31"/>
        <v>1</v>
      </c>
      <c r="J1973" t="s">
        <v>44</v>
      </c>
      <c r="K1973" t="str" cm="1">
        <f t="array" ref="K1973">_xlfn.SWITCH(TRIM(UPPER(J1973)),
"BUSINESS", "Short Stay",
"CONFERENCE", "Medium Stay",
"VACATION", "Iong Stay",
"HOLIDAY", "Long Stay",
"V", "Leisure",
"UNKNOWN", "Unknown",
"Other")</f>
        <v>Other</v>
      </c>
    </row>
    <row r="1974" spans="1:11" x14ac:dyDescent="0.3">
      <c r="A1974" t="s">
        <v>5491</v>
      </c>
      <c r="B1974" t="s">
        <v>2774</v>
      </c>
      <c r="C1974" t="s">
        <v>21</v>
      </c>
      <c r="D1974" t="s">
        <v>693</v>
      </c>
      <c r="E1974" t="s">
        <v>314</v>
      </c>
      <c r="F1974" t="s">
        <v>5492</v>
      </c>
      <c r="G1974" t="s">
        <v>2777</v>
      </c>
      <c r="H1974" t="s">
        <v>554</v>
      </c>
      <c r="I1974">
        <f t="shared" si="31"/>
        <v>3</v>
      </c>
      <c r="J1974" t="s">
        <v>121</v>
      </c>
      <c r="K1974" t="str" cm="1">
        <f t="array" ref="K1974">_xlfn.SWITCH(TRIM(UPPER(J1974)),
"BUSINESS", "Short Stay",
"CONFERENCE", "Medium Stay",
"VACATION", "Iong Stay",
"HOLIDAY", "Long Stay",
"V", "Leisure",
"UNKNOWN", "Unknown",
"Other")</f>
        <v>Iong Stay</v>
      </c>
    </row>
    <row r="1975" spans="1:11" x14ac:dyDescent="0.3">
      <c r="A1975" t="s">
        <v>5493</v>
      </c>
      <c r="B1975" t="s">
        <v>1722</v>
      </c>
      <c r="C1975" t="s">
        <v>21</v>
      </c>
      <c r="D1975" t="s">
        <v>3881</v>
      </c>
      <c r="E1975" t="s">
        <v>458</v>
      </c>
      <c r="F1975" t="s">
        <v>5494</v>
      </c>
      <c r="G1975" t="s">
        <v>635</v>
      </c>
      <c r="H1975" t="s">
        <v>524</v>
      </c>
      <c r="I1975">
        <f t="shared" si="31"/>
        <v>2</v>
      </c>
      <c r="J1975" t="s">
        <v>44</v>
      </c>
      <c r="K1975" t="str" cm="1">
        <f t="array" ref="K1975">_xlfn.SWITCH(TRIM(UPPER(J1975)),
"BUSINESS", "Short Stay",
"CONFERENCE", "Medium Stay",
"VACATION", "Iong Stay",
"HOLIDAY", "Long Stay",
"V", "Leisure",
"UNKNOWN", "Unknown",
"Other")</f>
        <v>Other</v>
      </c>
    </row>
    <row r="1976" spans="1:11" x14ac:dyDescent="0.3">
      <c r="A1976" t="s">
        <v>5495</v>
      </c>
      <c r="B1976" t="s">
        <v>418</v>
      </c>
      <c r="C1976" t="s">
        <v>38</v>
      </c>
      <c r="D1976" t="s">
        <v>3051</v>
      </c>
      <c r="E1976" t="s">
        <v>458</v>
      </c>
      <c r="F1976" t="s">
        <v>5496</v>
      </c>
      <c r="G1976" t="s">
        <v>421</v>
      </c>
      <c r="H1976" t="s">
        <v>1109</v>
      </c>
      <c r="I1976">
        <f t="shared" si="31"/>
        <v>2</v>
      </c>
      <c r="J1976" t="s">
        <v>44</v>
      </c>
      <c r="K1976" t="str" cm="1">
        <f t="array" ref="K1976">_xlfn.SWITCH(TRIM(UPPER(J1976)),
"BUSINESS", "Short Stay",
"CONFERENCE", "Medium Stay",
"VACATION", "Iong Stay",
"HOLIDAY", "Long Stay",
"V", "Leisure",
"UNKNOWN", "Unknown",
"Other")</f>
        <v>Other</v>
      </c>
    </row>
    <row r="1977" spans="1:11" x14ac:dyDescent="0.3">
      <c r="A1977" t="s">
        <v>5497</v>
      </c>
      <c r="B1977" t="s">
        <v>2356</v>
      </c>
      <c r="C1977" t="s">
        <v>12</v>
      </c>
      <c r="D1977" t="s">
        <v>1064</v>
      </c>
      <c r="E1977" t="s">
        <v>430</v>
      </c>
      <c r="F1977" t="s">
        <v>5046</v>
      </c>
      <c r="G1977" t="s">
        <v>856</v>
      </c>
      <c r="H1977" t="s">
        <v>849</v>
      </c>
      <c r="I1977">
        <f t="shared" si="31"/>
        <v>3</v>
      </c>
      <c r="J1977" t="s">
        <v>121</v>
      </c>
      <c r="K1977" t="str" cm="1">
        <f t="array" ref="K1977">_xlfn.SWITCH(TRIM(UPPER(J1977)),
"BUSINESS", "Short Stay",
"CONFERENCE", "Medium Stay",
"VACATION", "Iong Stay",
"HOLIDAY", "Long Stay",
"V", "Leisure",
"UNKNOWN", "Unknown",
"Other")</f>
        <v>Iong Stay</v>
      </c>
    </row>
    <row r="1978" spans="1:11" x14ac:dyDescent="0.3">
      <c r="A1978" t="s">
        <v>5498</v>
      </c>
      <c r="B1978" t="s">
        <v>498</v>
      </c>
      <c r="C1978" t="s">
        <v>83</v>
      </c>
      <c r="D1978" t="s">
        <v>4754</v>
      </c>
      <c r="E1978" t="s">
        <v>149</v>
      </c>
      <c r="F1978" t="s">
        <v>5499</v>
      </c>
      <c r="G1978" t="s">
        <v>501</v>
      </c>
      <c r="H1978" t="s">
        <v>3220</v>
      </c>
      <c r="I1978">
        <f t="shared" si="31"/>
        <v>3</v>
      </c>
      <c r="J1978" t="s">
        <v>44</v>
      </c>
      <c r="K1978" t="str" cm="1">
        <f t="array" ref="K1978">_xlfn.SWITCH(TRIM(UPPER(J1978)),
"BUSINESS", "Short Stay",
"CONFERENCE", "Medium Stay",
"VACATION", "Iong Stay",
"HOLIDAY", "Long Stay",
"V", "Leisure",
"UNKNOWN", "Unknown",
"Other")</f>
        <v>Other</v>
      </c>
    </row>
    <row r="1979" spans="1:11" x14ac:dyDescent="0.3">
      <c r="A1979" t="s">
        <v>5500</v>
      </c>
      <c r="B1979" t="s">
        <v>3244</v>
      </c>
      <c r="C1979" t="s">
        <v>174</v>
      </c>
      <c r="D1979" t="s">
        <v>371</v>
      </c>
      <c r="E1979" t="s">
        <v>40</v>
      </c>
      <c r="F1979" t="s">
        <v>5501</v>
      </c>
      <c r="G1979" t="s">
        <v>480</v>
      </c>
      <c r="H1979" t="s">
        <v>583</v>
      </c>
      <c r="I1979">
        <f t="shared" si="31"/>
        <v>3</v>
      </c>
      <c r="J1979" t="s">
        <v>44</v>
      </c>
      <c r="K1979" t="str" cm="1">
        <f t="array" ref="K1979">_xlfn.SWITCH(TRIM(UPPER(J1979)),
"BUSINESS", "Short Stay",
"CONFERENCE", "Medium Stay",
"VACATION", "Iong Stay",
"HOLIDAY", "Long Stay",
"V", "Leisure",
"UNKNOWN", "Unknown",
"Other")</f>
        <v>Other</v>
      </c>
    </row>
    <row r="1980" spans="1:11" x14ac:dyDescent="0.3">
      <c r="A1980" t="s">
        <v>5502</v>
      </c>
      <c r="B1980" t="s">
        <v>2395</v>
      </c>
      <c r="C1980" t="s">
        <v>83</v>
      </c>
      <c r="D1980" t="s">
        <v>1483</v>
      </c>
      <c r="E1980" t="s">
        <v>176</v>
      </c>
      <c r="F1980" t="s">
        <v>5503</v>
      </c>
      <c r="G1980" t="s">
        <v>2398</v>
      </c>
      <c r="H1980" t="s">
        <v>781</v>
      </c>
      <c r="I1980">
        <f t="shared" si="31"/>
        <v>5</v>
      </c>
      <c r="J1980" t="s">
        <v>27</v>
      </c>
      <c r="K1980" t="str" cm="1">
        <f t="array" ref="K1980">_xlfn.SWITCH(TRIM(UPPER(J1980)),
"BUSINESS", "Short Stay",
"CONFERENCE", "Medium Stay",
"VACATION", "Iong Stay",
"HOLIDAY", "Long Stay",
"V", "Leisure",
"UNKNOWN", "Unknown",
"Other")</f>
        <v>Medium Stay</v>
      </c>
    </row>
    <row r="1981" spans="1:11" x14ac:dyDescent="0.3">
      <c r="A1981" t="s">
        <v>5504</v>
      </c>
      <c r="B1981" t="s">
        <v>712</v>
      </c>
      <c r="C1981" t="s">
        <v>54</v>
      </c>
      <c r="D1981" t="s">
        <v>207</v>
      </c>
      <c r="E1981" t="s">
        <v>48</v>
      </c>
      <c r="F1981" t="s">
        <v>5505</v>
      </c>
      <c r="G1981" t="s">
        <v>715</v>
      </c>
      <c r="H1981" t="s">
        <v>989</v>
      </c>
      <c r="I1981">
        <f t="shared" si="31"/>
        <v>4</v>
      </c>
      <c r="J1981" t="s">
        <v>121</v>
      </c>
      <c r="K1981" t="str" cm="1">
        <f t="array" ref="K1981">_xlfn.SWITCH(TRIM(UPPER(J1981)),
"BUSINESS", "Short Stay",
"CONFERENCE", "Medium Stay",
"VACATION", "Iong Stay",
"HOLIDAY", "Long Stay",
"V", "Leisure",
"UNKNOWN", "Unknown",
"Other")</f>
        <v>Iong Stay</v>
      </c>
    </row>
    <row r="1982" spans="1:11" x14ac:dyDescent="0.3">
      <c r="A1982" t="s">
        <v>5506</v>
      </c>
      <c r="B1982" t="s">
        <v>799</v>
      </c>
      <c r="C1982" t="s">
        <v>38</v>
      </c>
      <c r="D1982" t="s">
        <v>2556</v>
      </c>
      <c r="E1982" t="s">
        <v>214</v>
      </c>
      <c r="F1982" t="s">
        <v>5507</v>
      </c>
      <c r="G1982" t="s">
        <v>802</v>
      </c>
      <c r="H1982" t="s">
        <v>1522</v>
      </c>
      <c r="I1982">
        <f t="shared" si="31"/>
        <v>3</v>
      </c>
      <c r="J1982" t="s">
        <v>121</v>
      </c>
      <c r="K1982" t="str" cm="1">
        <f t="array" ref="K1982">_xlfn.SWITCH(TRIM(UPPER(J1982)),
"BUSINESS", "Short Stay",
"CONFERENCE", "Medium Stay",
"VACATION", "Iong Stay",
"HOLIDAY", "Long Stay",
"V", "Leisure",
"UNKNOWN", "Unknown",
"Other")</f>
        <v>Iong Stay</v>
      </c>
    </row>
    <row r="1983" spans="1:11" x14ac:dyDescent="0.3">
      <c r="A1983" t="s">
        <v>5508</v>
      </c>
      <c r="B1983" t="s">
        <v>1323</v>
      </c>
      <c r="C1983" t="s">
        <v>12</v>
      </c>
      <c r="D1983" t="s">
        <v>3478</v>
      </c>
      <c r="E1983" t="s">
        <v>85</v>
      </c>
      <c r="F1983" t="s">
        <v>5509</v>
      </c>
      <c r="G1983" t="s">
        <v>1326</v>
      </c>
      <c r="H1983" t="s">
        <v>289</v>
      </c>
      <c r="I1983">
        <f t="shared" si="31"/>
        <v>4</v>
      </c>
      <c r="J1983" t="s">
        <v>27</v>
      </c>
      <c r="K1983" t="str" cm="1">
        <f t="array" ref="K1983">_xlfn.SWITCH(TRIM(UPPER(J1983)),
"BUSINESS", "Short Stay",
"CONFERENCE", "Medium Stay",
"VACATION", "Iong Stay",
"HOLIDAY", "Long Stay",
"V", "Leisure",
"UNKNOWN", "Unknown",
"Other")</f>
        <v>Medium Stay</v>
      </c>
    </row>
    <row r="1984" spans="1:11" x14ac:dyDescent="0.3">
      <c r="A1984" t="s">
        <v>5510</v>
      </c>
      <c r="B1984" t="s">
        <v>746</v>
      </c>
      <c r="C1984" t="s">
        <v>12</v>
      </c>
      <c r="D1984" t="s">
        <v>4659</v>
      </c>
      <c r="E1984" t="s">
        <v>69</v>
      </c>
      <c r="F1984" t="s">
        <v>5511</v>
      </c>
      <c r="G1984" t="s">
        <v>749</v>
      </c>
      <c r="H1984" t="s">
        <v>946</v>
      </c>
      <c r="I1984">
        <f t="shared" si="31"/>
        <v>2</v>
      </c>
      <c r="J1984" t="s">
        <v>44</v>
      </c>
      <c r="K1984" t="str" cm="1">
        <f t="array" ref="K1984">_xlfn.SWITCH(TRIM(UPPER(J1984)),
"BUSINESS", "Short Stay",
"CONFERENCE", "Medium Stay",
"VACATION", "Iong Stay",
"HOLIDAY", "Long Stay",
"V", "Leisure",
"UNKNOWN", "Unknown",
"Other")</f>
        <v>Other</v>
      </c>
    </row>
    <row r="1985" spans="1:11" x14ac:dyDescent="0.3">
      <c r="A1985" t="s">
        <v>5512</v>
      </c>
      <c r="B1985" t="s">
        <v>1434</v>
      </c>
      <c r="C1985" t="s">
        <v>38</v>
      </c>
      <c r="D1985" t="s">
        <v>794</v>
      </c>
      <c r="E1985" t="s">
        <v>430</v>
      </c>
      <c r="F1985" t="s">
        <v>5513</v>
      </c>
      <c r="G1985" t="s">
        <v>1437</v>
      </c>
      <c r="H1985" t="s">
        <v>415</v>
      </c>
      <c r="I1985">
        <f t="shared" si="31"/>
        <v>1</v>
      </c>
      <c r="J1985" t="s">
        <v>18</v>
      </c>
      <c r="K1985" t="str" cm="1">
        <f t="array" ref="K1985">_xlfn.SWITCH(TRIM(UPPER(J1985)),
"BUSINESS", "Short Stay",
"CONFERENCE", "Medium Stay",
"VACATION", "Iong Stay",
"HOLIDAY", "Long Stay",
"V", "Leisure",
"UNKNOWN", "Unknown",
"Other")</f>
        <v>Short Stay</v>
      </c>
    </row>
    <row r="1986" spans="1:11" x14ac:dyDescent="0.3">
      <c r="A1986" t="s">
        <v>5514</v>
      </c>
      <c r="B1986" t="s">
        <v>1606</v>
      </c>
      <c r="C1986" t="s">
        <v>61</v>
      </c>
      <c r="D1986" t="s">
        <v>2475</v>
      </c>
      <c r="E1986" t="s">
        <v>117</v>
      </c>
      <c r="F1986" t="s">
        <v>5515</v>
      </c>
      <c r="G1986" t="s">
        <v>524</v>
      </c>
      <c r="H1986" t="s">
        <v>1363</v>
      </c>
      <c r="I1986">
        <f t="shared" si="31"/>
        <v>1</v>
      </c>
      <c r="J1986" t="s">
        <v>18</v>
      </c>
      <c r="K1986" t="str" cm="1">
        <f t="array" ref="K1986">_xlfn.SWITCH(TRIM(UPPER(J1986)),
"BUSINESS", "Short Stay",
"CONFERENCE", "Medium Stay",
"VACATION", "Iong Stay",
"HOLIDAY", "Long Stay",
"V", "Leisure",
"UNKNOWN", "Unknown",
"Other")</f>
        <v>Short Stay</v>
      </c>
    </row>
    <row r="1987" spans="1:11" x14ac:dyDescent="0.3">
      <c r="A1987" t="s">
        <v>5516</v>
      </c>
      <c r="B1987" t="s">
        <v>1368</v>
      </c>
      <c r="C1987" t="s">
        <v>30</v>
      </c>
      <c r="D1987" t="s">
        <v>4688</v>
      </c>
      <c r="E1987" t="s">
        <v>32</v>
      </c>
      <c r="F1987" t="s">
        <v>5517</v>
      </c>
      <c r="G1987" t="s">
        <v>941</v>
      </c>
      <c r="H1987" t="s">
        <v>620</v>
      </c>
      <c r="I1987">
        <f t="shared" si="31"/>
        <v>5</v>
      </c>
      <c r="J1987" t="s">
        <v>121</v>
      </c>
      <c r="K1987" t="str" cm="1">
        <f t="array" ref="K1987">_xlfn.SWITCH(TRIM(UPPER(J1987)),
"BUSINESS", "Short Stay",
"CONFERENCE", "Medium Stay",
"VACATION", "Iong Stay",
"HOLIDAY", "Long Stay",
"V", "Leisure",
"UNKNOWN", "Unknown",
"Other")</f>
        <v>Iong Stay</v>
      </c>
    </row>
    <row r="1988" spans="1:11" x14ac:dyDescent="0.3">
      <c r="A1988" t="s">
        <v>5518</v>
      </c>
      <c r="B1988" t="s">
        <v>2764</v>
      </c>
      <c r="C1988" t="s">
        <v>61</v>
      </c>
      <c r="D1988" t="s">
        <v>2514</v>
      </c>
      <c r="E1988" t="s">
        <v>430</v>
      </c>
      <c r="F1988" t="s">
        <v>5519</v>
      </c>
      <c r="G1988" t="s">
        <v>1058</v>
      </c>
      <c r="H1988" t="s">
        <v>2767</v>
      </c>
      <c r="I1988">
        <f t="shared" si="31"/>
        <v>4</v>
      </c>
      <c r="J1988" t="s">
        <v>27</v>
      </c>
      <c r="K1988" t="str" cm="1">
        <f t="array" ref="K1988">_xlfn.SWITCH(TRIM(UPPER(J1988)),
"BUSINESS", "Short Stay",
"CONFERENCE", "Medium Stay",
"VACATION", "Iong Stay",
"HOLIDAY", "Long Stay",
"V", "Leisure",
"UNKNOWN", "Unknown",
"Other")</f>
        <v>Medium Stay</v>
      </c>
    </row>
    <row r="1989" spans="1:11" x14ac:dyDescent="0.3">
      <c r="A1989" t="s">
        <v>5520</v>
      </c>
      <c r="B1989" t="s">
        <v>3206</v>
      </c>
      <c r="C1989" t="s">
        <v>75</v>
      </c>
      <c r="D1989" t="s">
        <v>4136</v>
      </c>
      <c r="E1989" t="s">
        <v>85</v>
      </c>
      <c r="F1989" t="s">
        <v>5521</v>
      </c>
      <c r="G1989" t="s">
        <v>416</v>
      </c>
      <c r="H1989" t="s">
        <v>1894</v>
      </c>
      <c r="I1989">
        <f t="shared" ref="I1989:I2001" si="32">H1989-G1989</f>
        <v>4</v>
      </c>
      <c r="J1989" t="s">
        <v>18</v>
      </c>
      <c r="K1989" t="str" cm="1">
        <f t="array" ref="K1989">_xlfn.SWITCH(TRIM(UPPER(J1989)),
"BUSINESS", "Short Stay",
"CONFERENCE", "Medium Stay",
"VACATION", "Iong Stay",
"HOLIDAY", "Long Stay",
"V", "Leisure",
"UNKNOWN", "Unknown",
"Other")</f>
        <v>Short Stay</v>
      </c>
    </row>
    <row r="1990" spans="1:11" x14ac:dyDescent="0.3">
      <c r="A1990" t="s">
        <v>5522</v>
      </c>
      <c r="B1990" t="s">
        <v>2096</v>
      </c>
      <c r="C1990" t="s">
        <v>174</v>
      </c>
      <c r="D1990" t="s">
        <v>2583</v>
      </c>
      <c r="E1990" t="s">
        <v>48</v>
      </c>
      <c r="F1990" t="s">
        <v>5523</v>
      </c>
      <c r="G1990" t="s">
        <v>2078</v>
      </c>
      <c r="H1990" t="s">
        <v>1826</v>
      </c>
      <c r="I1990">
        <f t="shared" si="32"/>
        <v>2</v>
      </c>
      <c r="J1990" t="s">
        <v>121</v>
      </c>
      <c r="K1990" t="str" cm="1">
        <f t="array" ref="K1990">_xlfn.SWITCH(TRIM(UPPER(J1990)),
"BUSINESS", "Short Stay",
"CONFERENCE", "Medium Stay",
"VACATION", "Iong Stay",
"HOLIDAY", "Long Stay",
"V", "Leisure",
"UNKNOWN", "Unknown",
"Other")</f>
        <v>Iong Stay</v>
      </c>
    </row>
    <row r="1991" spans="1:11" x14ac:dyDescent="0.3">
      <c r="A1991" t="s">
        <v>5524</v>
      </c>
      <c r="B1991" t="s">
        <v>2017</v>
      </c>
      <c r="C1991" t="s">
        <v>174</v>
      </c>
      <c r="D1991" t="s">
        <v>4693</v>
      </c>
      <c r="E1991" t="s">
        <v>149</v>
      </c>
      <c r="F1991" t="s">
        <v>5525</v>
      </c>
      <c r="G1991" t="s">
        <v>1026</v>
      </c>
      <c r="H1991" t="s">
        <v>1414</v>
      </c>
      <c r="I1991">
        <f t="shared" si="32"/>
        <v>3</v>
      </c>
      <c r="J1991" t="s">
        <v>18</v>
      </c>
      <c r="K1991" t="str" cm="1">
        <f t="array" ref="K1991">_xlfn.SWITCH(TRIM(UPPER(J1991)),
"BUSINESS", "Short Stay",
"CONFERENCE", "Medium Stay",
"VACATION", "Iong Stay",
"HOLIDAY", "Long Stay",
"V", "Leisure",
"UNKNOWN", "Unknown",
"Other")</f>
        <v>Short Stay</v>
      </c>
    </row>
    <row r="1992" spans="1:11" x14ac:dyDescent="0.3">
      <c r="A1992" t="s">
        <v>5526</v>
      </c>
      <c r="B1992" t="s">
        <v>541</v>
      </c>
      <c r="C1992" t="s">
        <v>38</v>
      </c>
      <c r="D1992" t="s">
        <v>3422</v>
      </c>
      <c r="E1992" t="s">
        <v>156</v>
      </c>
      <c r="F1992" t="s">
        <v>5527</v>
      </c>
      <c r="G1992" t="s">
        <v>17</v>
      </c>
      <c r="H1992" t="s">
        <v>485</v>
      </c>
      <c r="I1992">
        <f t="shared" si="32"/>
        <v>3</v>
      </c>
      <c r="J1992" t="s">
        <v>44</v>
      </c>
      <c r="K1992" t="str" cm="1">
        <f t="array" ref="K1992">_xlfn.SWITCH(TRIM(UPPER(J1992)),
"BUSINESS", "Short Stay",
"CONFERENCE", "Medium Stay",
"VACATION", "Iong Stay",
"HOLIDAY", "Long Stay",
"V", "Leisure",
"UNKNOWN", "Unknown",
"Other")</f>
        <v>Other</v>
      </c>
    </row>
    <row r="1993" spans="1:11" x14ac:dyDescent="0.3">
      <c r="A1993" t="s">
        <v>5528</v>
      </c>
      <c r="B1993" t="s">
        <v>90</v>
      </c>
      <c r="C1993" t="s">
        <v>54</v>
      </c>
      <c r="D1993" t="s">
        <v>5529</v>
      </c>
      <c r="E1993" t="s">
        <v>40</v>
      </c>
      <c r="F1993" t="s">
        <v>5530</v>
      </c>
      <c r="G1993" t="s">
        <v>93</v>
      </c>
      <c r="H1993" t="s">
        <v>731</v>
      </c>
      <c r="I1993">
        <f t="shared" si="32"/>
        <v>5</v>
      </c>
      <c r="J1993" t="s">
        <v>18</v>
      </c>
      <c r="K1993" t="str" cm="1">
        <f t="array" ref="K1993">_xlfn.SWITCH(TRIM(UPPER(J1993)),
"BUSINESS", "Short Stay",
"CONFERENCE", "Medium Stay",
"VACATION", "Iong Stay",
"HOLIDAY", "Long Stay",
"V", "Leisure",
"UNKNOWN", "Unknown",
"Other")</f>
        <v>Short Stay</v>
      </c>
    </row>
    <row r="1994" spans="1:11" x14ac:dyDescent="0.3">
      <c r="A1994" t="s">
        <v>5531</v>
      </c>
      <c r="B1994" t="s">
        <v>1216</v>
      </c>
      <c r="C1994" t="s">
        <v>54</v>
      </c>
      <c r="D1994" t="s">
        <v>2046</v>
      </c>
      <c r="E1994" t="s">
        <v>201</v>
      </c>
      <c r="F1994" t="s">
        <v>5532</v>
      </c>
      <c r="G1994" t="s">
        <v>1219</v>
      </c>
      <c r="H1994" t="s">
        <v>1220</v>
      </c>
      <c r="I1994">
        <f t="shared" si="32"/>
        <v>4</v>
      </c>
      <c r="J1994" t="s">
        <v>121</v>
      </c>
      <c r="K1994" t="str" cm="1">
        <f t="array" ref="K1994">_xlfn.SWITCH(TRIM(UPPER(J1994)),
"BUSINESS", "Short Stay",
"CONFERENCE", "Medium Stay",
"VACATION", "Iong Stay",
"HOLIDAY", "Long Stay",
"V", "Leisure",
"UNKNOWN", "Unknown",
"Other")</f>
        <v>Iong Stay</v>
      </c>
    </row>
    <row r="1995" spans="1:11" x14ac:dyDescent="0.3">
      <c r="A1995" t="s">
        <v>5533</v>
      </c>
      <c r="B1995" t="s">
        <v>772</v>
      </c>
      <c r="C1995" t="s">
        <v>12</v>
      </c>
      <c r="D1995" t="s">
        <v>1780</v>
      </c>
      <c r="E1995" t="s">
        <v>176</v>
      </c>
      <c r="F1995" t="s">
        <v>5534</v>
      </c>
      <c r="G1995" t="s">
        <v>775</v>
      </c>
      <c r="H1995" t="s">
        <v>448</v>
      </c>
      <c r="I1995">
        <f t="shared" si="32"/>
        <v>5</v>
      </c>
      <c r="J1995" t="s">
        <v>121</v>
      </c>
      <c r="K1995" t="str" cm="1">
        <f t="array" ref="K1995">_xlfn.SWITCH(TRIM(UPPER(J1995)),
"BUSINESS", "Short Stay",
"CONFERENCE", "Medium Stay",
"VACATION", "Iong Stay",
"HOLIDAY", "Long Stay",
"V", "Leisure",
"UNKNOWN", "Unknown",
"Other")</f>
        <v>Iong Stay</v>
      </c>
    </row>
    <row r="1996" spans="1:11" x14ac:dyDescent="0.3">
      <c r="A1996" t="s">
        <v>5535</v>
      </c>
      <c r="B1996" t="s">
        <v>688</v>
      </c>
      <c r="C1996" t="s">
        <v>54</v>
      </c>
      <c r="D1996" t="s">
        <v>225</v>
      </c>
      <c r="E1996" t="s">
        <v>476</v>
      </c>
      <c r="F1996" t="s">
        <v>5536</v>
      </c>
      <c r="G1996" t="s">
        <v>298</v>
      </c>
      <c r="H1996" t="s">
        <v>222</v>
      </c>
      <c r="I1996">
        <f t="shared" si="32"/>
        <v>5</v>
      </c>
      <c r="J1996" t="s">
        <v>18</v>
      </c>
      <c r="K1996" t="str" cm="1">
        <f t="array" ref="K1996">_xlfn.SWITCH(TRIM(UPPER(J1996)),
"BUSINESS", "Short Stay",
"CONFERENCE", "Medium Stay",
"VACATION", "Iong Stay",
"HOLIDAY", "Long Stay",
"V", "Leisure",
"UNKNOWN", "Unknown",
"Other")</f>
        <v>Short Stay</v>
      </c>
    </row>
    <row r="1997" spans="1:11" x14ac:dyDescent="0.3">
      <c r="A1997" t="s">
        <v>5537</v>
      </c>
      <c r="B1997" t="s">
        <v>809</v>
      </c>
      <c r="C1997" t="s">
        <v>174</v>
      </c>
      <c r="D1997" t="s">
        <v>4245</v>
      </c>
      <c r="E1997" t="s">
        <v>458</v>
      </c>
      <c r="F1997" t="s">
        <v>5538</v>
      </c>
      <c r="G1997" t="s">
        <v>812</v>
      </c>
      <c r="H1997" t="s">
        <v>1316</v>
      </c>
      <c r="I1997">
        <f t="shared" si="32"/>
        <v>4</v>
      </c>
      <c r="J1997" t="s">
        <v>18</v>
      </c>
      <c r="K1997" t="str" cm="1">
        <f t="array" ref="K1997">_xlfn.SWITCH(TRIM(UPPER(J1997)),
"BUSINESS", "Short Stay",
"CONFERENCE", "Medium Stay",
"VACATION", "Iong Stay",
"HOLIDAY", "Long Stay",
"V", "Leisure",
"UNKNOWN", "Unknown",
"Other")</f>
        <v>Short Stay</v>
      </c>
    </row>
    <row r="1998" spans="1:11" x14ac:dyDescent="0.3">
      <c r="A1998" t="s">
        <v>5539</v>
      </c>
      <c r="B1998" t="s">
        <v>2083</v>
      </c>
      <c r="C1998" t="s">
        <v>61</v>
      </c>
      <c r="D1998" t="s">
        <v>2742</v>
      </c>
      <c r="E1998" t="s">
        <v>149</v>
      </c>
      <c r="F1998" t="s">
        <v>5540</v>
      </c>
      <c r="G1998" t="s">
        <v>706</v>
      </c>
      <c r="H1998" t="s">
        <v>2516</v>
      </c>
      <c r="I1998">
        <f t="shared" si="32"/>
        <v>2</v>
      </c>
      <c r="J1998" t="s">
        <v>27</v>
      </c>
      <c r="K1998" t="str" cm="1">
        <f t="array" ref="K1998">_xlfn.SWITCH(TRIM(UPPER(J1998)),
"BUSINESS", "Short Stay",
"CONFERENCE", "Medium Stay",
"VACATION", "Iong Stay",
"HOLIDAY", "Long Stay",
"V", "Leisure",
"UNKNOWN", "Unknown",
"Other")</f>
        <v>Medium Stay</v>
      </c>
    </row>
    <row r="1999" spans="1:11" x14ac:dyDescent="0.3">
      <c r="A1999" t="s">
        <v>5541</v>
      </c>
      <c r="B1999" t="s">
        <v>2707</v>
      </c>
      <c r="C1999" t="s">
        <v>61</v>
      </c>
      <c r="D1999" t="s">
        <v>610</v>
      </c>
      <c r="E1999" t="s">
        <v>23</v>
      </c>
      <c r="F1999" t="s">
        <v>5542</v>
      </c>
      <c r="G1999" t="s">
        <v>216</v>
      </c>
      <c r="H1999" t="s">
        <v>501</v>
      </c>
      <c r="I1999">
        <f t="shared" si="32"/>
        <v>4</v>
      </c>
      <c r="J1999" t="s">
        <v>18</v>
      </c>
      <c r="K1999" t="str" cm="1">
        <f t="array" ref="K1999">_xlfn.SWITCH(TRIM(UPPER(J1999)),
"BUSINESS", "Short Stay",
"CONFERENCE", "Medium Stay",
"VACATION", "Iong Stay",
"HOLIDAY", "Long Stay",
"V", "Leisure",
"UNKNOWN", "Unknown",
"Other")</f>
        <v>Short Stay</v>
      </c>
    </row>
    <row r="2000" spans="1:11" x14ac:dyDescent="0.3">
      <c r="A2000" t="s">
        <v>5543</v>
      </c>
      <c r="B2000" t="s">
        <v>135</v>
      </c>
      <c r="C2000" t="s">
        <v>12</v>
      </c>
      <c r="D2000" t="s">
        <v>867</v>
      </c>
      <c r="E2000" t="s">
        <v>69</v>
      </c>
      <c r="F2000" t="s">
        <v>5544</v>
      </c>
      <c r="G2000" t="s">
        <v>138</v>
      </c>
      <c r="H2000" t="s">
        <v>1048</v>
      </c>
      <c r="I2000">
        <f t="shared" si="32"/>
        <v>1</v>
      </c>
      <c r="J2000" t="s">
        <v>44</v>
      </c>
      <c r="K2000" t="str" cm="1">
        <f t="array" ref="K2000">_xlfn.SWITCH(TRIM(UPPER(J2000)),
"BUSINESS", "Short Stay",
"CONFERENCE", "Medium Stay",
"VACATION", "Iong Stay",
"HOLIDAY", "Long Stay",
"V", "Leisure",
"UNKNOWN", "Unknown",
"Other")</f>
        <v>Other</v>
      </c>
    </row>
    <row r="2001" spans="1:11" x14ac:dyDescent="0.3">
      <c r="A2001" t="s">
        <v>5545</v>
      </c>
      <c r="B2001" t="s">
        <v>1942</v>
      </c>
      <c r="C2001" t="s">
        <v>21</v>
      </c>
      <c r="D2001" t="s">
        <v>2288</v>
      </c>
      <c r="E2001" t="s">
        <v>63</v>
      </c>
      <c r="F2001" t="s">
        <v>5394</v>
      </c>
      <c r="G2001" t="s">
        <v>1696</v>
      </c>
      <c r="H2001" t="s">
        <v>495</v>
      </c>
      <c r="I2001">
        <f t="shared" si="32"/>
        <v>2</v>
      </c>
      <c r="J2001" t="s">
        <v>18</v>
      </c>
      <c r="K2001" t="str" cm="1">
        <f t="array" ref="K2001">_xlfn.SWITCH(TRIM(UPPER(J2001)),
"BUSINESS", "Short Stay",
"CONFERENCE", "Medium Stay",
"VACATION", "Iong Stay",
"HOLIDAY", "Long Stay",
"V", "Leisure",
"UNKNOWN", "Unknown",
"Other")</f>
        <v>Short Stay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7"/>
  <sheetViews>
    <sheetView zoomScale="106" zoomScaleNormal="70" workbookViewId="0">
      <selection activeCell="D1" sqref="D1:D1048576"/>
    </sheetView>
  </sheetViews>
  <sheetFormatPr defaultRowHeight="14.4" x14ac:dyDescent="0.3"/>
  <cols>
    <col min="1" max="1" width="13" customWidth="1"/>
    <col min="2" max="2" width="15.109375" customWidth="1"/>
    <col min="3" max="3" width="11.21875" customWidth="1"/>
  </cols>
  <sheetData>
    <row r="1" spans="1:6" x14ac:dyDescent="0.3">
      <c r="A1" s="1" t="s">
        <v>1</v>
      </c>
      <c r="B1" s="1" t="s">
        <v>5546</v>
      </c>
      <c r="C1" s="1" t="s">
        <v>5547</v>
      </c>
      <c r="D1" s="1" t="s">
        <v>5548</v>
      </c>
      <c r="E1" s="1" t="s">
        <v>5549</v>
      </c>
      <c r="F1" s="1" t="s">
        <v>5550</v>
      </c>
    </row>
    <row r="2" spans="1:6" x14ac:dyDescent="0.3">
      <c r="A2" t="s">
        <v>2503</v>
      </c>
      <c r="B2" t="s">
        <v>2505</v>
      </c>
      <c r="C2">
        <v>1</v>
      </c>
      <c r="D2" t="s">
        <v>5551</v>
      </c>
      <c r="E2">
        <v>2024</v>
      </c>
      <c r="F2" t="s">
        <v>5552</v>
      </c>
    </row>
    <row r="3" spans="1:6" x14ac:dyDescent="0.3">
      <c r="A3" t="s">
        <v>294</v>
      </c>
      <c r="B3" t="s">
        <v>297</v>
      </c>
      <c r="C3">
        <v>2</v>
      </c>
      <c r="D3" t="s">
        <v>5551</v>
      </c>
      <c r="E3">
        <v>2024</v>
      </c>
      <c r="F3" t="s">
        <v>5553</v>
      </c>
    </row>
    <row r="4" spans="1:6" x14ac:dyDescent="0.3">
      <c r="A4" t="s">
        <v>2157</v>
      </c>
      <c r="B4" t="s">
        <v>2160</v>
      </c>
      <c r="C4">
        <v>3</v>
      </c>
      <c r="D4" t="s">
        <v>5551</v>
      </c>
      <c r="E4">
        <v>2024</v>
      </c>
      <c r="F4" t="s">
        <v>5554</v>
      </c>
    </row>
    <row r="5" spans="1:6" x14ac:dyDescent="0.3">
      <c r="A5" t="s">
        <v>224</v>
      </c>
      <c r="B5" t="s">
        <v>227</v>
      </c>
      <c r="C5">
        <v>4</v>
      </c>
      <c r="D5" t="s">
        <v>5551</v>
      </c>
      <c r="E5">
        <v>2024</v>
      </c>
      <c r="F5" t="s">
        <v>5555</v>
      </c>
    </row>
    <row r="6" spans="1:6" x14ac:dyDescent="0.3">
      <c r="A6" t="s">
        <v>688</v>
      </c>
      <c r="B6" t="s">
        <v>298</v>
      </c>
      <c r="C6">
        <v>5</v>
      </c>
      <c r="D6" t="s">
        <v>5551</v>
      </c>
      <c r="E6">
        <v>2024</v>
      </c>
      <c r="F6" t="s">
        <v>5556</v>
      </c>
    </row>
    <row r="7" spans="1:6" x14ac:dyDescent="0.3">
      <c r="A7" t="s">
        <v>1916</v>
      </c>
      <c r="B7" t="s">
        <v>691</v>
      </c>
      <c r="C7">
        <v>6</v>
      </c>
      <c r="D7" t="s">
        <v>5551</v>
      </c>
      <c r="E7">
        <v>2024</v>
      </c>
      <c r="F7" t="s">
        <v>5557</v>
      </c>
    </row>
    <row r="8" spans="1:6" x14ac:dyDescent="0.3">
      <c r="A8" t="s">
        <v>330</v>
      </c>
      <c r="B8" t="s">
        <v>333</v>
      </c>
      <c r="C8">
        <v>7</v>
      </c>
      <c r="D8" t="s">
        <v>5551</v>
      </c>
      <c r="E8">
        <v>2024</v>
      </c>
      <c r="F8" t="s">
        <v>5558</v>
      </c>
    </row>
    <row r="9" spans="1:6" x14ac:dyDescent="0.3">
      <c r="A9" t="s">
        <v>218</v>
      </c>
      <c r="B9" t="s">
        <v>221</v>
      </c>
      <c r="C9">
        <v>8</v>
      </c>
      <c r="D9" t="s">
        <v>5551</v>
      </c>
      <c r="E9">
        <v>2024</v>
      </c>
      <c r="F9" t="s">
        <v>5552</v>
      </c>
    </row>
    <row r="10" spans="1:6" x14ac:dyDescent="0.3">
      <c r="A10" t="s">
        <v>1997</v>
      </c>
      <c r="B10" t="s">
        <v>1199</v>
      </c>
      <c r="C10">
        <v>9</v>
      </c>
      <c r="D10" t="s">
        <v>5551</v>
      </c>
      <c r="E10">
        <v>2024</v>
      </c>
      <c r="F10" t="s">
        <v>5553</v>
      </c>
    </row>
    <row r="11" spans="1:6" x14ac:dyDescent="0.3">
      <c r="A11" t="s">
        <v>2711</v>
      </c>
      <c r="B11" t="s">
        <v>222</v>
      </c>
      <c r="C11">
        <v>10</v>
      </c>
      <c r="D11" t="s">
        <v>5551</v>
      </c>
      <c r="E11">
        <v>2024</v>
      </c>
      <c r="F11" t="s">
        <v>5554</v>
      </c>
    </row>
    <row r="12" spans="1:6" x14ac:dyDescent="0.3">
      <c r="A12" t="s">
        <v>1302</v>
      </c>
      <c r="B12" t="s">
        <v>1304</v>
      </c>
      <c r="C12">
        <v>11</v>
      </c>
      <c r="D12" t="s">
        <v>5551</v>
      </c>
      <c r="E12">
        <v>2024</v>
      </c>
      <c r="F12" t="s">
        <v>5555</v>
      </c>
    </row>
    <row r="13" spans="1:6" x14ac:dyDescent="0.3">
      <c r="A13" t="s">
        <v>1675</v>
      </c>
      <c r="B13" t="s">
        <v>919</v>
      </c>
      <c r="C13">
        <v>12</v>
      </c>
      <c r="D13" t="s">
        <v>5551</v>
      </c>
      <c r="E13">
        <v>2024</v>
      </c>
      <c r="F13" t="s">
        <v>5556</v>
      </c>
    </row>
    <row r="14" spans="1:6" x14ac:dyDescent="0.3">
      <c r="A14" t="s">
        <v>173</v>
      </c>
      <c r="B14" t="s">
        <v>178</v>
      </c>
      <c r="C14">
        <v>13</v>
      </c>
      <c r="D14" t="s">
        <v>5551</v>
      </c>
      <c r="E14">
        <v>2024</v>
      </c>
      <c r="F14" t="s">
        <v>5557</v>
      </c>
    </row>
    <row r="15" spans="1:6" x14ac:dyDescent="0.3">
      <c r="A15" t="s">
        <v>1102</v>
      </c>
      <c r="B15" t="s">
        <v>1105</v>
      </c>
      <c r="C15">
        <v>14</v>
      </c>
      <c r="D15" t="s">
        <v>5551</v>
      </c>
      <c r="E15">
        <v>2024</v>
      </c>
      <c r="F15" t="s">
        <v>5558</v>
      </c>
    </row>
    <row r="16" spans="1:6" x14ac:dyDescent="0.3">
      <c r="A16" t="s">
        <v>1022</v>
      </c>
      <c r="B16" t="s">
        <v>1025</v>
      </c>
      <c r="C16">
        <v>15</v>
      </c>
      <c r="D16" t="s">
        <v>5551</v>
      </c>
      <c r="E16">
        <v>2024</v>
      </c>
      <c r="F16" t="s">
        <v>5552</v>
      </c>
    </row>
    <row r="17" spans="1:6" x14ac:dyDescent="0.3">
      <c r="A17" t="s">
        <v>3210</v>
      </c>
      <c r="B17" t="s">
        <v>1260</v>
      </c>
      <c r="C17">
        <v>16</v>
      </c>
      <c r="D17" t="s">
        <v>5551</v>
      </c>
      <c r="E17">
        <v>2024</v>
      </c>
      <c r="F17" t="s">
        <v>5553</v>
      </c>
    </row>
    <row r="18" spans="1:6" x14ac:dyDescent="0.3">
      <c r="A18" t="s">
        <v>2017</v>
      </c>
      <c r="B18" t="s">
        <v>1026</v>
      </c>
      <c r="C18">
        <v>17</v>
      </c>
      <c r="D18" t="s">
        <v>5551</v>
      </c>
      <c r="E18">
        <v>2024</v>
      </c>
      <c r="F18" t="s">
        <v>5554</v>
      </c>
    </row>
    <row r="19" spans="1:6" x14ac:dyDescent="0.3">
      <c r="A19" t="s">
        <v>879</v>
      </c>
      <c r="B19" t="s">
        <v>179</v>
      </c>
      <c r="C19">
        <v>18</v>
      </c>
      <c r="D19" t="s">
        <v>5551</v>
      </c>
      <c r="E19">
        <v>2024</v>
      </c>
      <c r="F19" t="s">
        <v>5555</v>
      </c>
    </row>
    <row r="20" spans="1:6" x14ac:dyDescent="0.3">
      <c r="A20" t="s">
        <v>147</v>
      </c>
      <c r="B20" t="s">
        <v>151</v>
      </c>
      <c r="C20">
        <v>19</v>
      </c>
      <c r="D20" t="s">
        <v>5551</v>
      </c>
      <c r="E20">
        <v>2024</v>
      </c>
      <c r="F20" t="s">
        <v>5556</v>
      </c>
    </row>
    <row r="21" spans="1:6" x14ac:dyDescent="0.3">
      <c r="A21" t="s">
        <v>1412</v>
      </c>
      <c r="B21" t="s">
        <v>1414</v>
      </c>
      <c r="C21">
        <v>20</v>
      </c>
      <c r="D21" t="s">
        <v>5551</v>
      </c>
      <c r="E21">
        <v>2024</v>
      </c>
      <c r="F21" t="s">
        <v>5557</v>
      </c>
    </row>
    <row r="22" spans="1:6" x14ac:dyDescent="0.3">
      <c r="A22" t="s">
        <v>2073</v>
      </c>
      <c r="B22" t="s">
        <v>1300</v>
      </c>
      <c r="C22">
        <v>21</v>
      </c>
      <c r="D22" t="s">
        <v>5551</v>
      </c>
      <c r="E22">
        <v>2024</v>
      </c>
      <c r="F22" t="s">
        <v>5558</v>
      </c>
    </row>
    <row r="23" spans="1:6" x14ac:dyDescent="0.3">
      <c r="A23" t="s">
        <v>1465</v>
      </c>
      <c r="B23" t="s">
        <v>1415</v>
      </c>
      <c r="C23">
        <v>22</v>
      </c>
      <c r="D23" t="s">
        <v>5551</v>
      </c>
      <c r="E23">
        <v>2024</v>
      </c>
      <c r="F23" t="s">
        <v>5552</v>
      </c>
    </row>
    <row r="24" spans="1:6" x14ac:dyDescent="0.3">
      <c r="A24" t="s">
        <v>1534</v>
      </c>
      <c r="B24" t="s">
        <v>152</v>
      </c>
      <c r="C24">
        <v>23</v>
      </c>
      <c r="D24" t="s">
        <v>5551</v>
      </c>
      <c r="E24">
        <v>2024</v>
      </c>
      <c r="F24" t="s">
        <v>5553</v>
      </c>
    </row>
    <row r="25" spans="1:6" x14ac:dyDescent="0.3">
      <c r="A25" t="s">
        <v>2935</v>
      </c>
      <c r="B25" t="s">
        <v>2840</v>
      </c>
      <c r="C25">
        <v>24</v>
      </c>
      <c r="D25" t="s">
        <v>5551</v>
      </c>
      <c r="E25">
        <v>2024</v>
      </c>
      <c r="F25" t="s">
        <v>5554</v>
      </c>
    </row>
    <row r="26" spans="1:6" x14ac:dyDescent="0.3">
      <c r="A26" t="s">
        <v>1206</v>
      </c>
      <c r="B26" t="s">
        <v>1208</v>
      </c>
      <c r="C26">
        <v>25</v>
      </c>
      <c r="D26" t="s">
        <v>5551</v>
      </c>
      <c r="E26">
        <v>2024</v>
      </c>
      <c r="F26" t="s">
        <v>5555</v>
      </c>
    </row>
    <row r="27" spans="1:6" x14ac:dyDescent="0.3">
      <c r="A27" t="s">
        <v>980</v>
      </c>
      <c r="B27" t="s">
        <v>983</v>
      </c>
      <c r="C27">
        <v>26</v>
      </c>
      <c r="D27" t="s">
        <v>5551</v>
      </c>
      <c r="E27">
        <v>2024</v>
      </c>
      <c r="F27" t="s">
        <v>5556</v>
      </c>
    </row>
    <row r="28" spans="1:6" x14ac:dyDescent="0.3">
      <c r="A28" t="s">
        <v>3174</v>
      </c>
      <c r="B28" t="s">
        <v>1407</v>
      </c>
      <c r="C28">
        <v>27</v>
      </c>
      <c r="D28" t="s">
        <v>5551</v>
      </c>
      <c r="E28">
        <v>2024</v>
      </c>
      <c r="F28" t="s">
        <v>5557</v>
      </c>
    </row>
    <row r="29" spans="1:6" x14ac:dyDescent="0.3">
      <c r="A29" t="s">
        <v>1817</v>
      </c>
      <c r="B29" t="s">
        <v>984</v>
      </c>
      <c r="C29">
        <v>28</v>
      </c>
      <c r="D29" t="s">
        <v>5551</v>
      </c>
      <c r="E29">
        <v>2024</v>
      </c>
      <c r="F29" t="s">
        <v>5558</v>
      </c>
    </row>
    <row r="30" spans="1:6" x14ac:dyDescent="0.3">
      <c r="A30" t="s">
        <v>2395</v>
      </c>
      <c r="B30" t="s">
        <v>2398</v>
      </c>
      <c r="C30">
        <v>29</v>
      </c>
      <c r="D30" t="s">
        <v>5551</v>
      </c>
      <c r="E30">
        <v>2024</v>
      </c>
      <c r="F30" t="s">
        <v>5552</v>
      </c>
    </row>
    <row r="31" spans="1:6" x14ac:dyDescent="0.3">
      <c r="A31" t="s">
        <v>777</v>
      </c>
      <c r="B31" t="s">
        <v>780</v>
      </c>
      <c r="C31">
        <v>30</v>
      </c>
      <c r="D31" t="s">
        <v>5551</v>
      </c>
      <c r="E31">
        <v>2024</v>
      </c>
      <c r="F31" t="s">
        <v>5553</v>
      </c>
    </row>
    <row r="32" spans="1:6" x14ac:dyDescent="0.3">
      <c r="A32" t="s">
        <v>324</v>
      </c>
      <c r="B32" t="s">
        <v>327</v>
      </c>
      <c r="C32">
        <v>31</v>
      </c>
      <c r="D32" t="s">
        <v>5551</v>
      </c>
      <c r="E32">
        <v>2024</v>
      </c>
      <c r="F32" t="s">
        <v>5554</v>
      </c>
    </row>
    <row r="33" spans="1:6" x14ac:dyDescent="0.3">
      <c r="A33" t="s">
        <v>1032</v>
      </c>
      <c r="B33" t="s">
        <v>1035</v>
      </c>
      <c r="C33">
        <v>1</v>
      </c>
      <c r="D33" t="s">
        <v>5559</v>
      </c>
      <c r="E33">
        <v>2024</v>
      </c>
      <c r="F33" t="s">
        <v>5555</v>
      </c>
    </row>
    <row r="34" spans="1:6" x14ac:dyDescent="0.3">
      <c r="A34" t="s">
        <v>741</v>
      </c>
      <c r="B34" t="s">
        <v>744</v>
      </c>
      <c r="C34">
        <v>2</v>
      </c>
      <c r="D34" t="s">
        <v>5559</v>
      </c>
      <c r="E34">
        <v>2024</v>
      </c>
      <c r="F34" t="s">
        <v>5556</v>
      </c>
    </row>
    <row r="35" spans="1:6" x14ac:dyDescent="0.3">
      <c r="A35" t="s">
        <v>1527</v>
      </c>
      <c r="B35" t="s">
        <v>781</v>
      </c>
      <c r="C35">
        <v>3</v>
      </c>
      <c r="D35" t="s">
        <v>5559</v>
      </c>
      <c r="E35">
        <v>2024</v>
      </c>
      <c r="F35" t="s">
        <v>5557</v>
      </c>
    </row>
    <row r="36" spans="1:6" x14ac:dyDescent="0.3">
      <c r="A36" t="s">
        <v>960</v>
      </c>
      <c r="B36" t="s">
        <v>963</v>
      </c>
      <c r="C36">
        <v>4</v>
      </c>
      <c r="D36" t="s">
        <v>5559</v>
      </c>
      <c r="E36">
        <v>2024</v>
      </c>
      <c r="F36" t="s">
        <v>5558</v>
      </c>
    </row>
    <row r="37" spans="1:6" x14ac:dyDescent="0.3">
      <c r="A37" t="s">
        <v>2146</v>
      </c>
      <c r="B37" t="s">
        <v>328</v>
      </c>
      <c r="C37">
        <v>5</v>
      </c>
      <c r="D37" t="s">
        <v>5559</v>
      </c>
      <c r="E37">
        <v>2024</v>
      </c>
      <c r="F37" t="s">
        <v>5552</v>
      </c>
    </row>
    <row r="38" spans="1:6" x14ac:dyDescent="0.3">
      <c r="A38" t="s">
        <v>674</v>
      </c>
      <c r="B38" t="s">
        <v>677</v>
      </c>
      <c r="C38">
        <v>6</v>
      </c>
      <c r="D38" t="s">
        <v>5559</v>
      </c>
      <c r="E38">
        <v>2024</v>
      </c>
      <c r="F38" t="s">
        <v>5553</v>
      </c>
    </row>
    <row r="39" spans="1:6" x14ac:dyDescent="0.3">
      <c r="A39" t="s">
        <v>2338</v>
      </c>
      <c r="B39" t="s">
        <v>2340</v>
      </c>
      <c r="C39">
        <v>7</v>
      </c>
      <c r="D39" t="s">
        <v>5559</v>
      </c>
      <c r="E39">
        <v>2024</v>
      </c>
      <c r="F39" t="s">
        <v>5554</v>
      </c>
    </row>
    <row r="40" spans="1:6" x14ac:dyDescent="0.3">
      <c r="A40" t="s">
        <v>181</v>
      </c>
      <c r="B40" t="s">
        <v>184</v>
      </c>
      <c r="C40">
        <v>8</v>
      </c>
      <c r="D40" t="s">
        <v>5559</v>
      </c>
      <c r="E40">
        <v>2024</v>
      </c>
      <c r="F40" t="s">
        <v>5555</v>
      </c>
    </row>
    <row r="41" spans="1:6" x14ac:dyDescent="0.3">
      <c r="A41" t="s">
        <v>450</v>
      </c>
      <c r="B41" t="s">
        <v>453</v>
      </c>
      <c r="C41">
        <v>9</v>
      </c>
      <c r="D41" t="s">
        <v>5559</v>
      </c>
      <c r="E41">
        <v>2024</v>
      </c>
      <c r="F41" t="s">
        <v>5556</v>
      </c>
    </row>
    <row r="42" spans="1:6" x14ac:dyDescent="0.3">
      <c r="A42" t="s">
        <v>1572</v>
      </c>
      <c r="B42" t="s">
        <v>1575</v>
      </c>
      <c r="C42">
        <v>10</v>
      </c>
      <c r="D42" t="s">
        <v>5559</v>
      </c>
      <c r="E42">
        <v>2024</v>
      </c>
      <c r="F42" t="s">
        <v>5557</v>
      </c>
    </row>
    <row r="43" spans="1:6" x14ac:dyDescent="0.3">
      <c r="A43" t="s">
        <v>1790</v>
      </c>
      <c r="B43" t="s">
        <v>1793</v>
      </c>
      <c r="C43">
        <v>11</v>
      </c>
      <c r="D43" t="s">
        <v>5559</v>
      </c>
      <c r="E43">
        <v>2024</v>
      </c>
      <c r="F43" t="s">
        <v>5558</v>
      </c>
    </row>
    <row r="44" spans="1:6" x14ac:dyDescent="0.3">
      <c r="A44" t="s">
        <v>456</v>
      </c>
      <c r="B44" t="s">
        <v>454</v>
      </c>
      <c r="C44">
        <v>12</v>
      </c>
      <c r="D44" t="s">
        <v>5559</v>
      </c>
      <c r="E44">
        <v>2024</v>
      </c>
      <c r="F44" t="s">
        <v>5552</v>
      </c>
    </row>
    <row r="45" spans="1:6" x14ac:dyDescent="0.3">
      <c r="A45" t="s">
        <v>1627</v>
      </c>
      <c r="B45" t="s">
        <v>185</v>
      </c>
      <c r="C45">
        <v>13</v>
      </c>
      <c r="D45" t="s">
        <v>5559</v>
      </c>
      <c r="E45">
        <v>2024</v>
      </c>
      <c r="F45" t="s">
        <v>5553</v>
      </c>
    </row>
    <row r="46" spans="1:6" x14ac:dyDescent="0.3">
      <c r="A46" t="s">
        <v>2457</v>
      </c>
      <c r="B46" t="s">
        <v>460</v>
      </c>
      <c r="C46">
        <v>14</v>
      </c>
      <c r="D46" t="s">
        <v>5559</v>
      </c>
      <c r="E46">
        <v>2024</v>
      </c>
      <c r="F46" t="s">
        <v>5554</v>
      </c>
    </row>
    <row r="47" spans="1:6" x14ac:dyDescent="0.3">
      <c r="A47" t="s">
        <v>1192</v>
      </c>
      <c r="B47" t="s">
        <v>1195</v>
      </c>
      <c r="C47">
        <v>15</v>
      </c>
      <c r="D47" t="s">
        <v>5559</v>
      </c>
      <c r="E47">
        <v>2024</v>
      </c>
      <c r="F47" t="s">
        <v>5555</v>
      </c>
    </row>
    <row r="48" spans="1:6" x14ac:dyDescent="0.3">
      <c r="A48" t="s">
        <v>335</v>
      </c>
      <c r="B48" t="s">
        <v>338</v>
      </c>
      <c r="C48">
        <v>16</v>
      </c>
      <c r="D48" t="s">
        <v>5559</v>
      </c>
      <c r="E48">
        <v>2024</v>
      </c>
      <c r="F48" t="s">
        <v>5556</v>
      </c>
    </row>
    <row r="49" spans="1:6" x14ac:dyDescent="0.3">
      <c r="A49" t="s">
        <v>29</v>
      </c>
      <c r="B49" t="s">
        <v>34</v>
      </c>
      <c r="C49">
        <v>17</v>
      </c>
      <c r="D49" t="s">
        <v>5559</v>
      </c>
      <c r="E49">
        <v>2024</v>
      </c>
      <c r="F49" t="s">
        <v>5557</v>
      </c>
    </row>
    <row r="50" spans="1:6" x14ac:dyDescent="0.3">
      <c r="A50" t="s">
        <v>401</v>
      </c>
      <c r="B50" t="s">
        <v>35</v>
      </c>
      <c r="C50">
        <v>18</v>
      </c>
      <c r="D50" t="s">
        <v>5559</v>
      </c>
      <c r="E50">
        <v>2024</v>
      </c>
      <c r="F50" t="s">
        <v>5558</v>
      </c>
    </row>
    <row r="51" spans="1:6" x14ac:dyDescent="0.3">
      <c r="A51" t="s">
        <v>991</v>
      </c>
      <c r="B51" t="s">
        <v>994</v>
      </c>
      <c r="C51">
        <v>19</v>
      </c>
      <c r="D51" t="s">
        <v>5559</v>
      </c>
      <c r="E51">
        <v>2024</v>
      </c>
      <c r="F51" t="s">
        <v>5552</v>
      </c>
    </row>
    <row r="52" spans="1:6" x14ac:dyDescent="0.3">
      <c r="A52" t="s">
        <v>943</v>
      </c>
      <c r="B52" t="s">
        <v>339</v>
      </c>
      <c r="C52">
        <v>20</v>
      </c>
      <c r="D52" t="s">
        <v>5559</v>
      </c>
      <c r="E52">
        <v>2024</v>
      </c>
      <c r="F52" t="s">
        <v>5553</v>
      </c>
    </row>
    <row r="53" spans="1:6" x14ac:dyDescent="0.3">
      <c r="A53" t="s">
        <v>235</v>
      </c>
      <c r="B53" t="s">
        <v>238</v>
      </c>
      <c r="C53">
        <v>21</v>
      </c>
      <c r="D53" t="s">
        <v>5559</v>
      </c>
      <c r="E53">
        <v>2024</v>
      </c>
      <c r="F53" t="s">
        <v>5554</v>
      </c>
    </row>
    <row r="54" spans="1:6" x14ac:dyDescent="0.3">
      <c r="A54" t="s">
        <v>746</v>
      </c>
      <c r="B54" t="s">
        <v>749</v>
      </c>
      <c r="C54">
        <v>22</v>
      </c>
      <c r="D54" t="s">
        <v>5559</v>
      </c>
      <c r="E54">
        <v>2024</v>
      </c>
      <c r="F54" t="s">
        <v>5555</v>
      </c>
    </row>
    <row r="55" spans="1:6" x14ac:dyDescent="0.3">
      <c r="A55" t="s">
        <v>1869</v>
      </c>
      <c r="B55" t="s">
        <v>404</v>
      </c>
      <c r="C55">
        <v>23</v>
      </c>
      <c r="D55" t="s">
        <v>5559</v>
      </c>
      <c r="E55">
        <v>2024</v>
      </c>
      <c r="F55" t="s">
        <v>5556</v>
      </c>
    </row>
    <row r="56" spans="1:6" x14ac:dyDescent="0.3">
      <c r="A56" t="s">
        <v>1661</v>
      </c>
      <c r="B56" t="s">
        <v>946</v>
      </c>
      <c r="C56">
        <v>24</v>
      </c>
      <c r="D56" t="s">
        <v>5559</v>
      </c>
      <c r="E56">
        <v>2024</v>
      </c>
      <c r="F56" t="s">
        <v>5557</v>
      </c>
    </row>
    <row r="57" spans="1:6" x14ac:dyDescent="0.3">
      <c r="A57" t="s">
        <v>1216</v>
      </c>
      <c r="B57" t="s">
        <v>1219</v>
      </c>
      <c r="C57">
        <v>25</v>
      </c>
      <c r="D57" t="s">
        <v>5559</v>
      </c>
      <c r="E57">
        <v>2024</v>
      </c>
      <c r="F57" t="s">
        <v>5558</v>
      </c>
    </row>
    <row r="58" spans="1:6" x14ac:dyDescent="0.3">
      <c r="A58" t="s">
        <v>2717</v>
      </c>
      <c r="B58" t="s">
        <v>239</v>
      </c>
      <c r="C58">
        <v>26</v>
      </c>
      <c r="D58" t="s">
        <v>5559</v>
      </c>
      <c r="E58">
        <v>2024</v>
      </c>
      <c r="F58" t="s">
        <v>5552</v>
      </c>
    </row>
    <row r="59" spans="1:6" x14ac:dyDescent="0.3">
      <c r="A59" t="s">
        <v>1017</v>
      </c>
      <c r="B59" t="s">
        <v>1020</v>
      </c>
      <c r="C59">
        <v>27</v>
      </c>
      <c r="D59" t="s">
        <v>5559</v>
      </c>
      <c r="E59">
        <v>2024</v>
      </c>
      <c r="F59" t="s">
        <v>5553</v>
      </c>
    </row>
    <row r="60" spans="1:6" x14ac:dyDescent="0.3">
      <c r="A60" t="s">
        <v>300</v>
      </c>
      <c r="B60" t="s">
        <v>303</v>
      </c>
      <c r="C60">
        <v>28</v>
      </c>
      <c r="D60" t="s">
        <v>5559</v>
      </c>
      <c r="E60">
        <v>2024</v>
      </c>
      <c r="F60" t="s">
        <v>5554</v>
      </c>
    </row>
    <row r="61" spans="1:6" x14ac:dyDescent="0.3">
      <c r="A61" t="s">
        <v>4778</v>
      </c>
      <c r="B61" t="s">
        <v>1220</v>
      </c>
      <c r="C61">
        <v>29</v>
      </c>
      <c r="D61" t="s">
        <v>5559</v>
      </c>
      <c r="E61">
        <v>2024</v>
      </c>
      <c r="F61" t="s">
        <v>5555</v>
      </c>
    </row>
    <row r="62" spans="1:6" x14ac:dyDescent="0.3">
      <c r="A62" t="s">
        <v>3718</v>
      </c>
      <c r="B62" t="s">
        <v>672</v>
      </c>
      <c r="C62">
        <v>1</v>
      </c>
      <c r="D62" t="s">
        <v>5560</v>
      </c>
      <c r="E62">
        <v>2024</v>
      </c>
      <c r="F62" t="s">
        <v>5556</v>
      </c>
    </row>
    <row r="63" spans="1:6" x14ac:dyDescent="0.3">
      <c r="A63" t="s">
        <v>900</v>
      </c>
      <c r="B63" t="s">
        <v>903</v>
      </c>
      <c r="C63">
        <v>2</v>
      </c>
      <c r="D63" t="s">
        <v>5560</v>
      </c>
      <c r="E63">
        <v>2024</v>
      </c>
      <c r="F63" t="s">
        <v>5557</v>
      </c>
    </row>
    <row r="64" spans="1:6" x14ac:dyDescent="0.3">
      <c r="A64" t="s">
        <v>1597</v>
      </c>
      <c r="B64" t="s">
        <v>304</v>
      </c>
      <c r="C64">
        <v>3</v>
      </c>
      <c r="D64" t="s">
        <v>5560</v>
      </c>
      <c r="E64">
        <v>2024</v>
      </c>
      <c r="F64" t="s">
        <v>5558</v>
      </c>
    </row>
    <row r="65" spans="1:6" x14ac:dyDescent="0.3">
      <c r="A65" t="s">
        <v>3654</v>
      </c>
      <c r="B65" t="s">
        <v>1100</v>
      </c>
      <c r="C65">
        <v>4</v>
      </c>
      <c r="D65" t="s">
        <v>5560</v>
      </c>
      <c r="E65">
        <v>2024</v>
      </c>
      <c r="F65" t="s">
        <v>5552</v>
      </c>
    </row>
    <row r="66" spans="1:6" x14ac:dyDescent="0.3">
      <c r="A66" t="s">
        <v>643</v>
      </c>
      <c r="B66" t="s">
        <v>645</v>
      </c>
      <c r="C66">
        <v>5</v>
      </c>
      <c r="D66" t="s">
        <v>5560</v>
      </c>
      <c r="E66">
        <v>2024</v>
      </c>
      <c r="F66" t="s">
        <v>5553</v>
      </c>
    </row>
    <row r="67" spans="1:6" x14ac:dyDescent="0.3">
      <c r="A67" t="s">
        <v>2190</v>
      </c>
      <c r="B67" t="s">
        <v>1471</v>
      </c>
      <c r="C67">
        <v>6</v>
      </c>
      <c r="D67" t="s">
        <v>5560</v>
      </c>
      <c r="E67">
        <v>2024</v>
      </c>
      <c r="F67" t="s">
        <v>5554</v>
      </c>
    </row>
    <row r="68" spans="1:6" x14ac:dyDescent="0.3">
      <c r="A68" t="s">
        <v>141</v>
      </c>
      <c r="B68" t="s">
        <v>144</v>
      </c>
      <c r="C68">
        <v>7</v>
      </c>
      <c r="D68" t="s">
        <v>5560</v>
      </c>
      <c r="E68">
        <v>2024</v>
      </c>
      <c r="F68" t="s">
        <v>5555</v>
      </c>
    </row>
    <row r="69" spans="1:6" x14ac:dyDescent="0.3">
      <c r="A69" t="s">
        <v>2499</v>
      </c>
      <c r="B69" t="s">
        <v>646</v>
      </c>
      <c r="C69">
        <v>8</v>
      </c>
      <c r="D69" t="s">
        <v>5560</v>
      </c>
      <c r="E69">
        <v>2024</v>
      </c>
      <c r="F69" t="s">
        <v>5556</v>
      </c>
    </row>
    <row r="70" spans="1:6" x14ac:dyDescent="0.3">
      <c r="A70" t="s">
        <v>1795</v>
      </c>
      <c r="B70" t="s">
        <v>1797</v>
      </c>
      <c r="C70">
        <v>9</v>
      </c>
      <c r="D70" t="s">
        <v>5560</v>
      </c>
      <c r="E70">
        <v>2024</v>
      </c>
      <c r="F70" t="s">
        <v>5557</v>
      </c>
    </row>
    <row r="71" spans="1:6" x14ac:dyDescent="0.3">
      <c r="A71" t="s">
        <v>3966</v>
      </c>
      <c r="B71" t="s">
        <v>145</v>
      </c>
      <c r="C71">
        <v>10</v>
      </c>
      <c r="D71" t="s">
        <v>5560</v>
      </c>
      <c r="E71">
        <v>2024</v>
      </c>
      <c r="F71" t="s">
        <v>5558</v>
      </c>
    </row>
    <row r="72" spans="1:6" x14ac:dyDescent="0.3">
      <c r="A72" t="s">
        <v>722</v>
      </c>
      <c r="B72" t="s">
        <v>725</v>
      </c>
      <c r="C72">
        <v>11</v>
      </c>
      <c r="D72" t="s">
        <v>5560</v>
      </c>
      <c r="E72">
        <v>2024</v>
      </c>
      <c r="F72" t="s">
        <v>5552</v>
      </c>
    </row>
    <row r="73" spans="1:6" x14ac:dyDescent="0.3">
      <c r="A73" t="s">
        <v>508</v>
      </c>
      <c r="B73" t="s">
        <v>511</v>
      </c>
      <c r="C73">
        <v>12</v>
      </c>
      <c r="D73" t="s">
        <v>5560</v>
      </c>
      <c r="E73">
        <v>2024</v>
      </c>
      <c r="F73" t="s">
        <v>5553</v>
      </c>
    </row>
    <row r="74" spans="1:6" x14ac:dyDescent="0.3">
      <c r="A74" t="s">
        <v>1933</v>
      </c>
      <c r="B74" t="s">
        <v>726</v>
      </c>
      <c r="C74">
        <v>13</v>
      </c>
      <c r="D74" t="s">
        <v>5560</v>
      </c>
      <c r="E74">
        <v>2024</v>
      </c>
      <c r="F74" t="s">
        <v>5554</v>
      </c>
    </row>
    <row r="75" spans="1:6" x14ac:dyDescent="0.3">
      <c r="A75" t="s">
        <v>2761</v>
      </c>
      <c r="B75" t="s">
        <v>2550</v>
      </c>
      <c r="C75">
        <v>14</v>
      </c>
      <c r="D75" t="s">
        <v>5560</v>
      </c>
      <c r="E75">
        <v>2024</v>
      </c>
      <c r="F75" t="s">
        <v>5555</v>
      </c>
    </row>
    <row r="76" spans="1:6" x14ac:dyDescent="0.3">
      <c r="A76" t="s">
        <v>631</v>
      </c>
      <c r="B76" t="s">
        <v>634</v>
      </c>
      <c r="C76">
        <v>15</v>
      </c>
      <c r="D76" t="s">
        <v>5560</v>
      </c>
      <c r="E76">
        <v>2024</v>
      </c>
      <c r="F76" t="s">
        <v>5556</v>
      </c>
    </row>
    <row r="77" spans="1:6" x14ac:dyDescent="0.3">
      <c r="A77" t="s">
        <v>530</v>
      </c>
      <c r="B77" t="s">
        <v>512</v>
      </c>
      <c r="C77">
        <v>16</v>
      </c>
      <c r="D77" t="s">
        <v>5560</v>
      </c>
      <c r="E77">
        <v>2024</v>
      </c>
      <c r="F77" t="s">
        <v>5557</v>
      </c>
    </row>
    <row r="78" spans="1:6" x14ac:dyDescent="0.3">
      <c r="A78" t="s">
        <v>2328</v>
      </c>
      <c r="B78" t="s">
        <v>533</v>
      </c>
      <c r="C78">
        <v>17</v>
      </c>
      <c r="D78" t="s">
        <v>5560</v>
      </c>
      <c r="E78">
        <v>2024</v>
      </c>
      <c r="F78" t="s">
        <v>5558</v>
      </c>
    </row>
    <row r="79" spans="1:6" x14ac:dyDescent="0.3">
      <c r="A79" t="s">
        <v>2413</v>
      </c>
      <c r="B79" t="s">
        <v>739</v>
      </c>
      <c r="C79">
        <v>18</v>
      </c>
      <c r="D79" t="s">
        <v>5560</v>
      </c>
      <c r="E79">
        <v>2024</v>
      </c>
      <c r="F79" t="s">
        <v>5552</v>
      </c>
    </row>
    <row r="80" spans="1:6" x14ac:dyDescent="0.3">
      <c r="A80" t="s">
        <v>1722</v>
      </c>
      <c r="B80" t="s">
        <v>635</v>
      </c>
      <c r="C80">
        <v>19</v>
      </c>
      <c r="D80" t="s">
        <v>5560</v>
      </c>
      <c r="E80">
        <v>2024</v>
      </c>
      <c r="F80" t="s">
        <v>5553</v>
      </c>
    </row>
    <row r="81" spans="1:6" x14ac:dyDescent="0.3">
      <c r="A81" t="s">
        <v>520</v>
      </c>
      <c r="B81" t="s">
        <v>523</v>
      </c>
      <c r="C81">
        <v>20</v>
      </c>
      <c r="D81" t="s">
        <v>5560</v>
      </c>
      <c r="E81">
        <v>2024</v>
      </c>
      <c r="F81" t="s">
        <v>5554</v>
      </c>
    </row>
    <row r="82" spans="1:6" x14ac:dyDescent="0.3">
      <c r="A82" t="s">
        <v>1606</v>
      </c>
      <c r="B82" t="s">
        <v>524</v>
      </c>
      <c r="C82">
        <v>21</v>
      </c>
      <c r="D82" t="s">
        <v>5560</v>
      </c>
      <c r="E82">
        <v>2024</v>
      </c>
      <c r="F82" t="s">
        <v>5555</v>
      </c>
    </row>
    <row r="83" spans="1:6" x14ac:dyDescent="0.3">
      <c r="A83" t="s">
        <v>2642</v>
      </c>
      <c r="B83" t="s">
        <v>1363</v>
      </c>
      <c r="C83">
        <v>22</v>
      </c>
      <c r="D83" t="s">
        <v>5560</v>
      </c>
      <c r="E83">
        <v>2024</v>
      </c>
      <c r="F83" t="s">
        <v>5556</v>
      </c>
    </row>
    <row r="84" spans="1:6" x14ac:dyDescent="0.3">
      <c r="A84" t="s">
        <v>1293</v>
      </c>
      <c r="B84" t="s">
        <v>1296</v>
      </c>
      <c r="C84">
        <v>23</v>
      </c>
      <c r="D84" t="s">
        <v>5560</v>
      </c>
      <c r="E84">
        <v>2024</v>
      </c>
      <c r="F84" t="s">
        <v>5557</v>
      </c>
    </row>
    <row r="85" spans="1:6" x14ac:dyDescent="0.3">
      <c r="A85" t="s">
        <v>82</v>
      </c>
      <c r="B85" t="s">
        <v>87</v>
      </c>
      <c r="C85">
        <v>24</v>
      </c>
      <c r="D85" t="s">
        <v>5560</v>
      </c>
      <c r="E85">
        <v>2024</v>
      </c>
      <c r="F85" t="s">
        <v>5558</v>
      </c>
    </row>
    <row r="86" spans="1:6" x14ac:dyDescent="0.3">
      <c r="A86" t="s">
        <v>319</v>
      </c>
      <c r="B86" t="s">
        <v>322</v>
      </c>
      <c r="C86">
        <v>25</v>
      </c>
      <c r="D86" t="s">
        <v>5560</v>
      </c>
      <c r="E86">
        <v>2024</v>
      </c>
      <c r="F86" t="s">
        <v>5552</v>
      </c>
    </row>
    <row r="87" spans="1:6" x14ac:dyDescent="0.3">
      <c r="A87" t="s">
        <v>3396</v>
      </c>
      <c r="B87" t="s">
        <v>695</v>
      </c>
      <c r="C87">
        <v>26</v>
      </c>
      <c r="D87" t="s">
        <v>5560</v>
      </c>
      <c r="E87">
        <v>2024</v>
      </c>
      <c r="F87" t="s">
        <v>5553</v>
      </c>
    </row>
    <row r="88" spans="1:6" x14ac:dyDescent="0.3">
      <c r="A88" t="s">
        <v>252</v>
      </c>
      <c r="B88" t="s">
        <v>88</v>
      </c>
      <c r="C88">
        <v>27</v>
      </c>
      <c r="D88" t="s">
        <v>5560</v>
      </c>
      <c r="E88">
        <v>2024</v>
      </c>
      <c r="F88" t="s">
        <v>5554</v>
      </c>
    </row>
    <row r="89" spans="1:6" x14ac:dyDescent="0.3">
      <c r="A89" t="s">
        <v>788</v>
      </c>
      <c r="B89" t="s">
        <v>791</v>
      </c>
      <c r="C89">
        <v>28</v>
      </c>
      <c r="D89" t="s">
        <v>5560</v>
      </c>
      <c r="E89">
        <v>2024</v>
      </c>
      <c r="F89" t="s">
        <v>5555</v>
      </c>
    </row>
    <row r="90" spans="1:6" x14ac:dyDescent="0.3">
      <c r="A90" t="s">
        <v>312</v>
      </c>
      <c r="B90" t="s">
        <v>316</v>
      </c>
      <c r="C90">
        <v>29</v>
      </c>
      <c r="D90" t="s">
        <v>5560</v>
      </c>
      <c r="E90">
        <v>2024</v>
      </c>
      <c r="F90" t="s">
        <v>5556</v>
      </c>
    </row>
    <row r="91" spans="1:6" x14ac:dyDescent="0.3">
      <c r="A91" t="s">
        <v>2260</v>
      </c>
      <c r="B91" t="s">
        <v>255</v>
      </c>
      <c r="C91">
        <v>30</v>
      </c>
      <c r="D91" t="s">
        <v>5560</v>
      </c>
      <c r="E91">
        <v>2024</v>
      </c>
      <c r="F91" t="s">
        <v>5557</v>
      </c>
    </row>
    <row r="92" spans="1:6" x14ac:dyDescent="0.3">
      <c r="A92" t="s">
        <v>514</v>
      </c>
      <c r="B92" t="s">
        <v>517</v>
      </c>
      <c r="C92">
        <v>31</v>
      </c>
      <c r="D92" t="s">
        <v>5560</v>
      </c>
      <c r="E92">
        <v>2024</v>
      </c>
      <c r="F92" t="s">
        <v>5558</v>
      </c>
    </row>
    <row r="93" spans="1:6" x14ac:dyDescent="0.3">
      <c r="A93" t="s">
        <v>3001</v>
      </c>
      <c r="B93" t="s">
        <v>518</v>
      </c>
      <c r="C93">
        <v>1</v>
      </c>
      <c r="D93" t="s">
        <v>5561</v>
      </c>
      <c r="E93">
        <v>2024</v>
      </c>
      <c r="F93" t="s">
        <v>5552</v>
      </c>
    </row>
    <row r="94" spans="1:6" x14ac:dyDescent="0.3">
      <c r="A94" t="s">
        <v>1004</v>
      </c>
      <c r="B94" t="s">
        <v>317</v>
      </c>
      <c r="C94">
        <v>2</v>
      </c>
      <c r="D94" t="s">
        <v>5561</v>
      </c>
      <c r="E94">
        <v>2024</v>
      </c>
      <c r="F94" t="s">
        <v>5553</v>
      </c>
    </row>
    <row r="95" spans="1:6" x14ac:dyDescent="0.3">
      <c r="A95" t="s">
        <v>1855</v>
      </c>
      <c r="B95" t="s">
        <v>1172</v>
      </c>
      <c r="C95">
        <v>3</v>
      </c>
      <c r="D95" t="s">
        <v>5561</v>
      </c>
      <c r="E95">
        <v>2024</v>
      </c>
      <c r="F95" t="s">
        <v>5554</v>
      </c>
    </row>
    <row r="96" spans="1:6" x14ac:dyDescent="0.3">
      <c r="A96" t="s">
        <v>2264</v>
      </c>
      <c r="B96" t="s">
        <v>1857</v>
      </c>
      <c r="C96">
        <v>4</v>
      </c>
      <c r="D96" t="s">
        <v>5561</v>
      </c>
      <c r="E96">
        <v>2024</v>
      </c>
      <c r="F96" t="s">
        <v>5555</v>
      </c>
    </row>
    <row r="97" spans="1:6" x14ac:dyDescent="0.3">
      <c r="A97" t="s">
        <v>1114</v>
      </c>
      <c r="B97" t="s">
        <v>1117</v>
      </c>
      <c r="C97">
        <v>5</v>
      </c>
      <c r="D97" t="s">
        <v>5561</v>
      </c>
      <c r="E97">
        <v>2024</v>
      </c>
      <c r="F97" t="s">
        <v>5556</v>
      </c>
    </row>
    <row r="98" spans="1:6" x14ac:dyDescent="0.3">
      <c r="A98" t="s">
        <v>1212</v>
      </c>
      <c r="B98" t="s">
        <v>1007</v>
      </c>
      <c r="C98">
        <v>6</v>
      </c>
      <c r="D98" t="s">
        <v>5561</v>
      </c>
      <c r="E98">
        <v>2024</v>
      </c>
      <c r="F98" t="s">
        <v>5557</v>
      </c>
    </row>
    <row r="99" spans="1:6" x14ac:dyDescent="0.3">
      <c r="A99" t="s">
        <v>2187</v>
      </c>
      <c r="B99" t="s">
        <v>1788</v>
      </c>
      <c r="C99">
        <v>7</v>
      </c>
      <c r="D99" t="s">
        <v>5561</v>
      </c>
      <c r="E99">
        <v>2024</v>
      </c>
      <c r="F99" t="s">
        <v>5558</v>
      </c>
    </row>
    <row r="100" spans="1:6" x14ac:dyDescent="0.3">
      <c r="A100" t="s">
        <v>1942</v>
      </c>
      <c r="B100" t="s">
        <v>1696</v>
      </c>
      <c r="C100">
        <v>8</v>
      </c>
      <c r="D100" t="s">
        <v>5561</v>
      </c>
      <c r="E100">
        <v>2024</v>
      </c>
      <c r="F100" t="s">
        <v>5552</v>
      </c>
    </row>
    <row r="101" spans="1:6" x14ac:dyDescent="0.3">
      <c r="A101" t="s">
        <v>766</v>
      </c>
      <c r="B101" t="s">
        <v>769</v>
      </c>
      <c r="C101">
        <v>9</v>
      </c>
      <c r="D101" t="s">
        <v>5561</v>
      </c>
      <c r="E101">
        <v>2024</v>
      </c>
      <c r="F101" t="s">
        <v>5553</v>
      </c>
    </row>
    <row r="102" spans="1:6" x14ac:dyDescent="0.3">
      <c r="A102" t="s">
        <v>492</v>
      </c>
      <c r="B102" t="s">
        <v>495</v>
      </c>
      <c r="C102">
        <v>10</v>
      </c>
      <c r="D102" t="s">
        <v>5561</v>
      </c>
      <c r="E102">
        <v>2024</v>
      </c>
      <c r="F102" t="s">
        <v>5554</v>
      </c>
    </row>
    <row r="103" spans="1:6" x14ac:dyDescent="0.3">
      <c r="A103" t="s">
        <v>976</v>
      </c>
      <c r="B103" t="s">
        <v>496</v>
      </c>
      <c r="C103">
        <v>11</v>
      </c>
      <c r="D103" t="s">
        <v>5561</v>
      </c>
      <c r="E103">
        <v>2024</v>
      </c>
      <c r="F103" t="s">
        <v>5555</v>
      </c>
    </row>
    <row r="104" spans="1:6" x14ac:dyDescent="0.3">
      <c r="A104" t="s">
        <v>2104</v>
      </c>
      <c r="B104" t="s">
        <v>2107</v>
      </c>
      <c r="C104">
        <v>12</v>
      </c>
      <c r="D104" t="s">
        <v>5561</v>
      </c>
      <c r="E104">
        <v>2024</v>
      </c>
      <c r="F104" t="s">
        <v>5556</v>
      </c>
    </row>
    <row r="105" spans="1:6" x14ac:dyDescent="0.3">
      <c r="A105" t="s">
        <v>712</v>
      </c>
      <c r="B105" t="s">
        <v>715</v>
      </c>
      <c r="C105">
        <v>13</v>
      </c>
      <c r="D105" t="s">
        <v>5561</v>
      </c>
      <c r="E105">
        <v>2024</v>
      </c>
      <c r="F105" t="s">
        <v>5557</v>
      </c>
    </row>
    <row r="106" spans="1:6" x14ac:dyDescent="0.3">
      <c r="A106" t="s">
        <v>986</v>
      </c>
      <c r="B106" t="s">
        <v>770</v>
      </c>
      <c r="C106">
        <v>14</v>
      </c>
      <c r="D106" t="s">
        <v>5561</v>
      </c>
      <c r="E106">
        <v>2024</v>
      </c>
      <c r="F106" t="s">
        <v>5558</v>
      </c>
    </row>
    <row r="107" spans="1:6" x14ac:dyDescent="0.3">
      <c r="A107" t="s">
        <v>359</v>
      </c>
      <c r="B107" t="s">
        <v>362</v>
      </c>
      <c r="C107">
        <v>15</v>
      </c>
      <c r="D107" t="s">
        <v>5561</v>
      </c>
      <c r="E107">
        <v>2024</v>
      </c>
      <c r="F107" t="s">
        <v>5552</v>
      </c>
    </row>
    <row r="108" spans="1:6" x14ac:dyDescent="0.3">
      <c r="A108" t="s">
        <v>1912</v>
      </c>
      <c r="B108" t="s">
        <v>363</v>
      </c>
      <c r="C108">
        <v>16</v>
      </c>
      <c r="D108" t="s">
        <v>5561</v>
      </c>
      <c r="E108">
        <v>2024</v>
      </c>
      <c r="F108" t="s">
        <v>5553</v>
      </c>
    </row>
    <row r="109" spans="1:6" x14ac:dyDescent="0.3">
      <c r="A109" t="s">
        <v>1318</v>
      </c>
      <c r="B109" t="s">
        <v>989</v>
      </c>
      <c r="C109">
        <v>17</v>
      </c>
      <c r="D109" t="s">
        <v>5561</v>
      </c>
      <c r="E109">
        <v>2024</v>
      </c>
      <c r="F109" t="s">
        <v>5554</v>
      </c>
    </row>
    <row r="110" spans="1:6" x14ac:dyDescent="0.3">
      <c r="A110" t="s">
        <v>1401</v>
      </c>
      <c r="B110" t="s">
        <v>1404</v>
      </c>
      <c r="C110">
        <v>18</v>
      </c>
      <c r="D110" t="s">
        <v>5561</v>
      </c>
      <c r="E110">
        <v>2024</v>
      </c>
      <c r="F110" t="s">
        <v>5555</v>
      </c>
    </row>
    <row r="111" spans="1:6" x14ac:dyDescent="0.3">
      <c r="A111" t="s">
        <v>1264</v>
      </c>
      <c r="B111" t="s">
        <v>1267</v>
      </c>
      <c r="C111">
        <v>19</v>
      </c>
      <c r="D111" t="s">
        <v>5561</v>
      </c>
      <c r="E111">
        <v>2024</v>
      </c>
      <c r="F111" t="s">
        <v>5556</v>
      </c>
    </row>
    <row r="112" spans="1:6" x14ac:dyDescent="0.3">
      <c r="A112" t="s">
        <v>2392</v>
      </c>
      <c r="B112" t="s">
        <v>1833</v>
      </c>
      <c r="C112">
        <v>20</v>
      </c>
      <c r="D112" t="s">
        <v>5561</v>
      </c>
      <c r="E112">
        <v>2024</v>
      </c>
      <c r="F112" t="s">
        <v>5557</v>
      </c>
    </row>
    <row r="113" spans="1:6" x14ac:dyDescent="0.3">
      <c r="A113" t="s">
        <v>1397</v>
      </c>
      <c r="B113" t="s">
        <v>1268</v>
      </c>
      <c r="C113">
        <v>21</v>
      </c>
      <c r="D113" t="s">
        <v>5561</v>
      </c>
      <c r="E113">
        <v>2024</v>
      </c>
      <c r="F113" t="s">
        <v>5558</v>
      </c>
    </row>
    <row r="114" spans="1:6" x14ac:dyDescent="0.3">
      <c r="A114" t="s">
        <v>585</v>
      </c>
      <c r="B114" t="s">
        <v>588</v>
      </c>
      <c r="C114">
        <v>22</v>
      </c>
      <c r="D114" t="s">
        <v>5561</v>
      </c>
      <c r="E114">
        <v>2024</v>
      </c>
      <c r="F114" t="s">
        <v>5552</v>
      </c>
    </row>
    <row r="115" spans="1:6" x14ac:dyDescent="0.3">
      <c r="A115" t="s">
        <v>1087</v>
      </c>
      <c r="B115" t="s">
        <v>1090</v>
      </c>
      <c r="C115">
        <v>23</v>
      </c>
      <c r="D115" t="s">
        <v>5561</v>
      </c>
      <c r="E115">
        <v>2024</v>
      </c>
      <c r="F115" t="s">
        <v>5553</v>
      </c>
    </row>
    <row r="116" spans="1:6" x14ac:dyDescent="0.3">
      <c r="A116" t="s">
        <v>1448</v>
      </c>
      <c r="B116" t="s">
        <v>1091</v>
      </c>
      <c r="C116">
        <v>24</v>
      </c>
      <c r="D116" t="s">
        <v>5561</v>
      </c>
      <c r="E116">
        <v>2024</v>
      </c>
      <c r="F116" t="s">
        <v>5554</v>
      </c>
    </row>
    <row r="117" spans="1:6" x14ac:dyDescent="0.3">
      <c r="A117" t="s">
        <v>161</v>
      </c>
      <c r="B117" t="s">
        <v>164</v>
      </c>
      <c r="C117">
        <v>25</v>
      </c>
      <c r="D117" t="s">
        <v>5561</v>
      </c>
      <c r="E117">
        <v>2024</v>
      </c>
      <c r="F117" t="s">
        <v>5555</v>
      </c>
    </row>
    <row r="118" spans="1:6" x14ac:dyDescent="0.3">
      <c r="A118" t="s">
        <v>1678</v>
      </c>
      <c r="B118" t="s">
        <v>1681</v>
      </c>
      <c r="C118">
        <v>26</v>
      </c>
      <c r="D118" t="s">
        <v>5561</v>
      </c>
      <c r="E118">
        <v>2024</v>
      </c>
      <c r="F118" t="s">
        <v>5556</v>
      </c>
    </row>
    <row r="119" spans="1:6" x14ac:dyDescent="0.3">
      <c r="A119" t="s">
        <v>1009</v>
      </c>
      <c r="B119" t="s">
        <v>1012</v>
      </c>
      <c r="C119">
        <v>27</v>
      </c>
      <c r="D119" t="s">
        <v>5561</v>
      </c>
      <c r="E119">
        <v>2024</v>
      </c>
      <c r="F119" t="s">
        <v>5557</v>
      </c>
    </row>
    <row r="120" spans="1:6" x14ac:dyDescent="0.3">
      <c r="A120" t="s">
        <v>910</v>
      </c>
      <c r="B120" t="s">
        <v>913</v>
      </c>
      <c r="C120">
        <v>28</v>
      </c>
      <c r="D120" t="s">
        <v>5561</v>
      </c>
      <c r="E120">
        <v>2024</v>
      </c>
      <c r="F120" t="s">
        <v>5558</v>
      </c>
    </row>
    <row r="121" spans="1:6" x14ac:dyDescent="0.3">
      <c r="A121" t="s">
        <v>212</v>
      </c>
      <c r="B121" t="s">
        <v>165</v>
      </c>
      <c r="C121">
        <v>29</v>
      </c>
      <c r="D121" t="s">
        <v>5561</v>
      </c>
      <c r="E121">
        <v>2024</v>
      </c>
      <c r="F121" t="s">
        <v>5552</v>
      </c>
    </row>
    <row r="122" spans="1:6" x14ac:dyDescent="0.3">
      <c r="A122" t="s">
        <v>2707</v>
      </c>
      <c r="B122" t="s">
        <v>216</v>
      </c>
      <c r="C122">
        <v>30</v>
      </c>
      <c r="D122" t="s">
        <v>5561</v>
      </c>
      <c r="E122">
        <v>2024</v>
      </c>
      <c r="F122" t="s">
        <v>5553</v>
      </c>
    </row>
    <row r="123" spans="1:6" x14ac:dyDescent="0.3">
      <c r="A123" t="s">
        <v>406</v>
      </c>
      <c r="B123" t="s">
        <v>409</v>
      </c>
      <c r="C123">
        <v>1</v>
      </c>
      <c r="D123" t="s">
        <v>5562</v>
      </c>
      <c r="E123">
        <v>2024</v>
      </c>
      <c r="F123" t="s">
        <v>5554</v>
      </c>
    </row>
    <row r="124" spans="1:6" x14ac:dyDescent="0.3">
      <c r="A124" t="s">
        <v>2356</v>
      </c>
      <c r="B124" t="s">
        <v>856</v>
      </c>
      <c r="C124">
        <v>2</v>
      </c>
      <c r="D124" t="s">
        <v>5562</v>
      </c>
      <c r="E124">
        <v>2024</v>
      </c>
      <c r="F124" t="s">
        <v>5555</v>
      </c>
    </row>
    <row r="125" spans="1:6" x14ac:dyDescent="0.3">
      <c r="A125" t="s">
        <v>2860</v>
      </c>
      <c r="B125" t="s">
        <v>410</v>
      </c>
      <c r="C125">
        <v>3</v>
      </c>
      <c r="D125" t="s">
        <v>5562</v>
      </c>
      <c r="E125">
        <v>2024</v>
      </c>
      <c r="F125" t="s">
        <v>5556</v>
      </c>
    </row>
    <row r="126" spans="1:6" x14ac:dyDescent="0.3">
      <c r="A126" t="s">
        <v>498</v>
      </c>
      <c r="B126" t="s">
        <v>501</v>
      </c>
      <c r="C126">
        <v>4</v>
      </c>
      <c r="D126" t="s">
        <v>5562</v>
      </c>
      <c r="E126">
        <v>2024</v>
      </c>
      <c r="F126" t="s">
        <v>5557</v>
      </c>
    </row>
    <row r="127" spans="1:6" x14ac:dyDescent="0.3">
      <c r="A127" t="s">
        <v>846</v>
      </c>
      <c r="B127" t="s">
        <v>849</v>
      </c>
      <c r="C127">
        <v>5</v>
      </c>
      <c r="D127" t="s">
        <v>5562</v>
      </c>
      <c r="E127">
        <v>2024</v>
      </c>
      <c r="F127" t="s">
        <v>5558</v>
      </c>
    </row>
    <row r="128" spans="1:6" x14ac:dyDescent="0.3">
      <c r="A128" t="s">
        <v>772</v>
      </c>
      <c r="B128" t="s">
        <v>775</v>
      </c>
      <c r="C128">
        <v>6</v>
      </c>
      <c r="D128" t="s">
        <v>5562</v>
      </c>
      <c r="E128">
        <v>2024</v>
      </c>
      <c r="F128" t="s">
        <v>5552</v>
      </c>
    </row>
    <row r="129" spans="1:6" x14ac:dyDescent="0.3">
      <c r="A129" t="s">
        <v>3218</v>
      </c>
      <c r="B129" t="s">
        <v>3220</v>
      </c>
      <c r="C129">
        <v>7</v>
      </c>
      <c r="D129" t="s">
        <v>5562</v>
      </c>
      <c r="E129">
        <v>2024</v>
      </c>
      <c r="F129" t="s">
        <v>5553</v>
      </c>
    </row>
    <row r="130" spans="1:6" x14ac:dyDescent="0.3">
      <c r="A130" t="s">
        <v>187</v>
      </c>
      <c r="B130" t="s">
        <v>190</v>
      </c>
      <c r="C130">
        <v>8</v>
      </c>
      <c r="D130" t="s">
        <v>5562</v>
      </c>
      <c r="E130">
        <v>2024</v>
      </c>
      <c r="F130" t="s">
        <v>5554</v>
      </c>
    </row>
    <row r="131" spans="1:6" x14ac:dyDescent="0.3">
      <c r="A131" t="s">
        <v>805</v>
      </c>
      <c r="B131" t="s">
        <v>502</v>
      </c>
      <c r="C131">
        <v>9</v>
      </c>
      <c r="D131" t="s">
        <v>5562</v>
      </c>
      <c r="E131">
        <v>2024</v>
      </c>
      <c r="F131" t="s">
        <v>5555</v>
      </c>
    </row>
    <row r="132" spans="1:6" x14ac:dyDescent="0.3">
      <c r="A132" t="s">
        <v>96</v>
      </c>
      <c r="B132" t="s">
        <v>100</v>
      </c>
      <c r="C132">
        <v>10</v>
      </c>
      <c r="D132" t="s">
        <v>5562</v>
      </c>
      <c r="E132">
        <v>2024</v>
      </c>
      <c r="F132" t="s">
        <v>5556</v>
      </c>
    </row>
    <row r="133" spans="1:6" x14ac:dyDescent="0.3">
      <c r="A133" t="s">
        <v>445</v>
      </c>
      <c r="B133" t="s">
        <v>448</v>
      </c>
      <c r="C133">
        <v>11</v>
      </c>
      <c r="D133" t="s">
        <v>5562</v>
      </c>
      <c r="E133">
        <v>2024</v>
      </c>
      <c r="F133" t="s">
        <v>5557</v>
      </c>
    </row>
    <row r="134" spans="1:6" x14ac:dyDescent="0.3">
      <c r="A134" t="s">
        <v>1368</v>
      </c>
      <c r="B134" t="s">
        <v>941</v>
      </c>
      <c r="C134">
        <v>12</v>
      </c>
      <c r="D134" t="s">
        <v>5562</v>
      </c>
      <c r="E134">
        <v>2024</v>
      </c>
      <c r="F134" t="s">
        <v>5558</v>
      </c>
    </row>
    <row r="135" spans="1:6" x14ac:dyDescent="0.3">
      <c r="A135" t="s">
        <v>1473</v>
      </c>
      <c r="B135" t="s">
        <v>191</v>
      </c>
      <c r="C135">
        <v>13</v>
      </c>
      <c r="D135" t="s">
        <v>5562</v>
      </c>
      <c r="E135">
        <v>2024</v>
      </c>
      <c r="F135" t="s">
        <v>5552</v>
      </c>
    </row>
    <row r="136" spans="1:6" x14ac:dyDescent="0.3">
      <c r="A136" t="s">
        <v>1510</v>
      </c>
      <c r="B136" t="s">
        <v>101</v>
      </c>
      <c r="C136">
        <v>14</v>
      </c>
      <c r="D136" t="s">
        <v>5562</v>
      </c>
      <c r="E136">
        <v>2024</v>
      </c>
      <c r="F136" t="s">
        <v>5553</v>
      </c>
    </row>
    <row r="137" spans="1:6" x14ac:dyDescent="0.3">
      <c r="A137" t="s">
        <v>1902</v>
      </c>
      <c r="B137" t="s">
        <v>1905</v>
      </c>
      <c r="C137">
        <v>15</v>
      </c>
      <c r="D137" t="s">
        <v>5562</v>
      </c>
      <c r="E137">
        <v>2024</v>
      </c>
      <c r="F137" t="s">
        <v>5554</v>
      </c>
    </row>
    <row r="138" spans="1:6" x14ac:dyDescent="0.3">
      <c r="A138" t="s">
        <v>1705</v>
      </c>
      <c r="B138" t="s">
        <v>1371</v>
      </c>
      <c r="C138">
        <v>16</v>
      </c>
      <c r="D138" t="s">
        <v>5562</v>
      </c>
      <c r="E138">
        <v>2024</v>
      </c>
      <c r="F138" t="s">
        <v>5555</v>
      </c>
    </row>
    <row r="139" spans="1:6" x14ac:dyDescent="0.3">
      <c r="A139" t="s">
        <v>617</v>
      </c>
      <c r="B139" t="s">
        <v>620</v>
      </c>
      <c r="C139">
        <v>17</v>
      </c>
      <c r="D139" t="s">
        <v>5562</v>
      </c>
      <c r="E139">
        <v>2024</v>
      </c>
      <c r="F139" t="s">
        <v>5556</v>
      </c>
    </row>
    <row r="140" spans="1:6" x14ac:dyDescent="0.3">
      <c r="A140" t="s">
        <v>2423</v>
      </c>
      <c r="B140" t="s">
        <v>621</v>
      </c>
      <c r="C140">
        <v>18</v>
      </c>
      <c r="D140" t="s">
        <v>5562</v>
      </c>
      <c r="E140">
        <v>2024</v>
      </c>
      <c r="F140" t="s">
        <v>5557</v>
      </c>
    </row>
    <row r="141" spans="1:6" x14ac:dyDescent="0.3">
      <c r="A141" t="s">
        <v>1557</v>
      </c>
      <c r="B141" t="s">
        <v>958</v>
      </c>
      <c r="C141">
        <v>19</v>
      </c>
      <c r="D141" t="s">
        <v>5562</v>
      </c>
      <c r="E141">
        <v>2024</v>
      </c>
      <c r="F141" t="s">
        <v>5558</v>
      </c>
    </row>
    <row r="142" spans="1:6" x14ac:dyDescent="0.3">
      <c r="A142" t="s">
        <v>2051</v>
      </c>
      <c r="B142" t="s">
        <v>1559</v>
      </c>
      <c r="C142">
        <v>20</v>
      </c>
      <c r="D142" t="s">
        <v>5562</v>
      </c>
      <c r="E142">
        <v>2024</v>
      </c>
      <c r="F142" t="s">
        <v>5552</v>
      </c>
    </row>
    <row r="143" spans="1:6" x14ac:dyDescent="0.3">
      <c r="A143" t="s">
        <v>823</v>
      </c>
      <c r="B143" t="s">
        <v>826</v>
      </c>
      <c r="C143">
        <v>21</v>
      </c>
      <c r="D143" t="s">
        <v>5562</v>
      </c>
      <c r="E143">
        <v>2024</v>
      </c>
      <c r="F143" t="s">
        <v>5553</v>
      </c>
    </row>
    <row r="144" spans="1:6" x14ac:dyDescent="0.3">
      <c r="A144" t="s">
        <v>67</v>
      </c>
      <c r="B144" t="s">
        <v>71</v>
      </c>
      <c r="C144">
        <v>22</v>
      </c>
      <c r="D144" t="s">
        <v>5562</v>
      </c>
      <c r="E144">
        <v>2024</v>
      </c>
      <c r="F144" t="s">
        <v>5554</v>
      </c>
    </row>
    <row r="145" spans="1:6" x14ac:dyDescent="0.3">
      <c r="A145" t="s">
        <v>1071</v>
      </c>
      <c r="B145" t="s">
        <v>1073</v>
      </c>
      <c r="C145">
        <v>23</v>
      </c>
      <c r="D145" t="s">
        <v>5562</v>
      </c>
      <c r="E145">
        <v>2024</v>
      </c>
      <c r="F145" t="s">
        <v>5555</v>
      </c>
    </row>
    <row r="146" spans="1:6" x14ac:dyDescent="0.3">
      <c r="A146" t="s">
        <v>1739</v>
      </c>
      <c r="B146" t="s">
        <v>373</v>
      </c>
      <c r="C146">
        <v>24</v>
      </c>
      <c r="D146" t="s">
        <v>5562</v>
      </c>
      <c r="E146">
        <v>2024</v>
      </c>
      <c r="F146" t="s">
        <v>5556</v>
      </c>
    </row>
    <row r="147" spans="1:6" x14ac:dyDescent="0.3">
      <c r="A147" t="s">
        <v>2153</v>
      </c>
      <c r="B147" t="s">
        <v>72</v>
      </c>
      <c r="C147">
        <v>25</v>
      </c>
      <c r="D147" t="s">
        <v>5562</v>
      </c>
      <c r="E147">
        <v>2024</v>
      </c>
      <c r="F147" t="s">
        <v>5557</v>
      </c>
    </row>
    <row r="148" spans="1:6" x14ac:dyDescent="0.3">
      <c r="A148" t="s">
        <v>20</v>
      </c>
      <c r="B148" t="s">
        <v>25</v>
      </c>
      <c r="C148">
        <v>26</v>
      </c>
      <c r="D148" t="s">
        <v>5562</v>
      </c>
      <c r="E148">
        <v>2024</v>
      </c>
      <c r="F148" t="s">
        <v>5558</v>
      </c>
    </row>
    <row r="149" spans="1:6" x14ac:dyDescent="0.3">
      <c r="A149" t="s">
        <v>1186</v>
      </c>
      <c r="B149" t="s">
        <v>931</v>
      </c>
      <c r="C149">
        <v>27</v>
      </c>
      <c r="D149" t="s">
        <v>5562</v>
      </c>
      <c r="E149">
        <v>2024</v>
      </c>
      <c r="F149" t="s">
        <v>5552</v>
      </c>
    </row>
    <row r="150" spans="1:6" x14ac:dyDescent="0.3">
      <c r="A150" t="s">
        <v>3355</v>
      </c>
      <c r="B150" t="s">
        <v>26</v>
      </c>
      <c r="C150">
        <v>28</v>
      </c>
      <c r="D150" t="s">
        <v>5562</v>
      </c>
      <c r="E150">
        <v>2024</v>
      </c>
      <c r="F150" t="s">
        <v>5553</v>
      </c>
    </row>
    <row r="151" spans="1:6" x14ac:dyDescent="0.3">
      <c r="A151" t="s">
        <v>1277</v>
      </c>
      <c r="B151" t="s">
        <v>1280</v>
      </c>
      <c r="C151">
        <v>29</v>
      </c>
      <c r="D151" t="s">
        <v>5562</v>
      </c>
      <c r="E151">
        <v>2024</v>
      </c>
      <c r="F151" t="s">
        <v>5554</v>
      </c>
    </row>
    <row r="152" spans="1:6" x14ac:dyDescent="0.3">
      <c r="A152" t="s">
        <v>109</v>
      </c>
      <c r="B152" t="s">
        <v>112</v>
      </c>
      <c r="C152">
        <v>30</v>
      </c>
      <c r="D152" t="s">
        <v>5562</v>
      </c>
      <c r="E152">
        <v>2024</v>
      </c>
      <c r="F152" t="s">
        <v>5555</v>
      </c>
    </row>
    <row r="153" spans="1:6" x14ac:dyDescent="0.3">
      <c r="A153" t="s">
        <v>389</v>
      </c>
      <c r="B153" t="s">
        <v>392</v>
      </c>
      <c r="C153">
        <v>31</v>
      </c>
      <c r="D153" t="s">
        <v>5562</v>
      </c>
      <c r="E153">
        <v>2024</v>
      </c>
      <c r="F153" t="s">
        <v>5556</v>
      </c>
    </row>
    <row r="154" spans="1:6" x14ac:dyDescent="0.3">
      <c r="A154" t="s">
        <v>783</v>
      </c>
      <c r="B154" t="s">
        <v>786</v>
      </c>
      <c r="C154">
        <v>1</v>
      </c>
      <c r="D154" t="s">
        <v>5563</v>
      </c>
      <c r="E154">
        <v>2024</v>
      </c>
      <c r="F154" t="s">
        <v>5557</v>
      </c>
    </row>
    <row r="155" spans="1:6" x14ac:dyDescent="0.3">
      <c r="A155" t="s">
        <v>2374</v>
      </c>
      <c r="B155" t="s">
        <v>113</v>
      </c>
      <c r="C155">
        <v>2</v>
      </c>
      <c r="D155" t="s">
        <v>5563</v>
      </c>
      <c r="E155">
        <v>2024</v>
      </c>
      <c r="F155" t="s">
        <v>5558</v>
      </c>
    </row>
    <row r="156" spans="1:6" x14ac:dyDescent="0.3">
      <c r="A156" t="s">
        <v>1591</v>
      </c>
      <c r="B156" t="s">
        <v>426</v>
      </c>
      <c r="C156">
        <v>3</v>
      </c>
      <c r="D156" t="s">
        <v>5563</v>
      </c>
      <c r="E156">
        <v>2024</v>
      </c>
      <c r="F156" t="s">
        <v>5552</v>
      </c>
    </row>
    <row r="157" spans="1:6" x14ac:dyDescent="0.3">
      <c r="A157" t="s">
        <v>1149</v>
      </c>
      <c r="B157" t="s">
        <v>393</v>
      </c>
      <c r="C157">
        <v>4</v>
      </c>
      <c r="D157" t="s">
        <v>5563</v>
      </c>
      <c r="E157">
        <v>2024</v>
      </c>
      <c r="F157" t="s">
        <v>5553</v>
      </c>
    </row>
    <row r="158" spans="1:6" x14ac:dyDescent="0.3">
      <c r="A158" t="s">
        <v>306</v>
      </c>
      <c r="B158" t="s">
        <v>309</v>
      </c>
      <c r="C158">
        <v>5</v>
      </c>
      <c r="D158" t="s">
        <v>5563</v>
      </c>
      <c r="E158">
        <v>2024</v>
      </c>
      <c r="F158" t="s">
        <v>5554</v>
      </c>
    </row>
    <row r="159" spans="1:6" x14ac:dyDescent="0.3">
      <c r="A159" t="s">
        <v>2178</v>
      </c>
      <c r="B159" t="s">
        <v>735</v>
      </c>
      <c r="C159">
        <v>6</v>
      </c>
      <c r="D159" t="s">
        <v>5563</v>
      </c>
      <c r="E159">
        <v>2024</v>
      </c>
      <c r="F159" t="s">
        <v>5555</v>
      </c>
    </row>
    <row r="160" spans="1:6" x14ac:dyDescent="0.3">
      <c r="A160" t="s">
        <v>1828</v>
      </c>
      <c r="B160" t="s">
        <v>1151</v>
      </c>
      <c r="C160">
        <v>7</v>
      </c>
      <c r="D160" t="s">
        <v>5563</v>
      </c>
      <c r="E160">
        <v>2024</v>
      </c>
      <c r="F160" t="s">
        <v>5556</v>
      </c>
    </row>
    <row r="161" spans="1:6" x14ac:dyDescent="0.3">
      <c r="A161" t="s">
        <v>1634</v>
      </c>
      <c r="B161" t="s">
        <v>1311</v>
      </c>
      <c r="C161">
        <v>8</v>
      </c>
      <c r="D161" t="s">
        <v>5563</v>
      </c>
      <c r="E161">
        <v>2024</v>
      </c>
      <c r="F161" t="s">
        <v>5557</v>
      </c>
    </row>
    <row r="162" spans="1:6" x14ac:dyDescent="0.3">
      <c r="A162" t="s">
        <v>1055</v>
      </c>
      <c r="B162" t="s">
        <v>310</v>
      </c>
      <c r="C162">
        <v>9</v>
      </c>
      <c r="D162" t="s">
        <v>5563</v>
      </c>
      <c r="E162">
        <v>2024</v>
      </c>
      <c r="F162" t="s">
        <v>5558</v>
      </c>
    </row>
    <row r="163" spans="1:6" x14ac:dyDescent="0.3">
      <c r="A163" t="s">
        <v>1239</v>
      </c>
      <c r="B163" t="s">
        <v>1242</v>
      </c>
      <c r="C163">
        <v>10</v>
      </c>
      <c r="D163" t="s">
        <v>5563</v>
      </c>
      <c r="E163">
        <v>2024</v>
      </c>
      <c r="F163" t="s">
        <v>5552</v>
      </c>
    </row>
    <row r="164" spans="1:6" x14ac:dyDescent="0.3">
      <c r="A164" t="s">
        <v>2764</v>
      </c>
      <c r="B164" t="s">
        <v>1058</v>
      </c>
      <c r="C164">
        <v>11</v>
      </c>
      <c r="D164" t="s">
        <v>5563</v>
      </c>
      <c r="E164">
        <v>2024</v>
      </c>
      <c r="F164" t="s">
        <v>5553</v>
      </c>
    </row>
    <row r="165" spans="1:6" x14ac:dyDescent="0.3">
      <c r="A165" t="s">
        <v>279</v>
      </c>
      <c r="B165" t="s">
        <v>282</v>
      </c>
      <c r="C165">
        <v>12</v>
      </c>
      <c r="D165" t="s">
        <v>5563</v>
      </c>
      <c r="E165">
        <v>2024</v>
      </c>
      <c r="F165" t="s">
        <v>5554</v>
      </c>
    </row>
    <row r="166" spans="1:6" x14ac:dyDescent="0.3">
      <c r="A166" t="s">
        <v>2063</v>
      </c>
      <c r="B166" t="s">
        <v>1243</v>
      </c>
      <c r="C166">
        <v>13</v>
      </c>
      <c r="D166" t="s">
        <v>5563</v>
      </c>
      <c r="E166">
        <v>2024</v>
      </c>
      <c r="F166" t="s">
        <v>5555</v>
      </c>
    </row>
    <row r="167" spans="1:6" x14ac:dyDescent="0.3">
      <c r="A167" t="s">
        <v>1429</v>
      </c>
      <c r="B167" t="s">
        <v>283</v>
      </c>
      <c r="C167">
        <v>14</v>
      </c>
      <c r="D167" t="s">
        <v>5563</v>
      </c>
      <c r="E167">
        <v>2024</v>
      </c>
      <c r="F167" t="s">
        <v>5556</v>
      </c>
    </row>
    <row r="168" spans="1:6" x14ac:dyDescent="0.3">
      <c r="A168" t="s">
        <v>3098</v>
      </c>
      <c r="B168" t="s">
        <v>2767</v>
      </c>
      <c r="C168">
        <v>15</v>
      </c>
      <c r="D168" t="s">
        <v>5563</v>
      </c>
      <c r="E168">
        <v>2024</v>
      </c>
      <c r="F168" t="s">
        <v>5557</v>
      </c>
    </row>
    <row r="169" spans="1:6" x14ac:dyDescent="0.3">
      <c r="A169" t="s">
        <v>1353</v>
      </c>
      <c r="B169" t="s">
        <v>1356</v>
      </c>
      <c r="C169">
        <v>16</v>
      </c>
      <c r="D169" t="s">
        <v>5563</v>
      </c>
      <c r="E169">
        <v>2024</v>
      </c>
      <c r="F169" t="s">
        <v>5558</v>
      </c>
    </row>
    <row r="170" spans="1:6" x14ac:dyDescent="0.3">
      <c r="A170" t="s">
        <v>2646</v>
      </c>
      <c r="B170" t="s">
        <v>1432</v>
      </c>
      <c r="C170">
        <v>17</v>
      </c>
      <c r="D170" t="s">
        <v>5563</v>
      </c>
      <c r="E170">
        <v>2024</v>
      </c>
      <c r="F170" t="s">
        <v>5552</v>
      </c>
    </row>
    <row r="171" spans="1:6" x14ac:dyDescent="0.3">
      <c r="A171" t="s">
        <v>665</v>
      </c>
      <c r="B171" t="s">
        <v>668</v>
      </c>
      <c r="C171">
        <v>18</v>
      </c>
      <c r="D171" t="s">
        <v>5563</v>
      </c>
      <c r="E171">
        <v>2024</v>
      </c>
      <c r="F171" t="s">
        <v>5553</v>
      </c>
    </row>
    <row r="172" spans="1:6" x14ac:dyDescent="0.3">
      <c r="A172" t="s">
        <v>3252</v>
      </c>
      <c r="B172" t="s">
        <v>2870</v>
      </c>
      <c r="C172">
        <v>19</v>
      </c>
      <c r="D172" t="s">
        <v>5563</v>
      </c>
      <c r="E172">
        <v>2024</v>
      </c>
      <c r="F172" t="s">
        <v>5554</v>
      </c>
    </row>
    <row r="173" spans="1:6" x14ac:dyDescent="0.3">
      <c r="A173" t="s">
        <v>53</v>
      </c>
      <c r="B173" t="s">
        <v>57</v>
      </c>
      <c r="C173">
        <v>20</v>
      </c>
      <c r="D173" t="s">
        <v>5563</v>
      </c>
      <c r="E173">
        <v>2024</v>
      </c>
      <c r="F173" t="s">
        <v>5555</v>
      </c>
    </row>
    <row r="174" spans="1:6" x14ac:dyDescent="0.3">
      <c r="A174" t="s">
        <v>199</v>
      </c>
      <c r="B174" t="s">
        <v>203</v>
      </c>
      <c r="C174">
        <v>21</v>
      </c>
      <c r="D174" t="s">
        <v>5563</v>
      </c>
      <c r="E174">
        <v>2024</v>
      </c>
      <c r="F174" t="s">
        <v>5556</v>
      </c>
    </row>
    <row r="175" spans="1:6" x14ac:dyDescent="0.3">
      <c r="A175" t="s">
        <v>1714</v>
      </c>
      <c r="B175" t="s">
        <v>58</v>
      </c>
      <c r="C175">
        <v>22</v>
      </c>
      <c r="D175" t="s">
        <v>5563</v>
      </c>
      <c r="E175">
        <v>2024</v>
      </c>
      <c r="F175" t="s">
        <v>5557</v>
      </c>
    </row>
    <row r="176" spans="1:6" x14ac:dyDescent="0.3">
      <c r="A176" t="s">
        <v>596</v>
      </c>
      <c r="B176" t="s">
        <v>599</v>
      </c>
      <c r="C176">
        <v>23</v>
      </c>
      <c r="D176" t="s">
        <v>5563</v>
      </c>
      <c r="E176">
        <v>2024</v>
      </c>
      <c r="F176" t="s">
        <v>5558</v>
      </c>
    </row>
    <row r="177" spans="1:6" x14ac:dyDescent="0.3">
      <c r="A177" t="s">
        <v>2555</v>
      </c>
      <c r="B177" t="s">
        <v>600</v>
      </c>
      <c r="C177">
        <v>24</v>
      </c>
      <c r="D177" t="s">
        <v>5563</v>
      </c>
      <c r="E177">
        <v>2024</v>
      </c>
      <c r="F177" t="s">
        <v>5552</v>
      </c>
    </row>
    <row r="178" spans="1:6" x14ac:dyDescent="0.3">
      <c r="A178" t="s">
        <v>535</v>
      </c>
      <c r="B178" t="s">
        <v>538</v>
      </c>
      <c r="C178">
        <v>25</v>
      </c>
      <c r="D178" t="s">
        <v>5563</v>
      </c>
      <c r="E178">
        <v>2024</v>
      </c>
      <c r="F178" t="s">
        <v>5553</v>
      </c>
    </row>
    <row r="179" spans="1:6" x14ac:dyDescent="0.3">
      <c r="A179" t="s">
        <v>851</v>
      </c>
      <c r="B179" t="s">
        <v>204</v>
      </c>
      <c r="C179">
        <v>26</v>
      </c>
      <c r="D179" t="s">
        <v>5563</v>
      </c>
      <c r="E179">
        <v>2024</v>
      </c>
      <c r="F179" t="s">
        <v>5554</v>
      </c>
    </row>
    <row r="180" spans="1:6" x14ac:dyDescent="0.3">
      <c r="A180" t="s">
        <v>1482</v>
      </c>
      <c r="B180" t="s">
        <v>1485</v>
      </c>
      <c r="C180">
        <v>27</v>
      </c>
      <c r="D180" t="s">
        <v>5563</v>
      </c>
      <c r="E180">
        <v>2024</v>
      </c>
      <c r="F180" t="s">
        <v>5555</v>
      </c>
    </row>
    <row r="181" spans="1:6" x14ac:dyDescent="0.3">
      <c r="A181" t="s">
        <v>2001</v>
      </c>
      <c r="B181" t="s">
        <v>1689</v>
      </c>
      <c r="C181">
        <v>28</v>
      </c>
      <c r="D181" t="s">
        <v>5563</v>
      </c>
      <c r="E181">
        <v>2024</v>
      </c>
      <c r="F181" t="s">
        <v>5556</v>
      </c>
    </row>
    <row r="182" spans="1:6" x14ac:dyDescent="0.3">
      <c r="A182" t="s">
        <v>1451</v>
      </c>
      <c r="B182" t="s">
        <v>615</v>
      </c>
      <c r="C182">
        <v>29</v>
      </c>
      <c r="D182" t="s">
        <v>5563</v>
      </c>
      <c r="E182">
        <v>2024</v>
      </c>
      <c r="F182" t="s">
        <v>5557</v>
      </c>
    </row>
    <row r="183" spans="1:6" x14ac:dyDescent="0.3">
      <c r="A183" t="s">
        <v>905</v>
      </c>
      <c r="B183" t="s">
        <v>539</v>
      </c>
      <c r="C183">
        <v>30</v>
      </c>
      <c r="D183" t="s">
        <v>5563</v>
      </c>
      <c r="E183">
        <v>2024</v>
      </c>
      <c r="F183" t="s">
        <v>5558</v>
      </c>
    </row>
    <row r="184" spans="1:6" x14ac:dyDescent="0.3">
      <c r="A184" t="s">
        <v>4043</v>
      </c>
      <c r="B184" t="s">
        <v>4045</v>
      </c>
      <c r="C184">
        <v>1</v>
      </c>
      <c r="D184" t="s">
        <v>5564</v>
      </c>
      <c r="E184">
        <v>2024</v>
      </c>
      <c r="F184" t="s">
        <v>5552</v>
      </c>
    </row>
    <row r="185" spans="1:6" x14ac:dyDescent="0.3">
      <c r="A185" t="s">
        <v>4849</v>
      </c>
      <c r="B185" t="s">
        <v>908</v>
      </c>
      <c r="C185">
        <v>2</v>
      </c>
      <c r="D185" t="s">
        <v>5564</v>
      </c>
      <c r="E185">
        <v>2024</v>
      </c>
      <c r="F185" t="s">
        <v>5553</v>
      </c>
    </row>
    <row r="186" spans="1:6" x14ac:dyDescent="0.3">
      <c r="A186" t="s">
        <v>1075</v>
      </c>
      <c r="B186" t="s">
        <v>1078</v>
      </c>
      <c r="C186">
        <v>3</v>
      </c>
      <c r="D186" t="s">
        <v>5564</v>
      </c>
      <c r="E186">
        <v>2024</v>
      </c>
      <c r="F186" t="s">
        <v>5554</v>
      </c>
    </row>
    <row r="187" spans="1:6" x14ac:dyDescent="0.3">
      <c r="A187" t="s">
        <v>1201</v>
      </c>
      <c r="B187" t="s">
        <v>1204</v>
      </c>
      <c r="C187">
        <v>4</v>
      </c>
      <c r="D187" t="s">
        <v>5564</v>
      </c>
      <c r="E187">
        <v>2024</v>
      </c>
      <c r="F187" t="s">
        <v>5555</v>
      </c>
    </row>
    <row r="188" spans="1:6" x14ac:dyDescent="0.3">
      <c r="A188" t="s">
        <v>262</v>
      </c>
      <c r="B188" t="s">
        <v>265</v>
      </c>
      <c r="C188">
        <v>5</v>
      </c>
      <c r="D188" t="s">
        <v>5564</v>
      </c>
      <c r="E188">
        <v>2024</v>
      </c>
      <c r="F188" t="s">
        <v>5556</v>
      </c>
    </row>
    <row r="189" spans="1:6" x14ac:dyDescent="0.3">
      <c r="A189" t="s">
        <v>3104</v>
      </c>
      <c r="B189" t="s">
        <v>266</v>
      </c>
      <c r="C189">
        <v>6</v>
      </c>
      <c r="D189" t="s">
        <v>5564</v>
      </c>
      <c r="E189">
        <v>2024</v>
      </c>
      <c r="F189" t="s">
        <v>5557</v>
      </c>
    </row>
    <row r="190" spans="1:6" x14ac:dyDescent="0.3">
      <c r="A190" t="s">
        <v>470</v>
      </c>
      <c r="B190" t="s">
        <v>473</v>
      </c>
      <c r="C190">
        <v>7</v>
      </c>
      <c r="D190" t="s">
        <v>5564</v>
      </c>
      <c r="E190">
        <v>2024</v>
      </c>
      <c r="F190" t="s">
        <v>5558</v>
      </c>
    </row>
    <row r="191" spans="1:6" x14ac:dyDescent="0.3">
      <c r="A191" t="s">
        <v>428</v>
      </c>
      <c r="B191" t="s">
        <v>432</v>
      </c>
      <c r="C191">
        <v>8</v>
      </c>
      <c r="D191" t="s">
        <v>5564</v>
      </c>
      <c r="E191">
        <v>2024</v>
      </c>
      <c r="F191" t="s">
        <v>5552</v>
      </c>
    </row>
    <row r="192" spans="1:6" x14ac:dyDescent="0.3">
      <c r="A192" t="s">
        <v>46</v>
      </c>
      <c r="B192" t="s">
        <v>50</v>
      </c>
      <c r="C192">
        <v>9</v>
      </c>
      <c r="D192" t="s">
        <v>5564</v>
      </c>
      <c r="E192">
        <v>2024</v>
      </c>
      <c r="F192" t="s">
        <v>5553</v>
      </c>
    </row>
    <row r="193" spans="1:6" x14ac:dyDescent="0.3">
      <c r="A193" t="s">
        <v>3535</v>
      </c>
      <c r="B193" t="s">
        <v>51</v>
      </c>
      <c r="C193">
        <v>10</v>
      </c>
      <c r="D193" t="s">
        <v>5564</v>
      </c>
      <c r="E193">
        <v>2024</v>
      </c>
      <c r="F193" t="s">
        <v>5554</v>
      </c>
    </row>
    <row r="194" spans="1:6" x14ac:dyDescent="0.3">
      <c r="A194" t="s">
        <v>2096</v>
      </c>
      <c r="B194" t="s">
        <v>2078</v>
      </c>
      <c r="C194">
        <v>11</v>
      </c>
      <c r="D194" t="s">
        <v>5564</v>
      </c>
      <c r="E194">
        <v>2024</v>
      </c>
      <c r="F194" t="s">
        <v>5555</v>
      </c>
    </row>
    <row r="195" spans="1:6" x14ac:dyDescent="0.3">
      <c r="A195" t="s">
        <v>154</v>
      </c>
      <c r="B195" t="s">
        <v>158</v>
      </c>
      <c r="C195">
        <v>12</v>
      </c>
      <c r="D195" t="s">
        <v>5564</v>
      </c>
      <c r="E195">
        <v>2024</v>
      </c>
      <c r="F195" t="s">
        <v>5556</v>
      </c>
    </row>
    <row r="196" spans="1:6" x14ac:dyDescent="0.3">
      <c r="A196" t="s">
        <v>2335</v>
      </c>
      <c r="B196" t="s">
        <v>1826</v>
      </c>
      <c r="C196">
        <v>13</v>
      </c>
      <c r="D196" t="s">
        <v>5564</v>
      </c>
      <c r="E196">
        <v>2024</v>
      </c>
      <c r="F196" t="s">
        <v>5557</v>
      </c>
    </row>
    <row r="197" spans="1:6" x14ac:dyDescent="0.3">
      <c r="A197" t="s">
        <v>257</v>
      </c>
      <c r="B197" t="s">
        <v>260</v>
      </c>
      <c r="C197">
        <v>14</v>
      </c>
      <c r="D197" t="s">
        <v>5564</v>
      </c>
      <c r="E197">
        <v>2024</v>
      </c>
      <c r="F197" t="s">
        <v>5558</v>
      </c>
    </row>
    <row r="198" spans="1:6" x14ac:dyDescent="0.3">
      <c r="A198" t="s">
        <v>1765</v>
      </c>
      <c r="B198" t="s">
        <v>1768</v>
      </c>
      <c r="C198">
        <v>15</v>
      </c>
      <c r="D198" t="s">
        <v>5564</v>
      </c>
      <c r="E198">
        <v>2024</v>
      </c>
      <c r="F198" t="s">
        <v>5552</v>
      </c>
    </row>
    <row r="199" spans="1:6" x14ac:dyDescent="0.3">
      <c r="A199" t="s">
        <v>2115</v>
      </c>
      <c r="B199" t="s">
        <v>159</v>
      </c>
      <c r="C199">
        <v>16</v>
      </c>
      <c r="D199" t="s">
        <v>5564</v>
      </c>
      <c r="E199">
        <v>2024</v>
      </c>
      <c r="F199" t="s">
        <v>5553</v>
      </c>
    </row>
    <row r="200" spans="1:6" x14ac:dyDescent="0.3">
      <c r="A200" t="s">
        <v>1553</v>
      </c>
      <c r="B200" t="s">
        <v>1555</v>
      </c>
      <c r="C200">
        <v>17</v>
      </c>
      <c r="D200" t="s">
        <v>5564</v>
      </c>
      <c r="E200">
        <v>2024</v>
      </c>
      <c r="F200" t="s">
        <v>5554</v>
      </c>
    </row>
    <row r="201" spans="1:6" x14ac:dyDescent="0.3">
      <c r="A201" t="s">
        <v>556</v>
      </c>
      <c r="B201" t="s">
        <v>559</v>
      </c>
      <c r="C201">
        <v>18</v>
      </c>
      <c r="D201" t="s">
        <v>5564</v>
      </c>
      <c r="E201">
        <v>2024</v>
      </c>
      <c r="F201" t="s">
        <v>5555</v>
      </c>
    </row>
    <row r="202" spans="1:6" x14ac:dyDescent="0.3">
      <c r="A202" t="s">
        <v>60</v>
      </c>
      <c r="B202" t="s">
        <v>65</v>
      </c>
      <c r="C202">
        <v>19</v>
      </c>
      <c r="D202" t="s">
        <v>5564</v>
      </c>
      <c r="E202">
        <v>2024</v>
      </c>
      <c r="F202" t="s">
        <v>5556</v>
      </c>
    </row>
    <row r="203" spans="1:6" x14ac:dyDescent="0.3">
      <c r="A203" t="s">
        <v>2572</v>
      </c>
      <c r="B203" t="s">
        <v>1121</v>
      </c>
      <c r="C203">
        <v>20</v>
      </c>
      <c r="D203" t="s">
        <v>5564</v>
      </c>
      <c r="E203">
        <v>2024</v>
      </c>
      <c r="F203" t="s">
        <v>5557</v>
      </c>
    </row>
    <row r="204" spans="1:6" x14ac:dyDescent="0.3">
      <c r="A204" t="s">
        <v>1162</v>
      </c>
      <c r="B204" t="s">
        <v>1164</v>
      </c>
      <c r="C204">
        <v>21</v>
      </c>
      <c r="D204" t="s">
        <v>5564</v>
      </c>
      <c r="E204">
        <v>2024</v>
      </c>
      <c r="F204" t="s">
        <v>5558</v>
      </c>
    </row>
    <row r="205" spans="1:6" x14ac:dyDescent="0.3">
      <c r="A205" t="s">
        <v>1156</v>
      </c>
      <c r="B205" t="s">
        <v>1159</v>
      </c>
      <c r="C205">
        <v>22</v>
      </c>
      <c r="D205" t="s">
        <v>5564</v>
      </c>
      <c r="E205">
        <v>2024</v>
      </c>
      <c r="F205" t="s">
        <v>5552</v>
      </c>
    </row>
    <row r="206" spans="1:6" x14ac:dyDescent="0.3">
      <c r="A206" t="s">
        <v>11</v>
      </c>
      <c r="B206" t="s">
        <v>16</v>
      </c>
      <c r="C206">
        <v>23</v>
      </c>
      <c r="D206" t="s">
        <v>5564</v>
      </c>
      <c r="E206">
        <v>2024</v>
      </c>
      <c r="F206" t="s">
        <v>5553</v>
      </c>
    </row>
    <row r="207" spans="1:6" x14ac:dyDescent="0.3">
      <c r="A207" t="s">
        <v>273</v>
      </c>
      <c r="B207" t="s">
        <v>276</v>
      </c>
      <c r="C207">
        <v>24</v>
      </c>
      <c r="D207" t="s">
        <v>5564</v>
      </c>
      <c r="E207">
        <v>2024</v>
      </c>
      <c r="F207" t="s">
        <v>5554</v>
      </c>
    </row>
    <row r="208" spans="1:6" x14ac:dyDescent="0.3">
      <c r="A208" t="s">
        <v>482</v>
      </c>
      <c r="B208" t="s">
        <v>277</v>
      </c>
      <c r="C208">
        <v>25</v>
      </c>
      <c r="D208" t="s">
        <v>5564</v>
      </c>
      <c r="E208">
        <v>2024</v>
      </c>
      <c r="F208" t="s">
        <v>5555</v>
      </c>
    </row>
    <row r="209" spans="1:6" x14ac:dyDescent="0.3">
      <c r="A209" t="s">
        <v>1650</v>
      </c>
      <c r="B209" t="s">
        <v>1160</v>
      </c>
      <c r="C209">
        <v>26</v>
      </c>
      <c r="D209" t="s">
        <v>5564</v>
      </c>
      <c r="E209">
        <v>2024</v>
      </c>
      <c r="F209" t="s">
        <v>5556</v>
      </c>
    </row>
    <row r="210" spans="1:6" x14ac:dyDescent="0.3">
      <c r="A210" t="s">
        <v>541</v>
      </c>
      <c r="B210" t="s">
        <v>17</v>
      </c>
      <c r="C210">
        <v>27</v>
      </c>
      <c r="D210" t="s">
        <v>5564</v>
      </c>
      <c r="E210">
        <v>2024</v>
      </c>
      <c r="F210" t="s">
        <v>5557</v>
      </c>
    </row>
    <row r="211" spans="1:6" x14ac:dyDescent="0.3">
      <c r="A211" t="s">
        <v>1966</v>
      </c>
      <c r="B211" t="s">
        <v>1176</v>
      </c>
      <c r="C211">
        <v>28</v>
      </c>
      <c r="D211" t="s">
        <v>5564</v>
      </c>
      <c r="E211">
        <v>2024</v>
      </c>
      <c r="F211" t="s">
        <v>5558</v>
      </c>
    </row>
    <row r="212" spans="1:6" x14ac:dyDescent="0.3">
      <c r="A212" t="s">
        <v>2257</v>
      </c>
      <c r="B212" t="s">
        <v>753</v>
      </c>
      <c r="C212">
        <v>29</v>
      </c>
      <c r="D212" t="s">
        <v>5564</v>
      </c>
      <c r="E212">
        <v>2024</v>
      </c>
      <c r="F212" t="s">
        <v>5552</v>
      </c>
    </row>
    <row r="213" spans="1:6" x14ac:dyDescent="0.3">
      <c r="A213" t="s">
        <v>2322</v>
      </c>
      <c r="B213" t="s">
        <v>485</v>
      </c>
      <c r="C213">
        <v>30</v>
      </c>
      <c r="D213" t="s">
        <v>5564</v>
      </c>
      <c r="E213">
        <v>2024</v>
      </c>
      <c r="F213" t="s">
        <v>5553</v>
      </c>
    </row>
    <row r="214" spans="1:6" x14ac:dyDescent="0.3">
      <c r="A214" t="s">
        <v>103</v>
      </c>
      <c r="B214" t="s">
        <v>106</v>
      </c>
      <c r="C214">
        <v>31</v>
      </c>
      <c r="D214" t="s">
        <v>5564</v>
      </c>
      <c r="E214">
        <v>2024</v>
      </c>
      <c r="F214" t="s">
        <v>5554</v>
      </c>
    </row>
    <row r="215" spans="1:6" x14ac:dyDescent="0.3">
      <c r="A215" t="s">
        <v>2692</v>
      </c>
      <c r="B215" t="s">
        <v>1167</v>
      </c>
      <c r="C215">
        <v>1</v>
      </c>
      <c r="D215" t="s">
        <v>5565</v>
      </c>
      <c r="E215">
        <v>2024</v>
      </c>
      <c r="F215" t="s">
        <v>5555</v>
      </c>
    </row>
    <row r="216" spans="1:6" x14ac:dyDescent="0.3">
      <c r="A216" t="s">
        <v>1222</v>
      </c>
      <c r="B216" t="s">
        <v>1225</v>
      </c>
      <c r="C216">
        <v>2</v>
      </c>
      <c r="D216" t="s">
        <v>5565</v>
      </c>
      <c r="E216">
        <v>2024</v>
      </c>
      <c r="F216" t="s">
        <v>5556</v>
      </c>
    </row>
    <row r="217" spans="1:6" x14ac:dyDescent="0.3">
      <c r="A217" t="s">
        <v>1133</v>
      </c>
      <c r="B217" t="s">
        <v>107</v>
      </c>
      <c r="C217">
        <v>3</v>
      </c>
      <c r="D217" t="s">
        <v>5565</v>
      </c>
      <c r="E217">
        <v>2024</v>
      </c>
      <c r="F217" t="s">
        <v>5557</v>
      </c>
    </row>
    <row r="218" spans="1:6" x14ac:dyDescent="0.3">
      <c r="A218" t="s">
        <v>1093</v>
      </c>
      <c r="B218" t="s">
        <v>1096</v>
      </c>
      <c r="C218">
        <v>4</v>
      </c>
      <c r="D218" t="s">
        <v>5565</v>
      </c>
      <c r="E218">
        <v>2024</v>
      </c>
      <c r="F218" t="s">
        <v>5558</v>
      </c>
    </row>
    <row r="219" spans="1:6" x14ac:dyDescent="0.3">
      <c r="A219" t="s">
        <v>682</v>
      </c>
      <c r="B219" t="s">
        <v>685</v>
      </c>
      <c r="C219">
        <v>5</v>
      </c>
      <c r="D219" t="s">
        <v>5565</v>
      </c>
      <c r="E219">
        <v>2024</v>
      </c>
      <c r="F219" t="s">
        <v>5552</v>
      </c>
    </row>
    <row r="220" spans="1:6" x14ac:dyDescent="0.3">
      <c r="A220" t="s">
        <v>1701</v>
      </c>
      <c r="B220" t="s">
        <v>1395</v>
      </c>
      <c r="C220">
        <v>6</v>
      </c>
      <c r="D220" t="s">
        <v>5565</v>
      </c>
      <c r="E220">
        <v>2024</v>
      </c>
      <c r="F220" t="s">
        <v>5553</v>
      </c>
    </row>
    <row r="221" spans="1:6" x14ac:dyDescent="0.3">
      <c r="A221" t="s">
        <v>2043</v>
      </c>
      <c r="B221" t="s">
        <v>1226</v>
      </c>
      <c r="C221">
        <v>7</v>
      </c>
      <c r="D221" t="s">
        <v>5565</v>
      </c>
      <c r="E221">
        <v>2024</v>
      </c>
      <c r="F221" t="s">
        <v>5554</v>
      </c>
    </row>
    <row r="222" spans="1:6" x14ac:dyDescent="0.3">
      <c r="A222" t="s">
        <v>1253</v>
      </c>
      <c r="B222" t="s">
        <v>1256</v>
      </c>
      <c r="C222">
        <v>8</v>
      </c>
      <c r="D222" t="s">
        <v>5565</v>
      </c>
      <c r="E222">
        <v>2024</v>
      </c>
      <c r="F222" t="s">
        <v>5555</v>
      </c>
    </row>
    <row r="223" spans="1:6" x14ac:dyDescent="0.3">
      <c r="A223" t="s">
        <v>717</v>
      </c>
      <c r="B223" t="s">
        <v>719</v>
      </c>
      <c r="C223">
        <v>9</v>
      </c>
      <c r="D223" t="s">
        <v>5565</v>
      </c>
      <c r="E223">
        <v>2024</v>
      </c>
      <c r="F223" t="s">
        <v>5556</v>
      </c>
    </row>
    <row r="224" spans="1:6" x14ac:dyDescent="0.3">
      <c r="A224" t="s">
        <v>2569</v>
      </c>
      <c r="B224" t="s">
        <v>686</v>
      </c>
      <c r="C224">
        <v>10</v>
      </c>
      <c r="D224" t="s">
        <v>5565</v>
      </c>
      <c r="E224">
        <v>2024</v>
      </c>
      <c r="F224" t="s">
        <v>5557</v>
      </c>
    </row>
    <row r="225" spans="1:6" x14ac:dyDescent="0.3">
      <c r="A225" t="s">
        <v>1282</v>
      </c>
      <c r="B225" t="s">
        <v>1285</v>
      </c>
      <c r="C225">
        <v>11</v>
      </c>
      <c r="D225" t="s">
        <v>5565</v>
      </c>
      <c r="E225">
        <v>2024</v>
      </c>
      <c r="F225" t="s">
        <v>5558</v>
      </c>
    </row>
    <row r="226" spans="1:6" x14ac:dyDescent="0.3">
      <c r="A226" t="s">
        <v>1373</v>
      </c>
      <c r="B226" t="s">
        <v>720</v>
      </c>
      <c r="C226">
        <v>12</v>
      </c>
      <c r="D226" t="s">
        <v>5565</v>
      </c>
      <c r="E226">
        <v>2024</v>
      </c>
      <c r="F226" t="s">
        <v>5552</v>
      </c>
    </row>
    <row r="227" spans="1:6" x14ac:dyDescent="0.3">
      <c r="A227" t="s">
        <v>835</v>
      </c>
      <c r="B227" t="s">
        <v>838</v>
      </c>
      <c r="C227">
        <v>13</v>
      </c>
      <c r="D227" t="s">
        <v>5565</v>
      </c>
      <c r="E227">
        <v>2024</v>
      </c>
      <c r="F227" t="s">
        <v>5553</v>
      </c>
    </row>
    <row r="228" spans="1:6" x14ac:dyDescent="0.3">
      <c r="A228" t="s">
        <v>375</v>
      </c>
      <c r="B228" t="s">
        <v>377</v>
      </c>
      <c r="C228">
        <v>14</v>
      </c>
      <c r="D228" t="s">
        <v>5565</v>
      </c>
      <c r="E228">
        <v>2024</v>
      </c>
      <c r="F228" t="s">
        <v>5554</v>
      </c>
    </row>
    <row r="229" spans="1:6" x14ac:dyDescent="0.3">
      <c r="A229" t="s">
        <v>1040</v>
      </c>
      <c r="B229" t="s">
        <v>1043</v>
      </c>
      <c r="C229">
        <v>15</v>
      </c>
      <c r="D229" t="s">
        <v>5565</v>
      </c>
      <c r="E229">
        <v>2024</v>
      </c>
      <c r="F229" t="s">
        <v>5555</v>
      </c>
    </row>
    <row r="230" spans="1:6" x14ac:dyDescent="0.3">
      <c r="A230" t="s">
        <v>3009</v>
      </c>
      <c r="B230" t="s">
        <v>839</v>
      </c>
      <c r="C230">
        <v>16</v>
      </c>
      <c r="D230" t="s">
        <v>5565</v>
      </c>
      <c r="E230">
        <v>2024</v>
      </c>
      <c r="F230" t="s">
        <v>5556</v>
      </c>
    </row>
    <row r="231" spans="1:6" x14ac:dyDescent="0.3">
      <c r="A231" t="s">
        <v>3275</v>
      </c>
      <c r="B231" t="s">
        <v>2677</v>
      </c>
      <c r="C231">
        <v>17</v>
      </c>
      <c r="D231" t="s">
        <v>5565</v>
      </c>
      <c r="E231">
        <v>2024</v>
      </c>
      <c r="F231" t="s">
        <v>5557</v>
      </c>
    </row>
    <row r="232" spans="1:6" x14ac:dyDescent="0.3">
      <c r="A232" t="s">
        <v>874</v>
      </c>
      <c r="B232" t="s">
        <v>378</v>
      </c>
      <c r="C232">
        <v>18</v>
      </c>
      <c r="D232" t="s">
        <v>5565</v>
      </c>
      <c r="E232">
        <v>2024</v>
      </c>
      <c r="F232" t="s">
        <v>5558</v>
      </c>
    </row>
    <row r="233" spans="1:6" x14ac:dyDescent="0.3">
      <c r="A233" t="s">
        <v>1718</v>
      </c>
      <c r="B233" t="s">
        <v>877</v>
      </c>
      <c r="C233">
        <v>19</v>
      </c>
      <c r="D233" t="s">
        <v>5565</v>
      </c>
      <c r="E233">
        <v>2024</v>
      </c>
      <c r="F233" t="s">
        <v>5552</v>
      </c>
    </row>
    <row r="234" spans="1:6" x14ac:dyDescent="0.3">
      <c r="A234" t="s">
        <v>37</v>
      </c>
      <c r="B234" t="s">
        <v>42</v>
      </c>
      <c r="C234">
        <v>20</v>
      </c>
      <c r="D234" t="s">
        <v>5565</v>
      </c>
      <c r="E234">
        <v>2024</v>
      </c>
      <c r="F234" t="s">
        <v>5553</v>
      </c>
    </row>
    <row r="235" spans="1:6" x14ac:dyDescent="0.3">
      <c r="A235" t="s">
        <v>353</v>
      </c>
      <c r="B235" t="s">
        <v>356</v>
      </c>
      <c r="C235">
        <v>21</v>
      </c>
      <c r="D235" t="s">
        <v>5565</v>
      </c>
      <c r="E235">
        <v>2024</v>
      </c>
      <c r="F235" t="s">
        <v>5554</v>
      </c>
    </row>
    <row r="236" spans="1:6" x14ac:dyDescent="0.3">
      <c r="A236" t="s">
        <v>1667</v>
      </c>
      <c r="B236" t="s">
        <v>1670</v>
      </c>
      <c r="C236">
        <v>22</v>
      </c>
      <c r="D236" t="s">
        <v>5565</v>
      </c>
      <c r="E236">
        <v>2024</v>
      </c>
      <c r="F236" t="s">
        <v>5555</v>
      </c>
    </row>
    <row r="237" spans="1:6" x14ac:dyDescent="0.3">
      <c r="A237" t="s">
        <v>1745</v>
      </c>
      <c r="B237" t="s">
        <v>43</v>
      </c>
      <c r="C237">
        <v>23</v>
      </c>
      <c r="D237" t="s">
        <v>5565</v>
      </c>
      <c r="E237">
        <v>2024</v>
      </c>
      <c r="F237" t="s">
        <v>5556</v>
      </c>
    </row>
    <row r="238" spans="1:6" x14ac:dyDescent="0.3">
      <c r="A238" t="s">
        <v>2363</v>
      </c>
      <c r="B238" t="s">
        <v>357</v>
      </c>
      <c r="C238">
        <v>24</v>
      </c>
      <c r="D238" t="s">
        <v>5565</v>
      </c>
      <c r="E238">
        <v>2024</v>
      </c>
      <c r="F238" t="s">
        <v>5557</v>
      </c>
    </row>
    <row r="239" spans="1:6" x14ac:dyDescent="0.3">
      <c r="A239" t="s">
        <v>933</v>
      </c>
      <c r="B239" t="s">
        <v>936</v>
      </c>
      <c r="C239">
        <v>25</v>
      </c>
      <c r="D239" t="s">
        <v>5565</v>
      </c>
      <c r="E239">
        <v>2024</v>
      </c>
      <c r="F239" t="s">
        <v>5558</v>
      </c>
    </row>
    <row r="240" spans="1:6" x14ac:dyDescent="0.3">
      <c r="A240" t="s">
        <v>702</v>
      </c>
      <c r="B240" t="s">
        <v>705</v>
      </c>
      <c r="C240">
        <v>26</v>
      </c>
      <c r="D240" t="s">
        <v>5565</v>
      </c>
      <c r="E240">
        <v>2024</v>
      </c>
      <c r="F240" t="s">
        <v>5552</v>
      </c>
    </row>
    <row r="241" spans="1:6" x14ac:dyDescent="0.3">
      <c r="A241" t="s">
        <v>2222</v>
      </c>
      <c r="B241" t="s">
        <v>937</v>
      </c>
      <c r="C241">
        <v>27</v>
      </c>
      <c r="D241" t="s">
        <v>5565</v>
      </c>
      <c r="E241">
        <v>2024</v>
      </c>
      <c r="F241" t="s">
        <v>5553</v>
      </c>
    </row>
    <row r="242" spans="1:6" x14ac:dyDescent="0.3">
      <c r="A242" t="s">
        <v>129</v>
      </c>
      <c r="B242" t="s">
        <v>132</v>
      </c>
      <c r="C242">
        <v>28</v>
      </c>
      <c r="D242" t="s">
        <v>5565</v>
      </c>
      <c r="E242">
        <v>2024</v>
      </c>
      <c r="F242" t="s">
        <v>5554</v>
      </c>
    </row>
    <row r="243" spans="1:6" x14ac:dyDescent="0.3">
      <c r="A243" t="s">
        <v>2083</v>
      </c>
      <c r="B243" t="s">
        <v>706</v>
      </c>
      <c r="C243">
        <v>29</v>
      </c>
      <c r="D243" t="s">
        <v>5565</v>
      </c>
      <c r="E243">
        <v>2024</v>
      </c>
      <c r="F243" t="s">
        <v>5555</v>
      </c>
    </row>
    <row r="244" spans="1:6" x14ac:dyDescent="0.3">
      <c r="A244" t="s">
        <v>697</v>
      </c>
      <c r="B244" t="s">
        <v>700</v>
      </c>
      <c r="C244">
        <v>30</v>
      </c>
      <c r="D244" t="s">
        <v>5565</v>
      </c>
      <c r="E244">
        <v>2024</v>
      </c>
      <c r="F244" t="s">
        <v>5556</v>
      </c>
    </row>
    <row r="245" spans="1:6" x14ac:dyDescent="0.3">
      <c r="A245" t="s">
        <v>2513</v>
      </c>
      <c r="B245" t="s">
        <v>2516</v>
      </c>
      <c r="C245">
        <v>31</v>
      </c>
      <c r="D245" t="s">
        <v>5565</v>
      </c>
      <c r="E245">
        <v>2024</v>
      </c>
      <c r="F245" t="s">
        <v>5557</v>
      </c>
    </row>
    <row r="246" spans="1:6" x14ac:dyDescent="0.3">
      <c r="A246" t="s">
        <v>1709</v>
      </c>
      <c r="B246" t="s">
        <v>133</v>
      </c>
      <c r="C246">
        <v>1</v>
      </c>
      <c r="D246" t="s">
        <v>5566</v>
      </c>
      <c r="E246">
        <v>2024</v>
      </c>
      <c r="F246" t="s">
        <v>5558</v>
      </c>
    </row>
    <row r="247" spans="1:6" x14ac:dyDescent="0.3">
      <c r="A247" t="s">
        <v>4675</v>
      </c>
      <c r="B247" t="s">
        <v>2517</v>
      </c>
      <c r="C247">
        <v>2</v>
      </c>
      <c r="D247" t="s">
        <v>5566</v>
      </c>
      <c r="E247">
        <v>2024</v>
      </c>
      <c r="F247" t="s">
        <v>5552</v>
      </c>
    </row>
    <row r="248" spans="1:6" x14ac:dyDescent="0.3">
      <c r="A248" t="s">
        <v>1328</v>
      </c>
      <c r="B248" t="s">
        <v>1331</v>
      </c>
      <c r="C248">
        <v>3</v>
      </c>
      <c r="D248" t="s">
        <v>5566</v>
      </c>
      <c r="E248">
        <v>2024</v>
      </c>
      <c r="F248" t="s">
        <v>5553</v>
      </c>
    </row>
    <row r="249" spans="1:6" x14ac:dyDescent="0.3">
      <c r="A249" t="s">
        <v>590</v>
      </c>
      <c r="B249" t="s">
        <v>593</v>
      </c>
      <c r="C249">
        <v>4</v>
      </c>
      <c r="D249" t="s">
        <v>5566</v>
      </c>
      <c r="E249">
        <v>2024</v>
      </c>
      <c r="F249" t="s">
        <v>5554</v>
      </c>
    </row>
    <row r="250" spans="1:6" x14ac:dyDescent="0.3">
      <c r="A250" t="s">
        <v>921</v>
      </c>
      <c r="B250" t="s">
        <v>594</v>
      </c>
      <c r="C250">
        <v>5</v>
      </c>
      <c r="D250" t="s">
        <v>5566</v>
      </c>
      <c r="E250">
        <v>2024</v>
      </c>
      <c r="F250" t="s">
        <v>5555</v>
      </c>
    </row>
    <row r="251" spans="1:6" x14ac:dyDescent="0.3">
      <c r="A251" t="s">
        <v>4276</v>
      </c>
      <c r="B251" t="s">
        <v>1712</v>
      </c>
      <c r="C251">
        <v>6</v>
      </c>
      <c r="D251" t="s">
        <v>5566</v>
      </c>
      <c r="E251">
        <v>2024</v>
      </c>
      <c r="F251" t="s">
        <v>5556</v>
      </c>
    </row>
    <row r="252" spans="1:6" x14ac:dyDescent="0.3">
      <c r="A252" t="s">
        <v>1643</v>
      </c>
      <c r="B252" t="s">
        <v>1646</v>
      </c>
      <c r="C252">
        <v>7</v>
      </c>
      <c r="D252" t="s">
        <v>5566</v>
      </c>
      <c r="E252">
        <v>2024</v>
      </c>
      <c r="F252" t="s">
        <v>5557</v>
      </c>
    </row>
    <row r="253" spans="1:6" x14ac:dyDescent="0.3">
      <c r="A253" t="s">
        <v>1358</v>
      </c>
      <c r="B253" t="s">
        <v>924</v>
      </c>
      <c r="C253">
        <v>8</v>
      </c>
      <c r="D253" t="s">
        <v>5566</v>
      </c>
      <c r="E253">
        <v>2024</v>
      </c>
      <c r="F253" t="s">
        <v>5558</v>
      </c>
    </row>
    <row r="254" spans="1:6" x14ac:dyDescent="0.3">
      <c r="A254" t="s">
        <v>660</v>
      </c>
      <c r="B254" t="s">
        <v>663</v>
      </c>
      <c r="C254">
        <v>9</v>
      </c>
      <c r="D254" t="s">
        <v>5566</v>
      </c>
      <c r="E254">
        <v>2024</v>
      </c>
      <c r="F254" t="s">
        <v>5552</v>
      </c>
    </row>
    <row r="255" spans="1:6" x14ac:dyDescent="0.3">
      <c r="A255" t="s">
        <v>285</v>
      </c>
      <c r="B255" t="s">
        <v>288</v>
      </c>
      <c r="C255">
        <v>10</v>
      </c>
      <c r="D255" t="s">
        <v>5566</v>
      </c>
      <c r="E255">
        <v>2024</v>
      </c>
      <c r="F255" t="s">
        <v>5553</v>
      </c>
    </row>
    <row r="256" spans="1:6" x14ac:dyDescent="0.3">
      <c r="A256" t="s">
        <v>1323</v>
      </c>
      <c r="B256" t="s">
        <v>1326</v>
      </c>
      <c r="C256">
        <v>11</v>
      </c>
      <c r="D256" t="s">
        <v>5566</v>
      </c>
      <c r="E256">
        <v>2024</v>
      </c>
      <c r="F256" t="s">
        <v>5554</v>
      </c>
    </row>
    <row r="257" spans="1:6" x14ac:dyDescent="0.3">
      <c r="A257" t="s">
        <v>2437</v>
      </c>
      <c r="B257" t="s">
        <v>2094</v>
      </c>
      <c r="C257">
        <v>12</v>
      </c>
      <c r="D257" t="s">
        <v>5566</v>
      </c>
      <c r="E257">
        <v>2024</v>
      </c>
      <c r="F257" t="s">
        <v>5555</v>
      </c>
    </row>
    <row r="258" spans="1:6" x14ac:dyDescent="0.3">
      <c r="A258" t="s">
        <v>365</v>
      </c>
      <c r="B258" t="s">
        <v>368</v>
      </c>
      <c r="C258">
        <v>13</v>
      </c>
      <c r="D258" t="s">
        <v>5566</v>
      </c>
      <c r="E258">
        <v>2024</v>
      </c>
      <c r="F258" t="s">
        <v>5556</v>
      </c>
    </row>
    <row r="259" spans="1:6" x14ac:dyDescent="0.3">
      <c r="A259" t="s">
        <v>831</v>
      </c>
      <c r="B259" t="s">
        <v>369</v>
      </c>
      <c r="C259">
        <v>14</v>
      </c>
      <c r="D259" t="s">
        <v>5566</v>
      </c>
      <c r="E259">
        <v>2024</v>
      </c>
      <c r="F259" t="s">
        <v>5557</v>
      </c>
    </row>
    <row r="260" spans="1:6" x14ac:dyDescent="0.3">
      <c r="A260" t="s">
        <v>504</v>
      </c>
      <c r="B260" t="s">
        <v>289</v>
      </c>
      <c r="C260">
        <v>15</v>
      </c>
      <c r="D260" t="s">
        <v>5566</v>
      </c>
      <c r="E260">
        <v>2024</v>
      </c>
      <c r="F260" t="s">
        <v>5558</v>
      </c>
    </row>
    <row r="261" spans="1:6" x14ac:dyDescent="0.3">
      <c r="A261" t="s">
        <v>90</v>
      </c>
      <c r="B261" t="s">
        <v>93</v>
      </c>
      <c r="C261">
        <v>16</v>
      </c>
      <c r="D261" t="s">
        <v>5566</v>
      </c>
      <c r="E261">
        <v>2024</v>
      </c>
      <c r="F261" t="s">
        <v>5552</v>
      </c>
    </row>
    <row r="262" spans="1:6" x14ac:dyDescent="0.3">
      <c r="A262" t="s">
        <v>440</v>
      </c>
      <c r="B262" t="s">
        <v>94</v>
      </c>
      <c r="C262">
        <v>17</v>
      </c>
      <c r="D262" t="s">
        <v>5566</v>
      </c>
      <c r="E262">
        <v>2024</v>
      </c>
      <c r="F262" t="s">
        <v>5553</v>
      </c>
    </row>
    <row r="263" spans="1:6" x14ac:dyDescent="0.3">
      <c r="A263" t="s">
        <v>728</v>
      </c>
      <c r="B263" t="s">
        <v>730</v>
      </c>
      <c r="C263">
        <v>18</v>
      </c>
      <c r="D263" t="s">
        <v>5566</v>
      </c>
      <c r="E263">
        <v>2024</v>
      </c>
      <c r="F263" t="s">
        <v>5554</v>
      </c>
    </row>
    <row r="264" spans="1:6" x14ac:dyDescent="0.3">
      <c r="A264" t="s">
        <v>2287</v>
      </c>
      <c r="B264" t="s">
        <v>2290</v>
      </c>
      <c r="C264">
        <v>19</v>
      </c>
      <c r="D264" t="s">
        <v>5566</v>
      </c>
      <c r="E264">
        <v>2024</v>
      </c>
      <c r="F264" t="s">
        <v>5555</v>
      </c>
    </row>
    <row r="265" spans="1:6" x14ac:dyDescent="0.3">
      <c r="A265" t="s">
        <v>1984</v>
      </c>
      <c r="B265" t="s">
        <v>443</v>
      </c>
      <c r="C265">
        <v>20</v>
      </c>
      <c r="D265" t="s">
        <v>5566</v>
      </c>
      <c r="E265">
        <v>2024</v>
      </c>
      <c r="F265" t="s">
        <v>5556</v>
      </c>
    </row>
    <row r="266" spans="1:6" x14ac:dyDescent="0.3">
      <c r="A266" t="s">
        <v>2875</v>
      </c>
      <c r="B266" t="s">
        <v>731</v>
      </c>
      <c r="C266">
        <v>21</v>
      </c>
      <c r="D266" t="s">
        <v>5566</v>
      </c>
      <c r="E266">
        <v>2024</v>
      </c>
      <c r="F266" t="s">
        <v>5557</v>
      </c>
    </row>
    <row r="267" spans="1:6" x14ac:dyDescent="0.3">
      <c r="A267" t="s">
        <v>1178</v>
      </c>
      <c r="B267" t="s">
        <v>1181</v>
      </c>
      <c r="C267">
        <v>22</v>
      </c>
      <c r="D267" t="s">
        <v>5566</v>
      </c>
      <c r="E267">
        <v>2024</v>
      </c>
      <c r="F267" t="s">
        <v>5558</v>
      </c>
    </row>
    <row r="268" spans="1:6" x14ac:dyDescent="0.3">
      <c r="A268" t="s">
        <v>395</v>
      </c>
      <c r="B268" t="s">
        <v>398</v>
      </c>
      <c r="C268">
        <v>23</v>
      </c>
      <c r="D268" t="s">
        <v>5566</v>
      </c>
      <c r="E268">
        <v>2024</v>
      </c>
      <c r="F268" t="s">
        <v>5552</v>
      </c>
    </row>
    <row r="269" spans="1:6" x14ac:dyDescent="0.3">
      <c r="A269" t="s">
        <v>2531</v>
      </c>
      <c r="B269" t="s">
        <v>1986</v>
      </c>
      <c r="C269">
        <v>24</v>
      </c>
      <c r="D269" t="s">
        <v>5566</v>
      </c>
      <c r="E269">
        <v>2024</v>
      </c>
      <c r="F269" t="s">
        <v>5553</v>
      </c>
    </row>
    <row r="270" spans="1:6" x14ac:dyDescent="0.3">
      <c r="A270" t="s">
        <v>968</v>
      </c>
      <c r="B270" t="s">
        <v>971</v>
      </c>
      <c r="C270">
        <v>25</v>
      </c>
      <c r="D270" t="s">
        <v>5566</v>
      </c>
      <c r="E270">
        <v>2024</v>
      </c>
      <c r="F270" t="s">
        <v>5554</v>
      </c>
    </row>
    <row r="271" spans="1:6" x14ac:dyDescent="0.3">
      <c r="A271" t="s">
        <v>841</v>
      </c>
      <c r="B271" t="s">
        <v>844</v>
      </c>
      <c r="C271">
        <v>26</v>
      </c>
      <c r="D271" t="s">
        <v>5566</v>
      </c>
      <c r="E271">
        <v>2024</v>
      </c>
      <c r="F271" t="s">
        <v>5555</v>
      </c>
    </row>
    <row r="272" spans="1:6" x14ac:dyDescent="0.3">
      <c r="A272" t="s">
        <v>761</v>
      </c>
      <c r="B272" t="s">
        <v>399</v>
      </c>
      <c r="C272">
        <v>27</v>
      </c>
      <c r="D272" t="s">
        <v>5566</v>
      </c>
      <c r="E272">
        <v>2024</v>
      </c>
      <c r="F272" t="s">
        <v>5556</v>
      </c>
    </row>
    <row r="273" spans="1:6" x14ac:dyDescent="0.3">
      <c r="A273" t="s">
        <v>606</v>
      </c>
      <c r="B273" t="s">
        <v>604</v>
      </c>
      <c r="C273">
        <v>28</v>
      </c>
      <c r="D273" t="s">
        <v>5566</v>
      </c>
      <c r="E273">
        <v>2024</v>
      </c>
      <c r="F273" t="s">
        <v>5557</v>
      </c>
    </row>
    <row r="274" spans="1:6" x14ac:dyDescent="0.3">
      <c r="A274" t="s">
        <v>858</v>
      </c>
      <c r="B274" t="s">
        <v>861</v>
      </c>
      <c r="C274">
        <v>29</v>
      </c>
      <c r="D274" t="s">
        <v>5566</v>
      </c>
      <c r="E274">
        <v>2024</v>
      </c>
      <c r="F274" t="s">
        <v>5558</v>
      </c>
    </row>
    <row r="275" spans="1:6" x14ac:dyDescent="0.3">
      <c r="A275" t="s">
        <v>1656</v>
      </c>
      <c r="B275" t="s">
        <v>1659</v>
      </c>
      <c r="C275">
        <v>30</v>
      </c>
      <c r="D275" t="s">
        <v>5566</v>
      </c>
      <c r="E275">
        <v>2024</v>
      </c>
      <c r="F275" t="s">
        <v>5552</v>
      </c>
    </row>
    <row r="276" spans="1:6" x14ac:dyDescent="0.3">
      <c r="A276" t="s">
        <v>1994</v>
      </c>
      <c r="B276" t="s">
        <v>764</v>
      </c>
      <c r="C276">
        <v>1</v>
      </c>
      <c r="D276" t="s">
        <v>5567</v>
      </c>
      <c r="E276">
        <v>2024</v>
      </c>
      <c r="F276" t="s">
        <v>5553</v>
      </c>
    </row>
    <row r="277" spans="1:6" x14ac:dyDescent="0.3">
      <c r="A277" t="s">
        <v>1844</v>
      </c>
      <c r="B277" t="s">
        <v>1847</v>
      </c>
      <c r="C277">
        <v>2</v>
      </c>
      <c r="D277" t="s">
        <v>5567</v>
      </c>
      <c r="E277">
        <v>2024</v>
      </c>
      <c r="F277" t="s">
        <v>5554</v>
      </c>
    </row>
    <row r="278" spans="1:6" x14ac:dyDescent="0.3">
      <c r="A278" t="s">
        <v>241</v>
      </c>
      <c r="B278" t="s">
        <v>244</v>
      </c>
      <c r="C278">
        <v>3</v>
      </c>
      <c r="D278" t="s">
        <v>5567</v>
      </c>
      <c r="E278">
        <v>2024</v>
      </c>
      <c r="F278" t="s">
        <v>5555</v>
      </c>
    </row>
    <row r="279" spans="1:6" x14ac:dyDescent="0.3">
      <c r="A279" t="s">
        <v>2929</v>
      </c>
      <c r="B279" t="s">
        <v>245</v>
      </c>
      <c r="C279">
        <v>4</v>
      </c>
      <c r="D279" t="s">
        <v>5567</v>
      </c>
      <c r="E279">
        <v>2024</v>
      </c>
      <c r="F279" t="s">
        <v>5556</v>
      </c>
    </row>
    <row r="280" spans="1:6" x14ac:dyDescent="0.3">
      <c r="A280" t="s">
        <v>347</v>
      </c>
      <c r="B280" t="s">
        <v>350</v>
      </c>
      <c r="C280">
        <v>5</v>
      </c>
      <c r="D280" t="s">
        <v>5567</v>
      </c>
      <c r="E280">
        <v>2024</v>
      </c>
      <c r="F280" t="s">
        <v>5557</v>
      </c>
    </row>
    <row r="281" spans="1:6" x14ac:dyDescent="0.3">
      <c r="A281" t="s">
        <v>1050</v>
      </c>
      <c r="B281" t="s">
        <v>1053</v>
      </c>
      <c r="C281">
        <v>6</v>
      </c>
      <c r="D281" t="s">
        <v>5567</v>
      </c>
      <c r="E281">
        <v>2024</v>
      </c>
      <c r="F281" t="s">
        <v>5558</v>
      </c>
    </row>
    <row r="282" spans="1:6" x14ac:dyDescent="0.3">
      <c r="A282" t="s">
        <v>809</v>
      </c>
      <c r="B282" t="s">
        <v>812</v>
      </c>
      <c r="C282">
        <v>7</v>
      </c>
      <c r="D282" t="s">
        <v>5567</v>
      </c>
      <c r="E282">
        <v>2024</v>
      </c>
      <c r="F282" t="s">
        <v>5552</v>
      </c>
    </row>
    <row r="283" spans="1:6" x14ac:dyDescent="0.3">
      <c r="A283" t="s">
        <v>2904</v>
      </c>
      <c r="B283" t="s">
        <v>813</v>
      </c>
      <c r="C283">
        <v>8</v>
      </c>
      <c r="D283" t="s">
        <v>5567</v>
      </c>
      <c r="E283">
        <v>2024</v>
      </c>
      <c r="F283" t="s">
        <v>5553</v>
      </c>
    </row>
    <row r="284" spans="1:6" x14ac:dyDescent="0.3">
      <c r="A284" t="s">
        <v>3182</v>
      </c>
      <c r="B284" t="s">
        <v>351</v>
      </c>
      <c r="C284">
        <v>9</v>
      </c>
      <c r="D284" t="s">
        <v>5567</v>
      </c>
      <c r="E284">
        <v>2024</v>
      </c>
      <c r="F284" t="s">
        <v>5554</v>
      </c>
    </row>
    <row r="285" spans="1:6" x14ac:dyDescent="0.3">
      <c r="A285" t="s">
        <v>4447</v>
      </c>
      <c r="B285" t="s">
        <v>3198</v>
      </c>
      <c r="C285">
        <v>10</v>
      </c>
      <c r="D285" t="s">
        <v>5567</v>
      </c>
      <c r="E285">
        <v>2024</v>
      </c>
      <c r="F285" t="s">
        <v>5555</v>
      </c>
    </row>
    <row r="286" spans="1:6" x14ac:dyDescent="0.3">
      <c r="A286" t="s">
        <v>1313</v>
      </c>
      <c r="B286" t="s">
        <v>1316</v>
      </c>
      <c r="C286">
        <v>11</v>
      </c>
      <c r="D286" t="s">
        <v>5567</v>
      </c>
      <c r="E286">
        <v>2024</v>
      </c>
      <c r="F286" t="s">
        <v>5556</v>
      </c>
    </row>
    <row r="287" spans="1:6" x14ac:dyDescent="0.3">
      <c r="A287" t="s">
        <v>1231</v>
      </c>
      <c r="B287" t="s">
        <v>1234</v>
      </c>
      <c r="C287">
        <v>12</v>
      </c>
      <c r="D287" t="s">
        <v>5567</v>
      </c>
      <c r="E287">
        <v>2024</v>
      </c>
      <c r="F287" t="s">
        <v>5557</v>
      </c>
    </row>
    <row r="288" spans="1:6" x14ac:dyDescent="0.3">
      <c r="A288" t="s">
        <v>1601</v>
      </c>
      <c r="B288" t="s">
        <v>1604</v>
      </c>
      <c r="C288">
        <v>13</v>
      </c>
      <c r="D288" t="s">
        <v>5567</v>
      </c>
      <c r="E288">
        <v>2024</v>
      </c>
      <c r="F288" t="s">
        <v>5558</v>
      </c>
    </row>
    <row r="289" spans="1:6" x14ac:dyDescent="0.3">
      <c r="A289" t="s">
        <v>1028</v>
      </c>
      <c r="B289" t="s">
        <v>1030</v>
      </c>
      <c r="C289">
        <v>14</v>
      </c>
      <c r="D289" t="s">
        <v>5567</v>
      </c>
      <c r="E289">
        <v>2024</v>
      </c>
      <c r="F289" t="s">
        <v>5552</v>
      </c>
    </row>
    <row r="290" spans="1:6" x14ac:dyDescent="0.3">
      <c r="A290" t="s">
        <v>1541</v>
      </c>
      <c r="B290" t="s">
        <v>1543</v>
      </c>
      <c r="C290">
        <v>15</v>
      </c>
      <c r="D290" t="s">
        <v>5567</v>
      </c>
      <c r="E290">
        <v>2024</v>
      </c>
      <c r="F290" t="s">
        <v>5553</v>
      </c>
    </row>
    <row r="291" spans="1:6" x14ac:dyDescent="0.3">
      <c r="A291" t="s">
        <v>268</v>
      </c>
      <c r="B291" t="s">
        <v>271</v>
      </c>
      <c r="C291">
        <v>16</v>
      </c>
      <c r="D291" t="s">
        <v>5567</v>
      </c>
      <c r="E291">
        <v>2024</v>
      </c>
      <c r="F291" t="s">
        <v>5554</v>
      </c>
    </row>
    <row r="292" spans="1:6" x14ac:dyDescent="0.3">
      <c r="A292" t="s">
        <v>167</v>
      </c>
      <c r="B292" t="s">
        <v>170</v>
      </c>
      <c r="C292">
        <v>17</v>
      </c>
      <c r="D292" t="s">
        <v>5567</v>
      </c>
      <c r="E292">
        <v>2024</v>
      </c>
      <c r="F292" t="s">
        <v>5555</v>
      </c>
    </row>
    <row r="293" spans="1:6" x14ac:dyDescent="0.3">
      <c r="A293" t="s">
        <v>1434</v>
      </c>
      <c r="B293" t="s">
        <v>1437</v>
      </c>
      <c r="C293">
        <v>18</v>
      </c>
      <c r="D293" t="s">
        <v>5567</v>
      </c>
      <c r="E293">
        <v>2024</v>
      </c>
      <c r="F293" t="s">
        <v>5556</v>
      </c>
    </row>
    <row r="294" spans="1:6" x14ac:dyDescent="0.3">
      <c r="A294" t="s">
        <v>412</v>
      </c>
      <c r="B294" t="s">
        <v>415</v>
      </c>
      <c r="C294">
        <v>19</v>
      </c>
      <c r="D294" t="s">
        <v>5567</v>
      </c>
      <c r="E294">
        <v>2024</v>
      </c>
      <c r="F294" t="s">
        <v>5557</v>
      </c>
    </row>
    <row r="295" spans="1:6" x14ac:dyDescent="0.3">
      <c r="A295" t="s">
        <v>1338</v>
      </c>
      <c r="B295" t="s">
        <v>171</v>
      </c>
      <c r="C295">
        <v>20</v>
      </c>
      <c r="D295" t="s">
        <v>5567</v>
      </c>
      <c r="E295">
        <v>2024</v>
      </c>
      <c r="F295" t="s">
        <v>5558</v>
      </c>
    </row>
    <row r="296" spans="1:6" x14ac:dyDescent="0.3">
      <c r="A296" t="s">
        <v>3206</v>
      </c>
      <c r="B296" t="s">
        <v>416</v>
      </c>
      <c r="C296">
        <v>21</v>
      </c>
      <c r="D296" t="s">
        <v>5567</v>
      </c>
      <c r="E296">
        <v>2024</v>
      </c>
      <c r="F296" t="s">
        <v>5552</v>
      </c>
    </row>
    <row r="297" spans="1:6" x14ac:dyDescent="0.3">
      <c r="A297" t="s">
        <v>1799</v>
      </c>
      <c r="B297" t="s">
        <v>1125</v>
      </c>
      <c r="C297">
        <v>22</v>
      </c>
      <c r="D297" t="s">
        <v>5567</v>
      </c>
      <c r="E297">
        <v>2024</v>
      </c>
      <c r="F297" t="s">
        <v>5553</v>
      </c>
    </row>
    <row r="298" spans="1:6" x14ac:dyDescent="0.3">
      <c r="A298" t="s">
        <v>1849</v>
      </c>
      <c r="B298" t="s">
        <v>1611</v>
      </c>
      <c r="C298">
        <v>23</v>
      </c>
      <c r="D298" t="s">
        <v>5567</v>
      </c>
      <c r="E298">
        <v>2024</v>
      </c>
      <c r="F298" t="s">
        <v>5554</v>
      </c>
    </row>
    <row r="299" spans="1:6" x14ac:dyDescent="0.3">
      <c r="A299" t="s">
        <v>863</v>
      </c>
      <c r="B299" t="s">
        <v>548</v>
      </c>
      <c r="C299">
        <v>24</v>
      </c>
      <c r="D299" t="s">
        <v>5567</v>
      </c>
      <c r="E299">
        <v>2024</v>
      </c>
      <c r="F299" t="s">
        <v>5555</v>
      </c>
    </row>
    <row r="300" spans="1:6" x14ac:dyDescent="0.3">
      <c r="A300" t="s">
        <v>4141</v>
      </c>
      <c r="B300" t="s">
        <v>1894</v>
      </c>
      <c r="C300">
        <v>25</v>
      </c>
      <c r="D300" t="s">
        <v>5567</v>
      </c>
      <c r="E300">
        <v>2024</v>
      </c>
      <c r="F300" t="s">
        <v>5556</v>
      </c>
    </row>
    <row r="301" spans="1:6" x14ac:dyDescent="0.3">
      <c r="A301" t="s">
        <v>818</v>
      </c>
      <c r="B301" t="s">
        <v>821</v>
      </c>
      <c r="C301">
        <v>26</v>
      </c>
      <c r="D301" t="s">
        <v>5567</v>
      </c>
      <c r="E301">
        <v>2024</v>
      </c>
      <c r="F301" t="s">
        <v>5557</v>
      </c>
    </row>
    <row r="302" spans="1:6" x14ac:dyDescent="0.3">
      <c r="A302" t="s">
        <v>341</v>
      </c>
      <c r="B302" t="s">
        <v>344</v>
      </c>
      <c r="C302">
        <v>27</v>
      </c>
      <c r="D302" t="s">
        <v>5567</v>
      </c>
      <c r="E302">
        <v>2024</v>
      </c>
      <c r="F302" t="s">
        <v>5558</v>
      </c>
    </row>
    <row r="303" spans="1:6" x14ac:dyDescent="0.3">
      <c r="A303" t="s">
        <v>74</v>
      </c>
      <c r="B303" t="s">
        <v>79</v>
      </c>
      <c r="C303">
        <v>28</v>
      </c>
      <c r="D303" t="s">
        <v>5567</v>
      </c>
      <c r="E303">
        <v>2024</v>
      </c>
      <c r="F303" t="s">
        <v>5552</v>
      </c>
    </row>
    <row r="304" spans="1:6" x14ac:dyDescent="0.3">
      <c r="A304" t="s">
        <v>561</v>
      </c>
      <c r="B304" t="s">
        <v>563</v>
      </c>
      <c r="C304">
        <v>29</v>
      </c>
      <c r="D304" t="s">
        <v>5567</v>
      </c>
      <c r="E304">
        <v>2024</v>
      </c>
      <c r="F304" t="s">
        <v>5553</v>
      </c>
    </row>
    <row r="305" spans="1:6" x14ac:dyDescent="0.3">
      <c r="A305" t="s">
        <v>385</v>
      </c>
      <c r="B305" t="s">
        <v>80</v>
      </c>
      <c r="C305">
        <v>30</v>
      </c>
      <c r="D305" t="s">
        <v>5567</v>
      </c>
      <c r="E305">
        <v>2024</v>
      </c>
      <c r="F305" t="s">
        <v>5554</v>
      </c>
    </row>
    <row r="306" spans="1:6" x14ac:dyDescent="0.3">
      <c r="A306" t="s">
        <v>526</v>
      </c>
      <c r="B306" t="s">
        <v>345</v>
      </c>
      <c r="C306">
        <v>31</v>
      </c>
      <c r="D306" t="s">
        <v>5567</v>
      </c>
      <c r="E306">
        <v>2024</v>
      </c>
      <c r="F306" t="s">
        <v>5555</v>
      </c>
    </row>
    <row r="307" spans="1:6" x14ac:dyDescent="0.3">
      <c r="A307" t="s">
        <v>3244</v>
      </c>
      <c r="B307" t="s">
        <v>480</v>
      </c>
      <c r="C307">
        <v>1</v>
      </c>
      <c r="D307" t="s">
        <v>5568</v>
      </c>
      <c r="E307">
        <v>2024</v>
      </c>
      <c r="F307" t="s">
        <v>5556</v>
      </c>
    </row>
    <row r="308" spans="1:6" x14ac:dyDescent="0.3">
      <c r="A308" t="s">
        <v>247</v>
      </c>
      <c r="B308" t="s">
        <v>250</v>
      </c>
      <c r="C308">
        <v>2</v>
      </c>
      <c r="D308" t="s">
        <v>5568</v>
      </c>
      <c r="E308">
        <v>2024</v>
      </c>
      <c r="F308" t="s">
        <v>5557</v>
      </c>
    </row>
    <row r="309" spans="1:6" x14ac:dyDescent="0.3">
      <c r="A309" t="s">
        <v>708</v>
      </c>
      <c r="B309" t="s">
        <v>658</v>
      </c>
      <c r="C309">
        <v>3</v>
      </c>
      <c r="D309" t="s">
        <v>5568</v>
      </c>
      <c r="E309">
        <v>2024</v>
      </c>
      <c r="F309" t="s">
        <v>5558</v>
      </c>
    </row>
    <row r="310" spans="1:6" x14ac:dyDescent="0.3">
      <c r="A310" t="s">
        <v>580</v>
      </c>
      <c r="B310" t="s">
        <v>583</v>
      </c>
      <c r="C310">
        <v>4</v>
      </c>
      <c r="D310" t="s">
        <v>5568</v>
      </c>
      <c r="E310">
        <v>2024</v>
      </c>
      <c r="F310" t="s">
        <v>5552</v>
      </c>
    </row>
    <row r="311" spans="1:6" x14ac:dyDescent="0.3">
      <c r="A311" t="s">
        <v>135</v>
      </c>
      <c r="B311" t="s">
        <v>138</v>
      </c>
      <c r="C311">
        <v>5</v>
      </c>
      <c r="D311" t="s">
        <v>5568</v>
      </c>
      <c r="E311">
        <v>2024</v>
      </c>
      <c r="F311" t="s">
        <v>5553</v>
      </c>
    </row>
    <row r="312" spans="1:6" x14ac:dyDescent="0.3">
      <c r="A312" t="s">
        <v>1045</v>
      </c>
      <c r="B312" t="s">
        <v>1048</v>
      </c>
      <c r="C312">
        <v>6</v>
      </c>
      <c r="D312" t="s">
        <v>5568</v>
      </c>
      <c r="E312">
        <v>2024</v>
      </c>
      <c r="F312" t="s">
        <v>5554</v>
      </c>
    </row>
    <row r="313" spans="1:6" x14ac:dyDescent="0.3">
      <c r="A313" t="s">
        <v>648</v>
      </c>
      <c r="B313" t="s">
        <v>572</v>
      </c>
      <c r="C313">
        <v>7</v>
      </c>
      <c r="D313" t="s">
        <v>5568</v>
      </c>
      <c r="E313">
        <v>2024</v>
      </c>
      <c r="F313" t="s">
        <v>5555</v>
      </c>
    </row>
    <row r="314" spans="1:6" x14ac:dyDescent="0.3">
      <c r="A314" t="s">
        <v>2603</v>
      </c>
      <c r="B314" t="s">
        <v>951</v>
      </c>
      <c r="C314">
        <v>8</v>
      </c>
      <c r="D314" t="s">
        <v>5568</v>
      </c>
      <c r="E314">
        <v>2024</v>
      </c>
      <c r="F314" t="s">
        <v>5556</v>
      </c>
    </row>
    <row r="315" spans="1:6" x14ac:dyDescent="0.3">
      <c r="A315" t="s">
        <v>2109</v>
      </c>
      <c r="B315" t="s">
        <v>139</v>
      </c>
      <c r="C315">
        <v>9</v>
      </c>
      <c r="D315" t="s">
        <v>5568</v>
      </c>
      <c r="E315">
        <v>2024</v>
      </c>
      <c r="F315" t="s">
        <v>5557</v>
      </c>
    </row>
    <row r="316" spans="1:6" x14ac:dyDescent="0.3">
      <c r="A316" t="s">
        <v>229</v>
      </c>
      <c r="B316" t="s">
        <v>232</v>
      </c>
      <c r="C316">
        <v>10</v>
      </c>
      <c r="D316" t="s">
        <v>5568</v>
      </c>
      <c r="E316">
        <v>2024</v>
      </c>
      <c r="F316" t="s">
        <v>5558</v>
      </c>
    </row>
    <row r="317" spans="1:6" x14ac:dyDescent="0.3">
      <c r="A317" t="s">
        <v>380</v>
      </c>
      <c r="B317" t="s">
        <v>383</v>
      </c>
      <c r="C317">
        <v>11</v>
      </c>
      <c r="D317" t="s">
        <v>5568</v>
      </c>
      <c r="E317">
        <v>2024</v>
      </c>
      <c r="F317" t="s">
        <v>5552</v>
      </c>
    </row>
    <row r="318" spans="1:6" x14ac:dyDescent="0.3">
      <c r="A318" t="s">
        <v>1001</v>
      </c>
      <c r="B318" t="s">
        <v>233</v>
      </c>
      <c r="C318">
        <v>12</v>
      </c>
      <c r="D318" t="s">
        <v>5568</v>
      </c>
      <c r="E318">
        <v>2024</v>
      </c>
      <c r="F318" t="s">
        <v>5553</v>
      </c>
    </row>
    <row r="319" spans="1:6" x14ac:dyDescent="0.3">
      <c r="A319" t="s">
        <v>193</v>
      </c>
      <c r="B319" t="s">
        <v>196</v>
      </c>
      <c r="C319">
        <v>13</v>
      </c>
      <c r="D319" t="s">
        <v>5568</v>
      </c>
      <c r="E319">
        <v>2024</v>
      </c>
      <c r="F319" t="s">
        <v>5554</v>
      </c>
    </row>
    <row r="320" spans="1:6" x14ac:dyDescent="0.3">
      <c r="A320" t="s">
        <v>1063</v>
      </c>
      <c r="B320" t="s">
        <v>1066</v>
      </c>
      <c r="C320">
        <v>14</v>
      </c>
      <c r="D320" t="s">
        <v>5568</v>
      </c>
      <c r="E320">
        <v>2024</v>
      </c>
      <c r="F320" t="s">
        <v>5555</v>
      </c>
    </row>
    <row r="321" spans="1:6" x14ac:dyDescent="0.3">
      <c r="A321" t="s">
        <v>487</v>
      </c>
      <c r="B321" t="s">
        <v>490</v>
      </c>
      <c r="C321">
        <v>15</v>
      </c>
      <c r="D321" t="s">
        <v>5568</v>
      </c>
      <c r="E321">
        <v>2024</v>
      </c>
      <c r="F321" t="s">
        <v>5556</v>
      </c>
    </row>
    <row r="322" spans="1:6" x14ac:dyDescent="0.3">
      <c r="A322" t="s">
        <v>2664</v>
      </c>
      <c r="B322" t="s">
        <v>197</v>
      </c>
      <c r="C322">
        <v>16</v>
      </c>
      <c r="D322" t="s">
        <v>5568</v>
      </c>
      <c r="E322">
        <v>2024</v>
      </c>
      <c r="F322" t="s">
        <v>5557</v>
      </c>
    </row>
    <row r="323" spans="1:6" x14ac:dyDescent="0.3">
      <c r="A323" t="s">
        <v>434</v>
      </c>
      <c r="B323" t="s">
        <v>437</v>
      </c>
      <c r="C323">
        <v>17</v>
      </c>
      <c r="D323" t="s">
        <v>5568</v>
      </c>
      <c r="E323">
        <v>2024</v>
      </c>
      <c r="F323" t="s">
        <v>5558</v>
      </c>
    </row>
    <row r="324" spans="1:6" x14ac:dyDescent="0.3">
      <c r="A324" t="s">
        <v>1487</v>
      </c>
      <c r="B324" t="s">
        <v>438</v>
      </c>
      <c r="C324">
        <v>18</v>
      </c>
      <c r="D324" t="s">
        <v>5568</v>
      </c>
      <c r="E324">
        <v>2024</v>
      </c>
      <c r="F324" t="s">
        <v>5552</v>
      </c>
    </row>
    <row r="325" spans="1:6" x14ac:dyDescent="0.3">
      <c r="A325" t="s">
        <v>996</v>
      </c>
      <c r="B325" t="s">
        <v>998</v>
      </c>
      <c r="C325">
        <v>19</v>
      </c>
      <c r="D325" t="s">
        <v>5568</v>
      </c>
      <c r="E325">
        <v>2024</v>
      </c>
      <c r="F325" t="s">
        <v>5553</v>
      </c>
    </row>
    <row r="326" spans="1:6" x14ac:dyDescent="0.3">
      <c r="A326" t="s">
        <v>2142</v>
      </c>
      <c r="B326" t="s">
        <v>999</v>
      </c>
      <c r="C326">
        <v>20</v>
      </c>
      <c r="D326" t="s">
        <v>5568</v>
      </c>
      <c r="E326">
        <v>2024</v>
      </c>
      <c r="F326" t="s">
        <v>5554</v>
      </c>
    </row>
    <row r="327" spans="1:6" x14ac:dyDescent="0.3">
      <c r="A327" t="s">
        <v>892</v>
      </c>
      <c r="B327" t="s">
        <v>895</v>
      </c>
      <c r="C327">
        <v>21</v>
      </c>
      <c r="D327" t="s">
        <v>5568</v>
      </c>
      <c r="E327">
        <v>2024</v>
      </c>
      <c r="F327" t="s">
        <v>5555</v>
      </c>
    </row>
    <row r="328" spans="1:6" x14ac:dyDescent="0.3">
      <c r="A328" t="s">
        <v>1502</v>
      </c>
      <c r="B328" t="s">
        <v>1505</v>
      </c>
      <c r="C328">
        <v>22</v>
      </c>
      <c r="D328" t="s">
        <v>5568</v>
      </c>
      <c r="E328">
        <v>2024</v>
      </c>
      <c r="F328" t="s">
        <v>5556</v>
      </c>
    </row>
    <row r="329" spans="1:6" x14ac:dyDescent="0.3">
      <c r="A329" t="s">
        <v>1245</v>
      </c>
      <c r="B329" t="s">
        <v>1248</v>
      </c>
      <c r="C329">
        <v>23</v>
      </c>
      <c r="D329" t="s">
        <v>5568</v>
      </c>
      <c r="E329">
        <v>2024</v>
      </c>
      <c r="F329" t="s">
        <v>5557</v>
      </c>
    </row>
    <row r="330" spans="1:6" x14ac:dyDescent="0.3">
      <c r="A330" t="s">
        <v>1761</v>
      </c>
      <c r="B330" t="s">
        <v>1763</v>
      </c>
      <c r="C330">
        <v>24</v>
      </c>
      <c r="D330" t="s">
        <v>5568</v>
      </c>
      <c r="E330">
        <v>2024</v>
      </c>
      <c r="F330" t="s">
        <v>5558</v>
      </c>
    </row>
    <row r="331" spans="1:6" x14ac:dyDescent="0.3">
      <c r="A331" t="s">
        <v>565</v>
      </c>
      <c r="B331" t="s">
        <v>568</v>
      </c>
      <c r="C331">
        <v>25</v>
      </c>
      <c r="D331" t="s">
        <v>5568</v>
      </c>
      <c r="E331">
        <v>2024</v>
      </c>
      <c r="F331" t="s">
        <v>5552</v>
      </c>
    </row>
    <row r="332" spans="1:6" x14ac:dyDescent="0.3">
      <c r="A332" t="s">
        <v>2774</v>
      </c>
      <c r="B332" t="s">
        <v>2777</v>
      </c>
      <c r="C332">
        <v>26</v>
      </c>
      <c r="D332" t="s">
        <v>5568</v>
      </c>
      <c r="E332">
        <v>2024</v>
      </c>
      <c r="F332" t="s">
        <v>5553</v>
      </c>
    </row>
    <row r="333" spans="1:6" x14ac:dyDescent="0.3">
      <c r="A333" t="s">
        <v>1725</v>
      </c>
      <c r="B333" t="s">
        <v>1728</v>
      </c>
      <c r="C333">
        <v>27</v>
      </c>
      <c r="D333" t="s">
        <v>5568</v>
      </c>
      <c r="E333">
        <v>2024</v>
      </c>
      <c r="F333" t="s">
        <v>5554</v>
      </c>
    </row>
    <row r="334" spans="1:6" x14ac:dyDescent="0.3">
      <c r="A334" t="s">
        <v>550</v>
      </c>
      <c r="B334" t="s">
        <v>553</v>
      </c>
      <c r="C334">
        <v>28</v>
      </c>
      <c r="D334" t="s">
        <v>5568</v>
      </c>
      <c r="E334">
        <v>2024</v>
      </c>
      <c r="F334" t="s">
        <v>5555</v>
      </c>
    </row>
    <row r="335" spans="1:6" x14ac:dyDescent="0.3">
      <c r="A335" t="s">
        <v>1083</v>
      </c>
      <c r="B335" t="s">
        <v>554</v>
      </c>
      <c r="C335">
        <v>29</v>
      </c>
      <c r="D335" t="s">
        <v>5568</v>
      </c>
      <c r="E335">
        <v>2024</v>
      </c>
      <c r="F335" t="s">
        <v>5556</v>
      </c>
    </row>
    <row r="336" spans="1:6" x14ac:dyDescent="0.3">
      <c r="A336" t="s">
        <v>2219</v>
      </c>
      <c r="B336" t="s">
        <v>1085</v>
      </c>
      <c r="C336">
        <v>30</v>
      </c>
      <c r="D336" t="s">
        <v>5568</v>
      </c>
      <c r="E336">
        <v>2024</v>
      </c>
      <c r="F336" t="s">
        <v>5557</v>
      </c>
    </row>
    <row r="337" spans="1:6" x14ac:dyDescent="0.3">
      <c r="A337" t="s">
        <v>1859</v>
      </c>
      <c r="B337" t="s">
        <v>1861</v>
      </c>
      <c r="C337">
        <v>1</v>
      </c>
      <c r="D337" t="s">
        <v>5569</v>
      </c>
      <c r="E337">
        <v>2024</v>
      </c>
      <c r="F337" t="s">
        <v>5558</v>
      </c>
    </row>
    <row r="338" spans="1:6" x14ac:dyDescent="0.3">
      <c r="A338" t="s">
        <v>1585</v>
      </c>
      <c r="B338" t="s">
        <v>1588</v>
      </c>
      <c r="C338">
        <v>2</v>
      </c>
      <c r="D338" t="s">
        <v>5569</v>
      </c>
      <c r="E338">
        <v>2024</v>
      </c>
      <c r="F338" t="s">
        <v>5552</v>
      </c>
    </row>
    <row r="339" spans="1:6" x14ac:dyDescent="0.3">
      <c r="A339" t="s">
        <v>2509</v>
      </c>
      <c r="B339" t="s">
        <v>1862</v>
      </c>
      <c r="C339">
        <v>3</v>
      </c>
      <c r="D339" t="s">
        <v>5569</v>
      </c>
      <c r="E339">
        <v>2024</v>
      </c>
      <c r="F339" t="s">
        <v>5553</v>
      </c>
    </row>
    <row r="340" spans="1:6" x14ac:dyDescent="0.3">
      <c r="A340" t="s">
        <v>793</v>
      </c>
      <c r="B340" t="s">
        <v>796</v>
      </c>
      <c r="C340">
        <v>4</v>
      </c>
      <c r="D340" t="s">
        <v>5569</v>
      </c>
      <c r="E340">
        <v>2024</v>
      </c>
      <c r="F340" t="s">
        <v>5554</v>
      </c>
    </row>
    <row r="341" spans="1:6" x14ac:dyDescent="0.3">
      <c r="A341" t="s">
        <v>3046</v>
      </c>
      <c r="B341" t="s">
        <v>1589</v>
      </c>
      <c r="C341">
        <v>5</v>
      </c>
      <c r="D341" t="s">
        <v>5569</v>
      </c>
      <c r="E341">
        <v>2024</v>
      </c>
      <c r="F341" t="s">
        <v>5555</v>
      </c>
    </row>
    <row r="342" spans="1:6" x14ac:dyDescent="0.3">
      <c r="A342" t="s">
        <v>1454</v>
      </c>
      <c r="B342" t="s">
        <v>1456</v>
      </c>
      <c r="C342">
        <v>6</v>
      </c>
      <c r="D342" t="s">
        <v>5569</v>
      </c>
      <c r="E342">
        <v>2024</v>
      </c>
      <c r="F342" t="s">
        <v>5556</v>
      </c>
    </row>
    <row r="343" spans="1:6" x14ac:dyDescent="0.3">
      <c r="A343" t="s">
        <v>1273</v>
      </c>
      <c r="B343" t="s">
        <v>797</v>
      </c>
      <c r="C343">
        <v>7</v>
      </c>
      <c r="D343" t="s">
        <v>5569</v>
      </c>
      <c r="E343">
        <v>2024</v>
      </c>
      <c r="F343" t="s">
        <v>5557</v>
      </c>
    </row>
    <row r="344" spans="1:6" x14ac:dyDescent="0.3">
      <c r="A344" t="s">
        <v>1757</v>
      </c>
      <c r="B344" t="s">
        <v>1759</v>
      </c>
      <c r="C344">
        <v>8</v>
      </c>
      <c r="D344" t="s">
        <v>5569</v>
      </c>
      <c r="E344">
        <v>2024</v>
      </c>
      <c r="F344" t="s">
        <v>5558</v>
      </c>
    </row>
    <row r="345" spans="1:6" x14ac:dyDescent="0.3">
      <c r="A345" t="s">
        <v>623</v>
      </c>
      <c r="B345" t="s">
        <v>625</v>
      </c>
      <c r="C345">
        <v>9</v>
      </c>
      <c r="D345" t="s">
        <v>5569</v>
      </c>
      <c r="E345">
        <v>2024</v>
      </c>
      <c r="F345" t="s">
        <v>5552</v>
      </c>
    </row>
    <row r="346" spans="1:6" x14ac:dyDescent="0.3">
      <c r="A346" t="s">
        <v>973</v>
      </c>
      <c r="B346" t="s">
        <v>626</v>
      </c>
      <c r="C346">
        <v>10</v>
      </c>
      <c r="D346" t="s">
        <v>5569</v>
      </c>
      <c r="E346">
        <v>2024</v>
      </c>
      <c r="F346" t="s">
        <v>5553</v>
      </c>
    </row>
    <row r="347" spans="1:6" x14ac:dyDescent="0.3">
      <c r="A347" t="s">
        <v>1953</v>
      </c>
      <c r="B347" t="s">
        <v>1347</v>
      </c>
      <c r="C347">
        <v>11</v>
      </c>
      <c r="D347" t="s">
        <v>5569</v>
      </c>
      <c r="E347">
        <v>2024</v>
      </c>
      <c r="F347" t="s">
        <v>5554</v>
      </c>
    </row>
    <row r="348" spans="1:6" x14ac:dyDescent="0.3">
      <c r="A348" t="s">
        <v>123</v>
      </c>
      <c r="B348" t="s">
        <v>126</v>
      </c>
      <c r="C348">
        <v>12</v>
      </c>
      <c r="D348" t="s">
        <v>5569</v>
      </c>
      <c r="E348">
        <v>2024</v>
      </c>
      <c r="F348" t="s">
        <v>5555</v>
      </c>
    </row>
    <row r="349" spans="1:6" x14ac:dyDescent="0.3">
      <c r="A349" t="s">
        <v>882</v>
      </c>
      <c r="B349" t="s">
        <v>885</v>
      </c>
      <c r="C349">
        <v>13</v>
      </c>
      <c r="D349" t="s">
        <v>5569</v>
      </c>
      <c r="E349">
        <v>2024</v>
      </c>
      <c r="F349" t="s">
        <v>5556</v>
      </c>
    </row>
    <row r="350" spans="1:6" x14ac:dyDescent="0.3">
      <c r="A350" t="s">
        <v>465</v>
      </c>
      <c r="B350" t="s">
        <v>468</v>
      </c>
      <c r="C350">
        <v>14</v>
      </c>
      <c r="D350" t="s">
        <v>5569</v>
      </c>
      <c r="E350">
        <v>2024</v>
      </c>
      <c r="F350" t="s">
        <v>5557</v>
      </c>
    </row>
    <row r="351" spans="1:6" x14ac:dyDescent="0.3">
      <c r="A351" t="s">
        <v>2207</v>
      </c>
      <c r="B351" t="s">
        <v>1956</v>
      </c>
      <c r="C351">
        <v>15</v>
      </c>
      <c r="D351" t="s">
        <v>5569</v>
      </c>
      <c r="E351">
        <v>2024</v>
      </c>
      <c r="F351" t="s">
        <v>5558</v>
      </c>
    </row>
    <row r="352" spans="1:6" x14ac:dyDescent="0.3">
      <c r="A352" t="s">
        <v>418</v>
      </c>
      <c r="B352" t="s">
        <v>421</v>
      </c>
      <c r="C352">
        <v>16</v>
      </c>
      <c r="D352" t="s">
        <v>5569</v>
      </c>
      <c r="E352">
        <v>2024</v>
      </c>
      <c r="F352" t="s">
        <v>5552</v>
      </c>
    </row>
    <row r="353" spans="1:6" x14ac:dyDescent="0.3">
      <c r="A353" t="s">
        <v>652</v>
      </c>
      <c r="B353" t="s">
        <v>127</v>
      </c>
      <c r="C353">
        <v>17</v>
      </c>
      <c r="D353" t="s">
        <v>5569</v>
      </c>
      <c r="E353">
        <v>2024</v>
      </c>
      <c r="F353" t="s">
        <v>5553</v>
      </c>
    </row>
    <row r="354" spans="1:6" x14ac:dyDescent="0.3">
      <c r="A354" t="s">
        <v>3973</v>
      </c>
      <c r="B354" t="s">
        <v>1109</v>
      </c>
      <c r="C354">
        <v>18</v>
      </c>
      <c r="D354" t="s">
        <v>5569</v>
      </c>
      <c r="E354">
        <v>2024</v>
      </c>
      <c r="F354" t="s">
        <v>5554</v>
      </c>
    </row>
    <row r="355" spans="1:6" x14ac:dyDescent="0.3">
      <c r="A355" t="s">
        <v>1872</v>
      </c>
      <c r="B355" t="s">
        <v>422</v>
      </c>
      <c r="C355">
        <v>19</v>
      </c>
      <c r="D355" t="s">
        <v>5569</v>
      </c>
      <c r="E355">
        <v>2024</v>
      </c>
      <c r="F355" t="s">
        <v>5555</v>
      </c>
    </row>
    <row r="356" spans="1:6" x14ac:dyDescent="0.3">
      <c r="A356" t="s">
        <v>206</v>
      </c>
      <c r="B356" t="s">
        <v>209</v>
      </c>
      <c r="C356">
        <v>20</v>
      </c>
      <c r="D356" t="s">
        <v>5569</v>
      </c>
      <c r="E356">
        <v>2024</v>
      </c>
      <c r="F356" t="s">
        <v>5556</v>
      </c>
    </row>
    <row r="357" spans="1:6" x14ac:dyDescent="0.3">
      <c r="A357" t="s">
        <v>1349</v>
      </c>
      <c r="B357" t="s">
        <v>210</v>
      </c>
      <c r="C357">
        <v>21</v>
      </c>
      <c r="D357" t="s">
        <v>5569</v>
      </c>
      <c r="E357">
        <v>2024</v>
      </c>
      <c r="F357" t="s">
        <v>5557</v>
      </c>
    </row>
    <row r="358" spans="1:6" x14ac:dyDescent="0.3">
      <c r="A358" t="s">
        <v>755</v>
      </c>
      <c r="B358" t="s">
        <v>758</v>
      </c>
      <c r="C358">
        <v>22</v>
      </c>
      <c r="D358" t="s">
        <v>5569</v>
      </c>
      <c r="E358">
        <v>2024</v>
      </c>
      <c r="F358" t="s">
        <v>5558</v>
      </c>
    </row>
    <row r="359" spans="1:6" x14ac:dyDescent="0.3">
      <c r="A359" t="s">
        <v>799</v>
      </c>
      <c r="B359" t="s">
        <v>802</v>
      </c>
      <c r="C359">
        <v>23</v>
      </c>
      <c r="D359" t="s">
        <v>5569</v>
      </c>
      <c r="E359">
        <v>2024</v>
      </c>
      <c r="F359" t="s">
        <v>5552</v>
      </c>
    </row>
    <row r="360" spans="1:6" x14ac:dyDescent="0.3">
      <c r="A360" t="s">
        <v>1698</v>
      </c>
      <c r="B360" t="s">
        <v>759</v>
      </c>
      <c r="C360">
        <v>24</v>
      </c>
      <c r="D360" t="s">
        <v>5569</v>
      </c>
      <c r="E360">
        <v>2024</v>
      </c>
      <c r="F360" t="s">
        <v>5553</v>
      </c>
    </row>
    <row r="361" spans="1:6" x14ac:dyDescent="0.3">
      <c r="A361" t="s">
        <v>2635</v>
      </c>
      <c r="B361" t="s">
        <v>2628</v>
      </c>
      <c r="C361">
        <v>25</v>
      </c>
      <c r="D361" t="s">
        <v>5569</v>
      </c>
      <c r="E361">
        <v>2024</v>
      </c>
      <c r="F361" t="s">
        <v>5554</v>
      </c>
    </row>
    <row r="362" spans="1:6" x14ac:dyDescent="0.3">
      <c r="A362" t="s">
        <v>2025</v>
      </c>
      <c r="B362" t="s">
        <v>1522</v>
      </c>
      <c r="C362">
        <v>26</v>
      </c>
      <c r="D362" t="s">
        <v>5569</v>
      </c>
      <c r="E362">
        <v>2024</v>
      </c>
      <c r="F362" t="s">
        <v>5555</v>
      </c>
    </row>
    <row r="363" spans="1:6" x14ac:dyDescent="0.3">
      <c r="A363" t="s">
        <v>1835</v>
      </c>
      <c r="B363" t="s">
        <v>803</v>
      </c>
      <c r="C363">
        <v>27</v>
      </c>
      <c r="D363" t="s">
        <v>5569</v>
      </c>
      <c r="E363">
        <v>2024</v>
      </c>
      <c r="F363" t="s">
        <v>5556</v>
      </c>
    </row>
    <row r="364" spans="1:6" x14ac:dyDescent="0.3">
      <c r="A364" t="s">
        <v>115</v>
      </c>
      <c r="B364" t="s">
        <v>119</v>
      </c>
      <c r="C364">
        <v>28</v>
      </c>
      <c r="D364" t="s">
        <v>5569</v>
      </c>
      <c r="E364">
        <v>2024</v>
      </c>
      <c r="F364" t="s">
        <v>5557</v>
      </c>
    </row>
    <row r="365" spans="1:6" x14ac:dyDescent="0.3">
      <c r="A365" t="s">
        <v>574</v>
      </c>
      <c r="B365" t="s">
        <v>577</v>
      </c>
      <c r="C365">
        <v>29</v>
      </c>
      <c r="D365" t="s">
        <v>5569</v>
      </c>
      <c r="E365">
        <v>2024</v>
      </c>
      <c r="F365" t="s">
        <v>5558</v>
      </c>
    </row>
    <row r="366" spans="1:6" x14ac:dyDescent="0.3">
      <c r="A366" t="s">
        <v>2200</v>
      </c>
      <c r="B366" t="s">
        <v>120</v>
      </c>
      <c r="C366">
        <v>30</v>
      </c>
      <c r="D366" t="s">
        <v>5569</v>
      </c>
      <c r="E366">
        <v>2024</v>
      </c>
      <c r="F366" t="s">
        <v>5552</v>
      </c>
    </row>
    <row r="367" spans="1:6" x14ac:dyDescent="0.3">
      <c r="A367" t="s">
        <v>5570</v>
      </c>
      <c r="B367" t="s">
        <v>869</v>
      </c>
      <c r="C367">
        <v>31</v>
      </c>
      <c r="D367" t="s">
        <v>5569</v>
      </c>
      <c r="E367">
        <v>2024</v>
      </c>
      <c r="F367" t="s">
        <v>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F2" sqref="F2"/>
    </sheetView>
  </sheetViews>
  <sheetFormatPr defaultRowHeight="14.4" x14ac:dyDescent="0.3"/>
  <cols>
    <col min="1" max="1" width="13.88671875" customWidth="1"/>
    <col min="2" max="2" width="13.77734375" customWidth="1"/>
    <col min="3" max="3" width="10.44140625" customWidth="1"/>
    <col min="4" max="4" width="13.109375" customWidth="1"/>
    <col min="5" max="5" width="15.88671875" customWidth="1"/>
    <col min="6" max="6" width="17.77734375" customWidth="1"/>
  </cols>
  <sheetData>
    <row r="1" spans="1:6" x14ac:dyDescent="0.3">
      <c r="A1" s="1" t="s">
        <v>2</v>
      </c>
      <c r="B1" s="1" t="s">
        <v>5571</v>
      </c>
      <c r="C1" s="1" t="s">
        <v>5572</v>
      </c>
      <c r="D1" s="1" t="s">
        <v>5573</v>
      </c>
      <c r="E1" s="1" t="s">
        <v>5574</v>
      </c>
      <c r="F1" s="1" t="s">
        <v>5575</v>
      </c>
    </row>
    <row r="2" spans="1:6" x14ac:dyDescent="0.3">
      <c r="A2" t="s">
        <v>174</v>
      </c>
      <c r="B2" t="s">
        <v>5576</v>
      </c>
      <c r="C2" t="s">
        <v>5577</v>
      </c>
      <c r="D2">
        <v>3</v>
      </c>
      <c r="E2" t="s">
        <v>5578</v>
      </c>
      <c r="F2" t="str" cm="1">
        <f t="array" ref="F2">_xlfn.SWITCH(B2,
"Suite", "Premium",
"Premium","Premium",
"Mid-range","Executive",
"Deluxe","Mid-range",
"Standard", "Budget")</f>
        <v>Budget</v>
      </c>
    </row>
    <row r="3" spans="1:6" x14ac:dyDescent="0.3">
      <c r="A3" t="s">
        <v>61</v>
      </c>
      <c r="B3" t="s">
        <v>5580</v>
      </c>
      <c r="C3" t="s">
        <v>5581</v>
      </c>
      <c r="D3">
        <v>3</v>
      </c>
      <c r="E3" t="s">
        <v>5582</v>
      </c>
      <c r="F3" t="str" cm="1">
        <f t="array" ref="F3">_xlfn.SWITCH(B3,
"Suite", "Premium",
"Premium","Premium",
"Mid-range","Executive",
"Deluxe","Mid-range",
"Standard", "Budget")</f>
        <v>Mid-range</v>
      </c>
    </row>
    <row r="4" spans="1:6" x14ac:dyDescent="0.3">
      <c r="A4" t="s">
        <v>83</v>
      </c>
      <c r="B4" t="s">
        <v>5583</v>
      </c>
      <c r="C4" t="s">
        <v>5584</v>
      </c>
      <c r="D4">
        <v>4</v>
      </c>
      <c r="E4" t="s">
        <v>5585</v>
      </c>
      <c r="F4" t="str" cm="1">
        <f t="array" ref="F4">_xlfn.SWITCH(B4,
"Suite", "Premium",
"Premium","Premium",
"Mid-range","Executive",
"Deluxe","Mid-range",
"Standard", "Budget")</f>
        <v>Premium</v>
      </c>
    </row>
    <row r="5" spans="1:6" x14ac:dyDescent="0.3">
      <c r="A5" t="s">
        <v>75</v>
      </c>
      <c r="B5" t="s">
        <v>5576</v>
      </c>
      <c r="C5" t="s">
        <v>5581</v>
      </c>
      <c r="D5">
        <v>2</v>
      </c>
      <c r="E5" t="s">
        <v>5586</v>
      </c>
      <c r="F5" t="str" cm="1">
        <f t="array" ref="F5">_xlfn.SWITCH(B5,
"Suite", "Premium",
"Premium","Premium",
"Mid-range","Executive",
"Deluxe","Mid-range",
"Standard", "Budget")</f>
        <v>Budget</v>
      </c>
    </row>
    <row r="6" spans="1:6" x14ac:dyDescent="0.3">
      <c r="A6" t="s">
        <v>12</v>
      </c>
      <c r="B6" t="s">
        <v>5576</v>
      </c>
      <c r="C6" t="s">
        <v>5584</v>
      </c>
      <c r="D6">
        <v>2</v>
      </c>
      <c r="E6" t="s">
        <v>5587</v>
      </c>
      <c r="F6" t="str" cm="1">
        <f t="array" ref="F6">_xlfn.SWITCH(B6,
"Suite", "Premium",
"Premium","Premium",
"Mid-range","Executive",
"Deluxe","Mid-range",
"Standard", "Budget")</f>
        <v>Budget</v>
      </c>
    </row>
    <row r="7" spans="1:6" x14ac:dyDescent="0.3">
      <c r="A7" t="s">
        <v>54</v>
      </c>
      <c r="B7" t="s">
        <v>5579</v>
      </c>
      <c r="C7" t="s">
        <v>5584</v>
      </c>
      <c r="D7">
        <v>4</v>
      </c>
      <c r="E7" t="s">
        <v>5588</v>
      </c>
      <c r="F7" t="str" cm="1">
        <f t="array" ref="F7">_xlfn.SWITCH(B7,
"Suite", "Premium",
"Premium","Premium",
"Mid-range","Executive",
"Deluxe","Mid-range",
"Standard", "Budget")</f>
        <v>Premium</v>
      </c>
    </row>
    <row r="8" spans="1:6" x14ac:dyDescent="0.3">
      <c r="A8" t="s">
        <v>97</v>
      </c>
      <c r="B8" t="s">
        <v>5583</v>
      </c>
      <c r="C8" t="s">
        <v>5581</v>
      </c>
      <c r="D8">
        <v>3</v>
      </c>
      <c r="E8" t="s">
        <v>5589</v>
      </c>
      <c r="F8" t="str" cm="1">
        <f t="array" ref="F8">_xlfn.SWITCH(B8,
"Suite", "Premium",
"Premium","Premium",
"Mid-range","Executive",
"Deluxe","Mid-range",
"Standard", "Budget")</f>
        <v>Premium</v>
      </c>
    </row>
    <row r="9" spans="1:6" x14ac:dyDescent="0.3">
      <c r="A9" t="s">
        <v>21</v>
      </c>
      <c r="B9" t="s">
        <v>5576</v>
      </c>
      <c r="C9" t="s">
        <v>5590</v>
      </c>
      <c r="D9">
        <v>2</v>
      </c>
      <c r="E9" t="s">
        <v>5591</v>
      </c>
      <c r="F9" t="str" cm="1">
        <f t="array" ref="F9">_xlfn.SWITCH(B9,
"Suite", "Premium",
"Premium","Premium",
"Mid-range","Executive",
"Deluxe","Mid-range",
"Standard", "Budget")</f>
        <v>Budget</v>
      </c>
    </row>
    <row r="10" spans="1:6" x14ac:dyDescent="0.3">
      <c r="A10" t="s">
        <v>30</v>
      </c>
      <c r="B10" t="s">
        <v>5579</v>
      </c>
      <c r="C10" t="s">
        <v>5584</v>
      </c>
      <c r="D10">
        <v>1</v>
      </c>
      <c r="E10" t="s">
        <v>5592</v>
      </c>
      <c r="F10" t="str" cm="1">
        <f t="array" ref="F10">_xlfn.SWITCH(B10,
"Suite", "Premium",
"Premium","Premium",
"Mid-range","Executive",
"Deluxe","Mid-range",
"Standard", "Budget")</f>
        <v>Premium</v>
      </c>
    </row>
    <row r="11" spans="1:6" x14ac:dyDescent="0.3">
      <c r="A11" t="s">
        <v>38</v>
      </c>
      <c r="B11" t="s">
        <v>5580</v>
      </c>
      <c r="C11" t="s">
        <v>5577</v>
      </c>
      <c r="D11">
        <v>4</v>
      </c>
      <c r="E11" t="s">
        <v>5593</v>
      </c>
      <c r="F11" t="str" cm="1">
        <f t="array" ref="F11">_xlfn.SWITCH(B11,
"Suite", "Premium",
"Premium","Premium",
"Mid-range","Executive",
"Deluxe","Mid-range",
"Standard", "Budget")</f>
        <v>Mid-range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>
      <selection activeCell="L2" sqref="L2"/>
    </sheetView>
  </sheetViews>
  <sheetFormatPr defaultRowHeight="14.4" x14ac:dyDescent="0.3"/>
  <cols>
    <col min="1" max="1" width="14.77734375" customWidth="1"/>
    <col min="4" max="4" width="22.5546875" customWidth="1"/>
  </cols>
  <sheetData>
    <row r="1" spans="1:5" x14ac:dyDescent="0.3">
      <c r="A1" s="1" t="s">
        <v>3</v>
      </c>
      <c r="B1" s="1" t="s">
        <v>5594</v>
      </c>
      <c r="C1" s="1" t="s">
        <v>5595</v>
      </c>
      <c r="D1" s="1" t="s">
        <v>5596</v>
      </c>
      <c r="E1" s="1" t="s">
        <v>5597</v>
      </c>
    </row>
    <row r="2" spans="1:5" x14ac:dyDescent="0.3">
      <c r="A2" t="s">
        <v>2960</v>
      </c>
      <c r="B2" t="s">
        <v>5598</v>
      </c>
      <c r="C2" t="s">
        <v>5599</v>
      </c>
      <c r="D2" t="s">
        <v>5600</v>
      </c>
      <c r="E2" t="s">
        <v>5601</v>
      </c>
    </row>
    <row r="3" spans="1:5" x14ac:dyDescent="0.3">
      <c r="A3" t="s">
        <v>5602</v>
      </c>
      <c r="B3" t="s">
        <v>5603</v>
      </c>
      <c r="C3" t="s">
        <v>5604</v>
      </c>
      <c r="D3" t="s">
        <v>5605</v>
      </c>
      <c r="E3" t="s">
        <v>5606</v>
      </c>
    </row>
    <row r="4" spans="1:5" x14ac:dyDescent="0.3">
      <c r="A4" t="s">
        <v>4260</v>
      </c>
      <c r="B4" t="s">
        <v>5607</v>
      </c>
      <c r="C4" t="s">
        <v>5608</v>
      </c>
      <c r="D4" t="s">
        <v>5609</v>
      </c>
      <c r="E4" t="s">
        <v>5610</v>
      </c>
    </row>
    <row r="5" spans="1:5" x14ac:dyDescent="0.3">
      <c r="A5" t="s">
        <v>269</v>
      </c>
      <c r="B5" t="s">
        <v>5598</v>
      </c>
      <c r="C5" t="s">
        <v>5611</v>
      </c>
      <c r="D5" t="s">
        <v>5612</v>
      </c>
      <c r="E5" t="s">
        <v>5613</v>
      </c>
    </row>
    <row r="6" spans="1:5" x14ac:dyDescent="0.3">
      <c r="A6" t="s">
        <v>1294</v>
      </c>
      <c r="B6" t="s">
        <v>5614</v>
      </c>
      <c r="C6" t="s">
        <v>5608</v>
      </c>
      <c r="D6" t="s">
        <v>5615</v>
      </c>
      <c r="E6" t="s">
        <v>5616</v>
      </c>
    </row>
    <row r="7" spans="1:5" x14ac:dyDescent="0.3">
      <c r="A7" t="s">
        <v>1814</v>
      </c>
      <c r="B7" t="s">
        <v>5617</v>
      </c>
      <c r="C7" t="s">
        <v>5618</v>
      </c>
      <c r="D7" t="s">
        <v>5619</v>
      </c>
      <c r="E7" t="s">
        <v>5620</v>
      </c>
    </row>
    <row r="8" spans="1:5" x14ac:dyDescent="0.3">
      <c r="A8" t="s">
        <v>5258</v>
      </c>
      <c r="B8" t="s">
        <v>5621</v>
      </c>
      <c r="C8" t="s">
        <v>5608</v>
      </c>
      <c r="D8" t="s">
        <v>5622</v>
      </c>
      <c r="E8" t="s">
        <v>5623</v>
      </c>
    </row>
    <row r="9" spans="1:5" x14ac:dyDescent="0.3">
      <c r="A9" t="s">
        <v>4688</v>
      </c>
      <c r="B9" t="s">
        <v>5624</v>
      </c>
      <c r="C9" t="s">
        <v>5599</v>
      </c>
      <c r="D9" t="s">
        <v>5625</v>
      </c>
      <c r="E9" t="s">
        <v>5626</v>
      </c>
    </row>
    <row r="10" spans="1:5" x14ac:dyDescent="0.3">
      <c r="A10" t="s">
        <v>2828</v>
      </c>
      <c r="B10" t="s">
        <v>5614</v>
      </c>
      <c r="C10" t="s">
        <v>5627</v>
      </c>
      <c r="D10" t="s">
        <v>5628</v>
      </c>
      <c r="E10" t="s">
        <v>5629</v>
      </c>
    </row>
    <row r="11" spans="1:5" x14ac:dyDescent="0.3">
      <c r="A11" t="s">
        <v>1802</v>
      </c>
      <c r="B11" t="s">
        <v>5624</v>
      </c>
      <c r="C11" t="s">
        <v>5627</v>
      </c>
      <c r="D11" t="s">
        <v>5630</v>
      </c>
      <c r="E11" t="s">
        <v>5631</v>
      </c>
    </row>
    <row r="12" spans="1:5" x14ac:dyDescent="0.3">
      <c r="A12" t="s">
        <v>4315</v>
      </c>
      <c r="B12" t="s">
        <v>5624</v>
      </c>
      <c r="C12" t="s">
        <v>5632</v>
      </c>
      <c r="D12" t="s">
        <v>5633</v>
      </c>
      <c r="E12" t="s">
        <v>5634</v>
      </c>
    </row>
    <row r="13" spans="1:5" x14ac:dyDescent="0.3">
      <c r="A13" t="s">
        <v>1051</v>
      </c>
      <c r="B13" t="s">
        <v>5598</v>
      </c>
      <c r="C13" t="s">
        <v>5618</v>
      </c>
      <c r="D13" t="s">
        <v>5635</v>
      </c>
      <c r="E13" t="s">
        <v>5636</v>
      </c>
    </row>
    <row r="14" spans="1:5" x14ac:dyDescent="0.3">
      <c r="A14" t="s">
        <v>4009</v>
      </c>
      <c r="B14" t="s">
        <v>5617</v>
      </c>
      <c r="C14" t="s">
        <v>5604</v>
      </c>
      <c r="D14" t="s">
        <v>5637</v>
      </c>
      <c r="E14" t="s">
        <v>5638</v>
      </c>
    </row>
    <row r="15" spans="1:5" x14ac:dyDescent="0.3">
      <c r="A15" t="s">
        <v>1270</v>
      </c>
      <c r="B15" t="s">
        <v>5639</v>
      </c>
      <c r="C15" t="s">
        <v>5608</v>
      </c>
      <c r="D15" t="s">
        <v>5640</v>
      </c>
      <c r="E15" t="s">
        <v>5641</v>
      </c>
    </row>
    <row r="16" spans="1:5" x14ac:dyDescent="0.3">
      <c r="A16" t="s">
        <v>1934</v>
      </c>
      <c r="B16" t="s">
        <v>5617</v>
      </c>
      <c r="C16" t="s">
        <v>5618</v>
      </c>
      <c r="D16" t="s">
        <v>5642</v>
      </c>
      <c r="E16" t="s">
        <v>5643</v>
      </c>
    </row>
    <row r="17" spans="1:5" x14ac:dyDescent="0.3">
      <c r="A17" t="s">
        <v>1514</v>
      </c>
      <c r="B17" t="s">
        <v>5621</v>
      </c>
      <c r="C17" t="s">
        <v>5627</v>
      </c>
      <c r="D17" t="s">
        <v>5644</v>
      </c>
      <c r="E17" t="s">
        <v>5645</v>
      </c>
    </row>
    <row r="18" spans="1:5" x14ac:dyDescent="0.3">
      <c r="A18" t="s">
        <v>3290</v>
      </c>
      <c r="B18" t="s">
        <v>5639</v>
      </c>
      <c r="C18" t="s">
        <v>5611</v>
      </c>
      <c r="D18" t="s">
        <v>5646</v>
      </c>
      <c r="E18" t="s">
        <v>5647</v>
      </c>
    </row>
    <row r="19" spans="1:5" x14ac:dyDescent="0.3">
      <c r="A19" t="s">
        <v>3555</v>
      </c>
      <c r="B19" t="s">
        <v>5639</v>
      </c>
      <c r="C19" t="s">
        <v>5611</v>
      </c>
      <c r="D19" t="s">
        <v>5648</v>
      </c>
      <c r="E19" t="s">
        <v>5649</v>
      </c>
    </row>
    <row r="20" spans="1:5" x14ac:dyDescent="0.3">
      <c r="A20" t="s">
        <v>5650</v>
      </c>
      <c r="B20" t="s">
        <v>5607</v>
      </c>
      <c r="C20" t="s">
        <v>5599</v>
      </c>
      <c r="D20" t="s">
        <v>5651</v>
      </c>
      <c r="E20" t="s">
        <v>5652</v>
      </c>
    </row>
    <row r="21" spans="1:5" x14ac:dyDescent="0.3">
      <c r="A21" t="s">
        <v>2227</v>
      </c>
      <c r="B21" t="s">
        <v>5598</v>
      </c>
      <c r="C21" t="s">
        <v>5611</v>
      </c>
      <c r="D21" t="s">
        <v>5653</v>
      </c>
      <c r="E21" t="s">
        <v>5654</v>
      </c>
    </row>
    <row r="22" spans="1:5" x14ac:dyDescent="0.3">
      <c r="A22" t="s">
        <v>3673</v>
      </c>
      <c r="B22" t="s">
        <v>5639</v>
      </c>
      <c r="C22" t="s">
        <v>5655</v>
      </c>
      <c r="D22" t="s">
        <v>5656</v>
      </c>
      <c r="E22" t="s">
        <v>5657</v>
      </c>
    </row>
    <row r="23" spans="1:5" x14ac:dyDescent="0.3">
      <c r="A23" t="s">
        <v>3481</v>
      </c>
      <c r="B23" t="s">
        <v>5624</v>
      </c>
      <c r="C23" t="s">
        <v>5611</v>
      </c>
      <c r="D23" t="s">
        <v>5658</v>
      </c>
      <c r="E23" t="s">
        <v>5659</v>
      </c>
    </row>
    <row r="24" spans="1:5" x14ac:dyDescent="0.3">
      <c r="A24" t="s">
        <v>859</v>
      </c>
      <c r="B24" t="s">
        <v>5624</v>
      </c>
      <c r="C24" t="s">
        <v>5599</v>
      </c>
      <c r="D24" t="s">
        <v>5660</v>
      </c>
      <c r="E24" t="s">
        <v>5661</v>
      </c>
    </row>
    <row r="25" spans="1:5" x14ac:dyDescent="0.3">
      <c r="A25" t="s">
        <v>5662</v>
      </c>
      <c r="B25" t="s">
        <v>5614</v>
      </c>
      <c r="C25" t="s">
        <v>5627</v>
      </c>
      <c r="D25" t="s">
        <v>5663</v>
      </c>
      <c r="E25" t="s">
        <v>5664</v>
      </c>
    </row>
    <row r="26" spans="1:5" x14ac:dyDescent="0.3">
      <c r="A26" t="s">
        <v>1018</v>
      </c>
      <c r="B26" t="s">
        <v>5624</v>
      </c>
      <c r="C26" t="s">
        <v>5608</v>
      </c>
      <c r="D26" t="s">
        <v>5665</v>
      </c>
      <c r="E26" t="s">
        <v>5666</v>
      </c>
    </row>
    <row r="27" spans="1:5" x14ac:dyDescent="0.3">
      <c r="A27" t="s">
        <v>2014</v>
      </c>
      <c r="B27" t="s">
        <v>5639</v>
      </c>
      <c r="C27" t="s">
        <v>5604</v>
      </c>
      <c r="D27" t="s">
        <v>5667</v>
      </c>
      <c r="E27" t="s">
        <v>5668</v>
      </c>
    </row>
    <row r="28" spans="1:5" x14ac:dyDescent="0.3">
      <c r="A28" t="s">
        <v>2838</v>
      </c>
      <c r="B28" t="s">
        <v>5624</v>
      </c>
      <c r="C28" t="s">
        <v>5618</v>
      </c>
      <c r="D28" t="s">
        <v>5669</v>
      </c>
      <c r="E28" t="s">
        <v>5670</v>
      </c>
    </row>
    <row r="29" spans="1:5" x14ac:dyDescent="0.3">
      <c r="A29" t="s">
        <v>2991</v>
      </c>
      <c r="B29" t="s">
        <v>5603</v>
      </c>
      <c r="C29" t="s">
        <v>5599</v>
      </c>
      <c r="D29" t="s">
        <v>5671</v>
      </c>
      <c r="E29" t="s">
        <v>5672</v>
      </c>
    </row>
    <row r="30" spans="1:5" x14ac:dyDescent="0.3">
      <c r="A30" t="s">
        <v>4793</v>
      </c>
      <c r="B30" t="s">
        <v>5673</v>
      </c>
      <c r="C30" t="s">
        <v>5627</v>
      </c>
      <c r="D30" t="s">
        <v>5674</v>
      </c>
      <c r="E30" t="s">
        <v>5675</v>
      </c>
    </row>
    <row r="31" spans="1:5" x14ac:dyDescent="0.3">
      <c r="A31" t="s">
        <v>901</v>
      </c>
      <c r="B31" t="s">
        <v>5624</v>
      </c>
      <c r="C31" t="s">
        <v>5655</v>
      </c>
      <c r="D31" t="s">
        <v>5676</v>
      </c>
      <c r="E31" t="s">
        <v>5677</v>
      </c>
    </row>
    <row r="32" spans="1:5" x14ac:dyDescent="0.3">
      <c r="A32" t="s">
        <v>3012</v>
      </c>
      <c r="B32" t="s">
        <v>5607</v>
      </c>
      <c r="C32" t="s">
        <v>5678</v>
      </c>
      <c r="D32" t="s">
        <v>5679</v>
      </c>
      <c r="E32" t="s">
        <v>5680</v>
      </c>
    </row>
    <row r="33" spans="1:5" x14ac:dyDescent="0.3">
      <c r="A33" t="s">
        <v>3313</v>
      </c>
      <c r="B33" t="s">
        <v>5617</v>
      </c>
      <c r="C33" t="s">
        <v>5678</v>
      </c>
      <c r="D33" t="s">
        <v>5681</v>
      </c>
      <c r="E33" t="s">
        <v>5682</v>
      </c>
    </row>
    <row r="34" spans="1:5" x14ac:dyDescent="0.3">
      <c r="A34" t="s">
        <v>110</v>
      </c>
      <c r="B34" t="s">
        <v>5603</v>
      </c>
      <c r="C34" t="s">
        <v>5632</v>
      </c>
      <c r="D34" t="s">
        <v>5683</v>
      </c>
      <c r="E34" t="s">
        <v>5684</v>
      </c>
    </row>
    <row r="35" spans="1:5" x14ac:dyDescent="0.3">
      <c r="A35" t="s">
        <v>1845</v>
      </c>
      <c r="B35" t="s">
        <v>5685</v>
      </c>
      <c r="C35" t="s">
        <v>5632</v>
      </c>
      <c r="D35" t="s">
        <v>5686</v>
      </c>
      <c r="E35" t="s">
        <v>5687</v>
      </c>
    </row>
    <row r="36" spans="1:5" x14ac:dyDescent="0.3">
      <c r="A36" t="s">
        <v>5470</v>
      </c>
      <c r="B36" t="s">
        <v>5624</v>
      </c>
      <c r="C36" t="s">
        <v>5599</v>
      </c>
      <c r="D36" t="s">
        <v>5688</v>
      </c>
      <c r="E36" t="s">
        <v>5689</v>
      </c>
    </row>
    <row r="37" spans="1:5" x14ac:dyDescent="0.3">
      <c r="A37" t="s">
        <v>2242</v>
      </c>
      <c r="B37" t="s">
        <v>5673</v>
      </c>
      <c r="C37" t="s">
        <v>5655</v>
      </c>
      <c r="D37" t="s">
        <v>5690</v>
      </c>
      <c r="E37" t="s">
        <v>5691</v>
      </c>
    </row>
    <row r="38" spans="1:5" x14ac:dyDescent="0.3">
      <c r="A38" t="s">
        <v>2220</v>
      </c>
      <c r="B38" t="s">
        <v>5598</v>
      </c>
      <c r="C38" t="s">
        <v>5618</v>
      </c>
      <c r="D38" t="s">
        <v>5692</v>
      </c>
      <c r="E38" t="s">
        <v>5693</v>
      </c>
    </row>
    <row r="39" spans="1:5" x14ac:dyDescent="0.3">
      <c r="A39" t="s">
        <v>5694</v>
      </c>
      <c r="B39" t="s">
        <v>5639</v>
      </c>
      <c r="C39" t="s">
        <v>5655</v>
      </c>
      <c r="D39" t="s">
        <v>5695</v>
      </c>
      <c r="E39" t="s">
        <v>5696</v>
      </c>
    </row>
    <row r="40" spans="1:5" x14ac:dyDescent="0.3">
      <c r="A40" t="s">
        <v>4954</v>
      </c>
      <c r="B40" t="s">
        <v>5673</v>
      </c>
      <c r="C40" t="s">
        <v>5678</v>
      </c>
      <c r="D40" t="s">
        <v>5697</v>
      </c>
      <c r="E40" t="s">
        <v>5698</v>
      </c>
    </row>
    <row r="41" spans="1:5" x14ac:dyDescent="0.3">
      <c r="A41" t="s">
        <v>4224</v>
      </c>
      <c r="B41" t="s">
        <v>5603</v>
      </c>
      <c r="C41" t="s">
        <v>5608</v>
      </c>
      <c r="D41" t="s">
        <v>5699</v>
      </c>
      <c r="E41" t="s">
        <v>5700</v>
      </c>
    </row>
    <row r="42" spans="1:5" x14ac:dyDescent="0.3">
      <c r="A42" t="s">
        <v>5036</v>
      </c>
      <c r="B42" t="s">
        <v>5685</v>
      </c>
      <c r="C42" t="s">
        <v>5632</v>
      </c>
      <c r="D42" t="s">
        <v>5701</v>
      </c>
      <c r="E42" t="s">
        <v>5702</v>
      </c>
    </row>
    <row r="43" spans="1:5" x14ac:dyDescent="0.3">
      <c r="A43" t="s">
        <v>575</v>
      </c>
      <c r="B43" t="s">
        <v>5603</v>
      </c>
      <c r="C43" t="s">
        <v>5703</v>
      </c>
      <c r="D43" t="s">
        <v>5704</v>
      </c>
      <c r="E43" t="s">
        <v>5705</v>
      </c>
    </row>
    <row r="44" spans="1:5" x14ac:dyDescent="0.3">
      <c r="A44" t="s">
        <v>2446</v>
      </c>
      <c r="B44" t="s">
        <v>5621</v>
      </c>
      <c r="C44" t="s">
        <v>5604</v>
      </c>
      <c r="D44" t="s">
        <v>5706</v>
      </c>
      <c r="E44" t="s">
        <v>5707</v>
      </c>
    </row>
    <row r="45" spans="1:5" x14ac:dyDescent="0.3">
      <c r="A45" t="s">
        <v>2046</v>
      </c>
      <c r="B45" t="s">
        <v>5621</v>
      </c>
      <c r="C45" t="s">
        <v>5599</v>
      </c>
      <c r="D45" t="s">
        <v>5708</v>
      </c>
      <c r="E45" t="s">
        <v>5709</v>
      </c>
    </row>
    <row r="46" spans="1:5" x14ac:dyDescent="0.3">
      <c r="A46" t="s">
        <v>248</v>
      </c>
      <c r="B46" t="s">
        <v>5685</v>
      </c>
      <c r="C46" t="s">
        <v>5627</v>
      </c>
      <c r="D46" t="s">
        <v>5710</v>
      </c>
      <c r="E46" t="s">
        <v>5711</v>
      </c>
    </row>
    <row r="47" spans="1:5" x14ac:dyDescent="0.3">
      <c r="A47" t="s">
        <v>3831</v>
      </c>
      <c r="B47" t="s">
        <v>5639</v>
      </c>
      <c r="C47" t="s">
        <v>5655</v>
      </c>
      <c r="D47" t="s">
        <v>5712</v>
      </c>
      <c r="E47" t="s">
        <v>5713</v>
      </c>
    </row>
    <row r="48" spans="1:5" x14ac:dyDescent="0.3">
      <c r="A48" t="s">
        <v>4728</v>
      </c>
      <c r="B48" t="s">
        <v>5639</v>
      </c>
      <c r="C48" t="s">
        <v>5611</v>
      </c>
      <c r="D48" t="s">
        <v>5714</v>
      </c>
      <c r="E48" t="s">
        <v>5715</v>
      </c>
    </row>
    <row r="49" spans="1:5" x14ac:dyDescent="0.3">
      <c r="A49" t="s">
        <v>1383</v>
      </c>
      <c r="B49" t="s">
        <v>5673</v>
      </c>
      <c r="C49" t="s">
        <v>5618</v>
      </c>
      <c r="D49" t="s">
        <v>5716</v>
      </c>
      <c r="E49" t="s">
        <v>5717</v>
      </c>
    </row>
    <row r="50" spans="1:5" x14ac:dyDescent="0.3">
      <c r="A50" t="s">
        <v>1324</v>
      </c>
      <c r="B50" t="s">
        <v>5624</v>
      </c>
      <c r="C50" t="s">
        <v>5678</v>
      </c>
      <c r="D50" t="s">
        <v>5718</v>
      </c>
      <c r="E50" t="s">
        <v>5719</v>
      </c>
    </row>
    <row r="51" spans="1:5" x14ac:dyDescent="0.3">
      <c r="A51" t="s">
        <v>698</v>
      </c>
      <c r="B51" t="s">
        <v>5603</v>
      </c>
      <c r="C51" t="s">
        <v>5627</v>
      </c>
      <c r="D51" t="s">
        <v>5720</v>
      </c>
      <c r="E51" t="s">
        <v>5721</v>
      </c>
    </row>
    <row r="52" spans="1:5" x14ac:dyDescent="0.3">
      <c r="A52" t="s">
        <v>2963</v>
      </c>
      <c r="B52" t="s">
        <v>5607</v>
      </c>
      <c r="C52" t="s">
        <v>5655</v>
      </c>
      <c r="D52" t="s">
        <v>5722</v>
      </c>
      <c r="E52" t="s">
        <v>5723</v>
      </c>
    </row>
    <row r="53" spans="1:5" x14ac:dyDescent="0.3">
      <c r="A53" t="s">
        <v>2998</v>
      </c>
      <c r="B53" t="s">
        <v>5607</v>
      </c>
      <c r="C53" t="s">
        <v>5599</v>
      </c>
      <c r="D53" t="s">
        <v>5724</v>
      </c>
      <c r="E53" t="s">
        <v>5725</v>
      </c>
    </row>
    <row r="54" spans="1:5" x14ac:dyDescent="0.3">
      <c r="A54" t="s">
        <v>832</v>
      </c>
      <c r="B54" t="s">
        <v>5598</v>
      </c>
      <c r="C54" t="s">
        <v>5655</v>
      </c>
      <c r="D54" t="s">
        <v>5726</v>
      </c>
      <c r="E54" t="s">
        <v>5727</v>
      </c>
    </row>
    <row r="55" spans="1:5" x14ac:dyDescent="0.3">
      <c r="A55" t="s">
        <v>1143</v>
      </c>
      <c r="B55" t="s">
        <v>5607</v>
      </c>
      <c r="C55" t="s">
        <v>5608</v>
      </c>
      <c r="D55" t="s">
        <v>5728</v>
      </c>
      <c r="E55" t="s">
        <v>5729</v>
      </c>
    </row>
    <row r="56" spans="1:5" x14ac:dyDescent="0.3">
      <c r="A56" t="s">
        <v>2758</v>
      </c>
      <c r="B56" t="s">
        <v>5598</v>
      </c>
      <c r="C56" t="s">
        <v>5678</v>
      </c>
      <c r="D56" t="s">
        <v>5730</v>
      </c>
      <c r="E56" t="s">
        <v>5731</v>
      </c>
    </row>
    <row r="57" spans="1:5" x14ac:dyDescent="0.3">
      <c r="A57" t="s">
        <v>1274</v>
      </c>
      <c r="B57" t="s">
        <v>5603</v>
      </c>
      <c r="C57" t="s">
        <v>5618</v>
      </c>
      <c r="D57" t="s">
        <v>5732</v>
      </c>
      <c r="E57" t="s">
        <v>5733</v>
      </c>
    </row>
    <row r="58" spans="1:5" x14ac:dyDescent="0.3">
      <c r="A58" t="s">
        <v>1664</v>
      </c>
      <c r="B58" t="s">
        <v>5617</v>
      </c>
      <c r="C58" t="s">
        <v>5608</v>
      </c>
      <c r="D58" t="s">
        <v>5734</v>
      </c>
      <c r="E58" t="s">
        <v>5735</v>
      </c>
    </row>
    <row r="59" spans="1:5" x14ac:dyDescent="0.3">
      <c r="A59" t="s">
        <v>3372</v>
      </c>
      <c r="B59" t="s">
        <v>5621</v>
      </c>
      <c r="C59" t="s">
        <v>5632</v>
      </c>
      <c r="D59" t="s">
        <v>5736</v>
      </c>
      <c r="E59" t="s">
        <v>5737</v>
      </c>
    </row>
    <row r="60" spans="1:5" x14ac:dyDescent="0.3">
      <c r="A60" t="s">
        <v>3804</v>
      </c>
      <c r="B60" t="s">
        <v>5607</v>
      </c>
      <c r="C60" t="s">
        <v>5703</v>
      </c>
      <c r="D60" t="s">
        <v>5738</v>
      </c>
      <c r="E60" t="s">
        <v>5739</v>
      </c>
    </row>
    <row r="61" spans="1:5" x14ac:dyDescent="0.3">
      <c r="A61" t="s">
        <v>3895</v>
      </c>
      <c r="B61" t="s">
        <v>5617</v>
      </c>
      <c r="C61" t="s">
        <v>5599</v>
      </c>
      <c r="D61" t="s">
        <v>5740</v>
      </c>
      <c r="E61" t="s">
        <v>5741</v>
      </c>
    </row>
    <row r="62" spans="1:5" x14ac:dyDescent="0.3">
      <c r="A62" t="s">
        <v>390</v>
      </c>
      <c r="B62" t="s">
        <v>5624</v>
      </c>
      <c r="C62" t="s">
        <v>5604</v>
      </c>
      <c r="D62" t="s">
        <v>5742</v>
      </c>
      <c r="E62" t="s">
        <v>5743</v>
      </c>
    </row>
    <row r="63" spans="1:5" x14ac:dyDescent="0.3">
      <c r="A63" t="s">
        <v>1715</v>
      </c>
      <c r="B63" t="s">
        <v>5617</v>
      </c>
      <c r="C63" t="s">
        <v>5611</v>
      </c>
      <c r="D63" t="s">
        <v>5744</v>
      </c>
      <c r="E63" t="s">
        <v>5745</v>
      </c>
    </row>
    <row r="64" spans="1:5" x14ac:dyDescent="0.3">
      <c r="A64" t="s">
        <v>3874</v>
      </c>
      <c r="B64" t="s">
        <v>5685</v>
      </c>
      <c r="C64" t="s">
        <v>5611</v>
      </c>
      <c r="D64" t="s">
        <v>5746</v>
      </c>
      <c r="E64" t="s">
        <v>5747</v>
      </c>
    </row>
    <row r="65" spans="1:5" x14ac:dyDescent="0.3">
      <c r="A65" t="s">
        <v>1733</v>
      </c>
      <c r="B65" t="s">
        <v>5685</v>
      </c>
      <c r="C65" t="s">
        <v>5655</v>
      </c>
      <c r="D65" t="s">
        <v>5748</v>
      </c>
      <c r="E65" t="s">
        <v>5749</v>
      </c>
    </row>
    <row r="66" spans="1:5" x14ac:dyDescent="0.3">
      <c r="A66" t="s">
        <v>5750</v>
      </c>
      <c r="B66" t="s">
        <v>5639</v>
      </c>
      <c r="C66" t="s">
        <v>5655</v>
      </c>
      <c r="D66" t="s">
        <v>5751</v>
      </c>
      <c r="E66" t="s">
        <v>5752</v>
      </c>
    </row>
    <row r="67" spans="1:5" x14ac:dyDescent="0.3">
      <c r="A67" t="s">
        <v>136</v>
      </c>
      <c r="B67" t="s">
        <v>5617</v>
      </c>
      <c r="C67" t="s">
        <v>5655</v>
      </c>
      <c r="D67" t="s">
        <v>5753</v>
      </c>
      <c r="E67" t="s">
        <v>5754</v>
      </c>
    </row>
    <row r="68" spans="1:5" x14ac:dyDescent="0.3">
      <c r="A68" t="s">
        <v>969</v>
      </c>
      <c r="B68" t="s">
        <v>5598</v>
      </c>
      <c r="C68" t="s">
        <v>5618</v>
      </c>
      <c r="D68" t="s">
        <v>5755</v>
      </c>
      <c r="E68" t="s">
        <v>5756</v>
      </c>
    </row>
    <row r="69" spans="1:5" x14ac:dyDescent="0.3">
      <c r="A69" t="s">
        <v>386</v>
      </c>
      <c r="B69" t="s">
        <v>5685</v>
      </c>
      <c r="C69" t="s">
        <v>5627</v>
      </c>
      <c r="D69" t="s">
        <v>5757</v>
      </c>
      <c r="E69" t="s">
        <v>5758</v>
      </c>
    </row>
    <row r="70" spans="1:5" x14ac:dyDescent="0.3">
      <c r="A70" t="s">
        <v>2162</v>
      </c>
      <c r="B70" t="s">
        <v>5639</v>
      </c>
      <c r="C70" t="s">
        <v>5608</v>
      </c>
      <c r="D70" t="s">
        <v>5759</v>
      </c>
      <c r="E70" t="s">
        <v>5760</v>
      </c>
    </row>
    <row r="71" spans="1:5" x14ac:dyDescent="0.3">
      <c r="A71" t="s">
        <v>2795</v>
      </c>
      <c r="B71" t="s">
        <v>5621</v>
      </c>
      <c r="C71" t="s">
        <v>5703</v>
      </c>
      <c r="D71" t="s">
        <v>5761</v>
      </c>
      <c r="E71" t="s">
        <v>5762</v>
      </c>
    </row>
    <row r="72" spans="1:5" x14ac:dyDescent="0.3">
      <c r="A72" t="s">
        <v>992</v>
      </c>
      <c r="B72" t="s">
        <v>5603</v>
      </c>
      <c r="C72" t="s">
        <v>5618</v>
      </c>
      <c r="D72" t="s">
        <v>5763</v>
      </c>
      <c r="E72" t="s">
        <v>5764</v>
      </c>
    </row>
    <row r="73" spans="1:5" x14ac:dyDescent="0.3">
      <c r="A73" t="s">
        <v>1963</v>
      </c>
      <c r="B73" t="s">
        <v>5685</v>
      </c>
      <c r="C73" t="s">
        <v>5632</v>
      </c>
      <c r="D73" t="s">
        <v>5765</v>
      </c>
      <c r="E73" t="s">
        <v>5766</v>
      </c>
    </row>
    <row r="74" spans="1:5" x14ac:dyDescent="0.3">
      <c r="A74" t="s">
        <v>4255</v>
      </c>
      <c r="B74" t="s">
        <v>5614</v>
      </c>
      <c r="C74" t="s">
        <v>5632</v>
      </c>
      <c r="D74" t="s">
        <v>5767</v>
      </c>
      <c r="E74" t="s">
        <v>5768</v>
      </c>
    </row>
    <row r="75" spans="1:5" x14ac:dyDescent="0.3">
      <c r="A75" t="s">
        <v>5769</v>
      </c>
      <c r="B75" t="s">
        <v>5598</v>
      </c>
      <c r="C75" t="s">
        <v>5599</v>
      </c>
      <c r="D75" t="s">
        <v>5770</v>
      </c>
      <c r="E75" t="s">
        <v>5771</v>
      </c>
    </row>
    <row r="76" spans="1:5" x14ac:dyDescent="0.3">
      <c r="A76" t="s">
        <v>5772</v>
      </c>
      <c r="B76" t="s">
        <v>5617</v>
      </c>
      <c r="C76" t="s">
        <v>5604</v>
      </c>
      <c r="D76" t="s">
        <v>5773</v>
      </c>
      <c r="E76" t="s">
        <v>5774</v>
      </c>
    </row>
    <row r="77" spans="1:5" x14ac:dyDescent="0.3">
      <c r="A77" t="s">
        <v>162</v>
      </c>
      <c r="B77" t="s">
        <v>5624</v>
      </c>
      <c r="C77" t="s">
        <v>5632</v>
      </c>
      <c r="D77" t="s">
        <v>5775</v>
      </c>
      <c r="E77" t="s">
        <v>5776</v>
      </c>
    </row>
    <row r="78" spans="1:5" x14ac:dyDescent="0.3">
      <c r="A78" t="s">
        <v>2919</v>
      </c>
      <c r="B78" t="s">
        <v>5621</v>
      </c>
      <c r="C78" t="s">
        <v>5632</v>
      </c>
      <c r="D78" t="s">
        <v>5777</v>
      </c>
      <c r="E78" t="s">
        <v>5778</v>
      </c>
    </row>
    <row r="79" spans="1:5" x14ac:dyDescent="0.3">
      <c r="A79" t="s">
        <v>5779</v>
      </c>
      <c r="B79" t="s">
        <v>5685</v>
      </c>
      <c r="C79" t="s">
        <v>5655</v>
      </c>
      <c r="D79" t="s">
        <v>5780</v>
      </c>
      <c r="E79" t="s">
        <v>5781</v>
      </c>
    </row>
    <row r="80" spans="1:5" x14ac:dyDescent="0.3">
      <c r="A80" t="s">
        <v>2842</v>
      </c>
      <c r="B80" t="s">
        <v>5624</v>
      </c>
      <c r="C80" t="s">
        <v>5608</v>
      </c>
      <c r="D80" t="s">
        <v>5782</v>
      </c>
      <c r="E80" t="s">
        <v>5783</v>
      </c>
    </row>
    <row r="81" spans="1:5" x14ac:dyDescent="0.3">
      <c r="A81" t="s">
        <v>5784</v>
      </c>
      <c r="B81" t="s">
        <v>5685</v>
      </c>
      <c r="C81" t="s">
        <v>5632</v>
      </c>
      <c r="D81" t="s">
        <v>5785</v>
      </c>
      <c r="E81" t="s">
        <v>5786</v>
      </c>
    </row>
    <row r="82" spans="1:5" x14ac:dyDescent="0.3">
      <c r="A82" t="s">
        <v>5787</v>
      </c>
      <c r="B82" t="s">
        <v>5617</v>
      </c>
      <c r="C82" t="s">
        <v>5618</v>
      </c>
      <c r="D82" t="s">
        <v>5788</v>
      </c>
      <c r="E82" t="s">
        <v>5789</v>
      </c>
    </row>
    <row r="83" spans="1:5" x14ac:dyDescent="0.3">
      <c r="A83" t="s">
        <v>1250</v>
      </c>
      <c r="B83" t="s">
        <v>5639</v>
      </c>
      <c r="C83" t="s">
        <v>5618</v>
      </c>
      <c r="D83" t="s">
        <v>5790</v>
      </c>
      <c r="E83" t="s">
        <v>5791</v>
      </c>
    </row>
    <row r="84" spans="1:5" x14ac:dyDescent="0.3">
      <c r="A84" t="s">
        <v>2230</v>
      </c>
      <c r="B84" t="s">
        <v>5639</v>
      </c>
      <c r="C84" t="s">
        <v>5618</v>
      </c>
      <c r="D84" t="s">
        <v>5792</v>
      </c>
      <c r="E84" t="s">
        <v>5793</v>
      </c>
    </row>
    <row r="85" spans="1:5" x14ac:dyDescent="0.3">
      <c r="A85" t="s">
        <v>2245</v>
      </c>
      <c r="B85" t="s">
        <v>5685</v>
      </c>
      <c r="C85" t="s">
        <v>5618</v>
      </c>
      <c r="D85" t="s">
        <v>5794</v>
      </c>
      <c r="E85" t="s">
        <v>5795</v>
      </c>
    </row>
    <row r="86" spans="1:5" x14ac:dyDescent="0.3">
      <c r="A86" t="s">
        <v>2540</v>
      </c>
      <c r="B86" t="s">
        <v>5685</v>
      </c>
      <c r="C86" t="s">
        <v>5703</v>
      </c>
      <c r="D86" t="s">
        <v>5796</v>
      </c>
      <c r="E86" t="s">
        <v>5797</v>
      </c>
    </row>
    <row r="87" spans="1:5" x14ac:dyDescent="0.3">
      <c r="A87" t="s">
        <v>1824</v>
      </c>
      <c r="B87" t="s">
        <v>5639</v>
      </c>
      <c r="C87" t="s">
        <v>5618</v>
      </c>
      <c r="D87" t="s">
        <v>5798</v>
      </c>
      <c r="E87" t="s">
        <v>5799</v>
      </c>
    </row>
    <row r="88" spans="1:5" x14ac:dyDescent="0.3">
      <c r="A88" t="s">
        <v>5800</v>
      </c>
      <c r="B88" t="s">
        <v>5621</v>
      </c>
      <c r="C88" t="s">
        <v>5618</v>
      </c>
      <c r="D88" t="s">
        <v>5801</v>
      </c>
      <c r="E88" t="s">
        <v>5802</v>
      </c>
    </row>
    <row r="89" spans="1:5" x14ac:dyDescent="0.3">
      <c r="A89" t="s">
        <v>3520</v>
      </c>
      <c r="B89" t="s">
        <v>5598</v>
      </c>
      <c r="C89" t="s">
        <v>5632</v>
      </c>
      <c r="D89" t="s">
        <v>5803</v>
      </c>
      <c r="E89" t="s">
        <v>5804</v>
      </c>
    </row>
    <row r="90" spans="1:5" x14ac:dyDescent="0.3">
      <c r="A90" t="s">
        <v>2496</v>
      </c>
      <c r="B90" t="s">
        <v>5639</v>
      </c>
      <c r="C90" t="s">
        <v>5703</v>
      </c>
      <c r="D90" t="s">
        <v>5805</v>
      </c>
      <c r="E90" t="s">
        <v>5806</v>
      </c>
    </row>
    <row r="91" spans="1:5" x14ac:dyDescent="0.3">
      <c r="A91" t="s">
        <v>5010</v>
      </c>
      <c r="B91" t="s">
        <v>5603</v>
      </c>
      <c r="C91" t="s">
        <v>5604</v>
      </c>
      <c r="D91" t="s">
        <v>5807</v>
      </c>
      <c r="E91" t="s">
        <v>5808</v>
      </c>
    </row>
    <row r="92" spans="1:5" x14ac:dyDescent="0.3">
      <c r="A92" t="s">
        <v>313</v>
      </c>
      <c r="B92" t="s">
        <v>5639</v>
      </c>
      <c r="C92" t="s">
        <v>5611</v>
      </c>
      <c r="D92" t="s">
        <v>5809</v>
      </c>
      <c r="E92" t="s">
        <v>5810</v>
      </c>
    </row>
    <row r="93" spans="1:5" x14ac:dyDescent="0.3">
      <c r="A93" t="s">
        <v>2478</v>
      </c>
      <c r="B93" t="s">
        <v>5621</v>
      </c>
      <c r="C93" t="s">
        <v>5632</v>
      </c>
      <c r="D93" t="s">
        <v>5811</v>
      </c>
      <c r="E93" t="s">
        <v>5812</v>
      </c>
    </row>
    <row r="94" spans="1:5" x14ac:dyDescent="0.3">
      <c r="A94" t="s">
        <v>5813</v>
      </c>
      <c r="B94" t="s">
        <v>5673</v>
      </c>
      <c r="C94" t="s">
        <v>5678</v>
      </c>
      <c r="D94" t="s">
        <v>5814</v>
      </c>
      <c r="E94" t="s">
        <v>5815</v>
      </c>
    </row>
    <row r="95" spans="1:5" x14ac:dyDescent="0.3">
      <c r="A95" t="s">
        <v>4982</v>
      </c>
      <c r="B95" t="s">
        <v>5614</v>
      </c>
      <c r="C95" t="s">
        <v>5611</v>
      </c>
      <c r="D95" t="s">
        <v>5816</v>
      </c>
      <c r="E95" t="s">
        <v>5817</v>
      </c>
    </row>
    <row r="96" spans="1:5" x14ac:dyDescent="0.3">
      <c r="A96" t="s">
        <v>2500</v>
      </c>
      <c r="B96" t="s">
        <v>5621</v>
      </c>
      <c r="C96" t="s">
        <v>5655</v>
      </c>
      <c r="D96" t="s">
        <v>5818</v>
      </c>
      <c r="E96" t="s">
        <v>5819</v>
      </c>
    </row>
    <row r="97" spans="1:5" x14ac:dyDescent="0.3">
      <c r="A97" t="s">
        <v>531</v>
      </c>
      <c r="B97" t="s">
        <v>5598</v>
      </c>
      <c r="C97" t="s">
        <v>5604</v>
      </c>
      <c r="D97" t="s">
        <v>5820</v>
      </c>
      <c r="E97" t="s">
        <v>5821</v>
      </c>
    </row>
    <row r="98" spans="1:5" x14ac:dyDescent="0.3">
      <c r="A98" t="s">
        <v>4371</v>
      </c>
      <c r="B98" t="s">
        <v>5624</v>
      </c>
      <c r="C98" t="s">
        <v>5627</v>
      </c>
      <c r="D98" t="s">
        <v>5822</v>
      </c>
      <c r="E98" t="s">
        <v>5823</v>
      </c>
    </row>
    <row r="99" spans="1:5" x14ac:dyDescent="0.3">
      <c r="A99" t="s">
        <v>104</v>
      </c>
      <c r="B99" t="s">
        <v>5621</v>
      </c>
      <c r="C99" t="s">
        <v>5604</v>
      </c>
      <c r="D99" t="s">
        <v>5824</v>
      </c>
      <c r="E99" t="s">
        <v>5825</v>
      </c>
    </row>
    <row r="100" spans="1:5" x14ac:dyDescent="0.3">
      <c r="A100" t="s">
        <v>1290</v>
      </c>
      <c r="B100" t="s">
        <v>5685</v>
      </c>
      <c r="C100" t="s">
        <v>5604</v>
      </c>
      <c r="D100" t="s">
        <v>5826</v>
      </c>
      <c r="E100" t="s">
        <v>5827</v>
      </c>
    </row>
    <row r="101" spans="1:5" x14ac:dyDescent="0.3">
      <c r="A101" t="s">
        <v>883</v>
      </c>
      <c r="B101" t="s">
        <v>5603</v>
      </c>
      <c r="C101" t="s">
        <v>5655</v>
      </c>
      <c r="D101" t="s">
        <v>5828</v>
      </c>
      <c r="E101" t="s">
        <v>5829</v>
      </c>
    </row>
    <row r="102" spans="1:5" x14ac:dyDescent="0.3">
      <c r="A102" t="s">
        <v>3573</v>
      </c>
      <c r="B102" t="s">
        <v>5685</v>
      </c>
      <c r="C102" t="s">
        <v>5611</v>
      </c>
      <c r="D102" t="s">
        <v>5830</v>
      </c>
      <c r="E102" t="s">
        <v>5831</v>
      </c>
    </row>
    <row r="103" spans="1:5" x14ac:dyDescent="0.3">
      <c r="A103" t="s">
        <v>1866</v>
      </c>
      <c r="B103" t="s">
        <v>5598</v>
      </c>
      <c r="C103" t="s">
        <v>5604</v>
      </c>
      <c r="D103" t="s">
        <v>5832</v>
      </c>
      <c r="E103" t="s">
        <v>5833</v>
      </c>
    </row>
    <row r="104" spans="1:5" x14ac:dyDescent="0.3">
      <c r="A104" t="s">
        <v>76</v>
      </c>
      <c r="B104" t="s">
        <v>5607</v>
      </c>
      <c r="C104" t="s">
        <v>5627</v>
      </c>
      <c r="D104" t="s">
        <v>5834</v>
      </c>
      <c r="E104" t="s">
        <v>5835</v>
      </c>
    </row>
    <row r="105" spans="1:5" x14ac:dyDescent="0.3">
      <c r="A105" t="s">
        <v>2251</v>
      </c>
      <c r="B105" t="s">
        <v>5614</v>
      </c>
      <c r="C105" t="s">
        <v>5618</v>
      </c>
      <c r="D105" t="s">
        <v>5836</v>
      </c>
      <c r="E105" t="s">
        <v>5837</v>
      </c>
    </row>
    <row r="106" spans="1:5" x14ac:dyDescent="0.3">
      <c r="A106" t="s">
        <v>5838</v>
      </c>
      <c r="B106" t="s">
        <v>5607</v>
      </c>
      <c r="C106" t="s">
        <v>5678</v>
      </c>
      <c r="D106" t="s">
        <v>5839</v>
      </c>
      <c r="E106" t="s">
        <v>5840</v>
      </c>
    </row>
    <row r="107" spans="1:5" x14ac:dyDescent="0.3">
      <c r="A107" t="s">
        <v>5841</v>
      </c>
      <c r="B107" t="s">
        <v>5624</v>
      </c>
      <c r="C107" t="s">
        <v>5703</v>
      </c>
      <c r="D107" t="s">
        <v>5842</v>
      </c>
      <c r="E107" t="s">
        <v>5843</v>
      </c>
    </row>
    <row r="108" spans="1:5" x14ac:dyDescent="0.3">
      <c r="A108" t="s">
        <v>1217</v>
      </c>
      <c r="B108" t="s">
        <v>5639</v>
      </c>
      <c r="C108" t="s">
        <v>5618</v>
      </c>
      <c r="D108" t="s">
        <v>5844</v>
      </c>
      <c r="E108" t="s">
        <v>5845</v>
      </c>
    </row>
    <row r="109" spans="1:5" x14ac:dyDescent="0.3">
      <c r="A109" t="s">
        <v>3516</v>
      </c>
      <c r="B109" t="s">
        <v>5607</v>
      </c>
      <c r="C109" t="s">
        <v>5604</v>
      </c>
      <c r="D109" t="s">
        <v>5846</v>
      </c>
      <c r="E109" t="s">
        <v>5847</v>
      </c>
    </row>
    <row r="110" spans="1:5" x14ac:dyDescent="0.3">
      <c r="A110" t="s">
        <v>5143</v>
      </c>
      <c r="B110" t="s">
        <v>5603</v>
      </c>
      <c r="C110" t="s">
        <v>5678</v>
      </c>
      <c r="D110" t="s">
        <v>5848</v>
      </c>
      <c r="E110" t="s">
        <v>5849</v>
      </c>
    </row>
    <row r="111" spans="1:5" x14ac:dyDescent="0.3">
      <c r="A111" t="s">
        <v>2689</v>
      </c>
      <c r="B111" t="s">
        <v>5607</v>
      </c>
      <c r="C111" t="s">
        <v>5655</v>
      </c>
      <c r="D111" t="s">
        <v>5850</v>
      </c>
      <c r="E111" t="s">
        <v>5851</v>
      </c>
    </row>
    <row r="112" spans="1:5" x14ac:dyDescent="0.3">
      <c r="A112" t="s">
        <v>3560</v>
      </c>
      <c r="B112" t="s">
        <v>5617</v>
      </c>
      <c r="C112" t="s">
        <v>5604</v>
      </c>
      <c r="D112" t="s">
        <v>5852</v>
      </c>
      <c r="E112" t="s">
        <v>5853</v>
      </c>
    </row>
    <row r="113" spans="1:5" x14ac:dyDescent="0.3">
      <c r="A113" t="s">
        <v>581</v>
      </c>
      <c r="B113" t="s">
        <v>5614</v>
      </c>
      <c r="C113" t="s">
        <v>5608</v>
      </c>
      <c r="D113" t="s">
        <v>5854</v>
      </c>
      <c r="E113" t="s">
        <v>5855</v>
      </c>
    </row>
    <row r="114" spans="1:5" x14ac:dyDescent="0.3">
      <c r="A114" t="s">
        <v>3995</v>
      </c>
      <c r="B114" t="s">
        <v>5621</v>
      </c>
      <c r="C114" t="s">
        <v>5627</v>
      </c>
      <c r="D114" t="s">
        <v>5856</v>
      </c>
      <c r="E114" t="s">
        <v>5857</v>
      </c>
    </row>
    <row r="115" spans="1:5" x14ac:dyDescent="0.3">
      <c r="A115" t="s">
        <v>965</v>
      </c>
      <c r="B115" t="s">
        <v>5607</v>
      </c>
      <c r="C115" t="s">
        <v>5655</v>
      </c>
      <c r="D115" t="s">
        <v>5858</v>
      </c>
      <c r="E115" t="s">
        <v>5859</v>
      </c>
    </row>
    <row r="116" spans="1:5" x14ac:dyDescent="0.3">
      <c r="A116" t="s">
        <v>1265</v>
      </c>
      <c r="B116" t="s">
        <v>5673</v>
      </c>
      <c r="C116" t="s">
        <v>5655</v>
      </c>
      <c r="D116" t="s">
        <v>5860</v>
      </c>
      <c r="E116" t="s">
        <v>5861</v>
      </c>
    </row>
    <row r="117" spans="1:5" x14ac:dyDescent="0.3">
      <c r="A117" t="s">
        <v>435</v>
      </c>
      <c r="B117" t="s">
        <v>5621</v>
      </c>
      <c r="C117" t="s">
        <v>5655</v>
      </c>
      <c r="D117" t="s">
        <v>5862</v>
      </c>
      <c r="E117" t="s">
        <v>5863</v>
      </c>
    </row>
    <row r="118" spans="1:5" x14ac:dyDescent="0.3">
      <c r="A118" t="s">
        <v>2486</v>
      </c>
      <c r="B118" t="s">
        <v>5607</v>
      </c>
      <c r="C118" t="s">
        <v>5604</v>
      </c>
      <c r="D118" t="s">
        <v>5864</v>
      </c>
      <c r="E118" t="s">
        <v>5865</v>
      </c>
    </row>
    <row r="119" spans="1:5" x14ac:dyDescent="0.3">
      <c r="A119" t="s">
        <v>5294</v>
      </c>
      <c r="B119" t="s">
        <v>5603</v>
      </c>
      <c r="C119" t="s">
        <v>5599</v>
      </c>
      <c r="D119" t="s">
        <v>5866</v>
      </c>
      <c r="E119" t="s">
        <v>5867</v>
      </c>
    </row>
    <row r="120" spans="1:5" x14ac:dyDescent="0.3">
      <c r="A120" t="s">
        <v>2475</v>
      </c>
      <c r="B120" t="s">
        <v>5621</v>
      </c>
      <c r="C120" t="s">
        <v>5703</v>
      </c>
      <c r="D120" t="s">
        <v>5868</v>
      </c>
      <c r="E120" t="s">
        <v>5869</v>
      </c>
    </row>
    <row r="121" spans="1:5" x14ac:dyDescent="0.3">
      <c r="A121" t="s">
        <v>5043</v>
      </c>
      <c r="B121" t="s">
        <v>5624</v>
      </c>
      <c r="C121" t="s">
        <v>5618</v>
      </c>
      <c r="D121" t="s">
        <v>5870</v>
      </c>
      <c r="E121" t="s">
        <v>5871</v>
      </c>
    </row>
    <row r="122" spans="1:5" x14ac:dyDescent="0.3">
      <c r="A122" t="s">
        <v>5872</v>
      </c>
      <c r="B122" t="s">
        <v>5624</v>
      </c>
      <c r="C122" t="s">
        <v>5678</v>
      </c>
      <c r="D122" t="s">
        <v>5873</v>
      </c>
      <c r="E122" t="s">
        <v>5874</v>
      </c>
    </row>
    <row r="123" spans="1:5" x14ac:dyDescent="0.3">
      <c r="A123" t="s">
        <v>4245</v>
      </c>
      <c r="B123" t="s">
        <v>5614</v>
      </c>
      <c r="C123" t="s">
        <v>5604</v>
      </c>
      <c r="D123" t="s">
        <v>5875</v>
      </c>
      <c r="E123" t="s">
        <v>5876</v>
      </c>
    </row>
    <row r="124" spans="1:5" x14ac:dyDescent="0.3">
      <c r="A124" t="s">
        <v>4698</v>
      </c>
      <c r="B124" t="s">
        <v>5614</v>
      </c>
      <c r="C124" t="s">
        <v>5703</v>
      </c>
      <c r="D124" t="s">
        <v>5877</v>
      </c>
      <c r="E124" t="s">
        <v>5878</v>
      </c>
    </row>
    <row r="125" spans="1:5" x14ac:dyDescent="0.3">
      <c r="A125" t="s">
        <v>5879</v>
      </c>
      <c r="B125" t="s">
        <v>5614</v>
      </c>
      <c r="C125" t="s">
        <v>5611</v>
      </c>
      <c r="D125" t="s">
        <v>5880</v>
      </c>
      <c r="E125" t="s">
        <v>5881</v>
      </c>
    </row>
    <row r="126" spans="1:5" x14ac:dyDescent="0.3">
      <c r="A126" t="s">
        <v>2307</v>
      </c>
      <c r="B126" t="s">
        <v>5639</v>
      </c>
      <c r="C126" t="s">
        <v>5599</v>
      </c>
      <c r="D126" t="s">
        <v>5882</v>
      </c>
      <c r="E126" t="s">
        <v>5883</v>
      </c>
    </row>
    <row r="127" spans="1:5" x14ac:dyDescent="0.3">
      <c r="A127" t="s">
        <v>2681</v>
      </c>
      <c r="B127" t="s">
        <v>5617</v>
      </c>
      <c r="C127" t="s">
        <v>5618</v>
      </c>
      <c r="D127" t="s">
        <v>5884</v>
      </c>
      <c r="E127" t="s">
        <v>5885</v>
      </c>
    </row>
    <row r="128" spans="1:5" x14ac:dyDescent="0.3">
      <c r="A128" t="s">
        <v>1258</v>
      </c>
      <c r="B128" t="s">
        <v>5617</v>
      </c>
      <c r="C128" t="s">
        <v>5627</v>
      </c>
      <c r="D128" t="s">
        <v>5886</v>
      </c>
      <c r="E128" t="s">
        <v>5887</v>
      </c>
    </row>
    <row r="129" spans="1:5" x14ac:dyDescent="0.3">
      <c r="A129" t="s">
        <v>2236</v>
      </c>
      <c r="B129" t="s">
        <v>5607</v>
      </c>
      <c r="C129" t="s">
        <v>5703</v>
      </c>
      <c r="D129" t="s">
        <v>5888</v>
      </c>
      <c r="E129" t="s">
        <v>5889</v>
      </c>
    </row>
    <row r="130" spans="1:5" x14ac:dyDescent="0.3">
      <c r="A130" t="s">
        <v>2566</v>
      </c>
      <c r="B130" t="s">
        <v>5598</v>
      </c>
      <c r="C130" t="s">
        <v>5608</v>
      </c>
      <c r="D130" t="s">
        <v>5890</v>
      </c>
      <c r="E130" t="s">
        <v>5891</v>
      </c>
    </row>
    <row r="131" spans="1:5" x14ac:dyDescent="0.3">
      <c r="A131" t="s">
        <v>2583</v>
      </c>
      <c r="B131" t="s">
        <v>5607</v>
      </c>
      <c r="C131" t="s">
        <v>5611</v>
      </c>
      <c r="D131" t="s">
        <v>5892</v>
      </c>
      <c r="E131" t="s">
        <v>5893</v>
      </c>
    </row>
    <row r="132" spans="1:5" x14ac:dyDescent="0.3">
      <c r="A132" t="s">
        <v>1694</v>
      </c>
      <c r="B132" t="s">
        <v>5614</v>
      </c>
      <c r="C132" t="s">
        <v>5627</v>
      </c>
      <c r="D132" t="s">
        <v>5894</v>
      </c>
      <c r="E132" t="s">
        <v>5895</v>
      </c>
    </row>
    <row r="133" spans="1:5" x14ac:dyDescent="0.3">
      <c r="A133" t="s">
        <v>649</v>
      </c>
      <c r="B133" t="s">
        <v>5624</v>
      </c>
      <c r="C133" t="s">
        <v>5604</v>
      </c>
      <c r="D133" t="s">
        <v>5896</v>
      </c>
      <c r="E133" t="s">
        <v>5897</v>
      </c>
    </row>
    <row r="134" spans="1:5" x14ac:dyDescent="0.3">
      <c r="A134" t="s">
        <v>607</v>
      </c>
      <c r="B134" t="s">
        <v>5685</v>
      </c>
      <c r="C134" t="s">
        <v>5655</v>
      </c>
      <c r="D134" t="s">
        <v>5898</v>
      </c>
      <c r="E134" t="s">
        <v>5899</v>
      </c>
    </row>
    <row r="135" spans="1:5" x14ac:dyDescent="0.3">
      <c r="A135" t="s">
        <v>5900</v>
      </c>
      <c r="B135" t="s">
        <v>5639</v>
      </c>
      <c r="C135" t="s">
        <v>5599</v>
      </c>
      <c r="D135" t="s">
        <v>5901</v>
      </c>
      <c r="E135" t="s">
        <v>5902</v>
      </c>
    </row>
    <row r="136" spans="1:5" x14ac:dyDescent="0.3">
      <c r="A136" t="s">
        <v>5307</v>
      </c>
      <c r="B136" t="s">
        <v>5673</v>
      </c>
      <c r="C136" t="s">
        <v>5611</v>
      </c>
      <c r="D136" t="s">
        <v>5903</v>
      </c>
      <c r="E136" t="s">
        <v>5904</v>
      </c>
    </row>
    <row r="137" spans="1:5" x14ac:dyDescent="0.3">
      <c r="A137" t="s">
        <v>3603</v>
      </c>
      <c r="B137" t="s">
        <v>5598</v>
      </c>
      <c r="C137" t="s">
        <v>5678</v>
      </c>
      <c r="D137" t="s">
        <v>5905</v>
      </c>
      <c r="E137" t="s">
        <v>5906</v>
      </c>
    </row>
    <row r="138" spans="1:5" x14ac:dyDescent="0.3">
      <c r="A138" t="s">
        <v>483</v>
      </c>
      <c r="B138" t="s">
        <v>5607</v>
      </c>
      <c r="C138" t="s">
        <v>5611</v>
      </c>
      <c r="D138" t="s">
        <v>5907</v>
      </c>
      <c r="E138" t="s">
        <v>5908</v>
      </c>
    </row>
    <row r="139" spans="1:5" x14ac:dyDescent="0.3">
      <c r="A139" t="s">
        <v>1668</v>
      </c>
      <c r="B139" t="s">
        <v>5624</v>
      </c>
      <c r="C139" t="s">
        <v>5604</v>
      </c>
      <c r="D139" t="s">
        <v>5909</v>
      </c>
      <c r="E139" t="s">
        <v>5910</v>
      </c>
    </row>
    <row r="140" spans="1:5" x14ac:dyDescent="0.3">
      <c r="A140" t="s">
        <v>1146</v>
      </c>
      <c r="B140" t="s">
        <v>5673</v>
      </c>
      <c r="C140" t="s">
        <v>5655</v>
      </c>
      <c r="D140" t="s">
        <v>5911</v>
      </c>
      <c r="E140" t="s">
        <v>5912</v>
      </c>
    </row>
    <row r="141" spans="1:5" x14ac:dyDescent="0.3">
      <c r="A141" t="s">
        <v>4026</v>
      </c>
      <c r="B141" t="s">
        <v>5598</v>
      </c>
      <c r="C141" t="s">
        <v>5604</v>
      </c>
      <c r="D141" t="s">
        <v>5913</v>
      </c>
      <c r="E141" t="s">
        <v>5914</v>
      </c>
    </row>
    <row r="142" spans="1:5" x14ac:dyDescent="0.3">
      <c r="A142" t="s">
        <v>3177</v>
      </c>
      <c r="B142" t="s">
        <v>5603</v>
      </c>
      <c r="C142" t="s">
        <v>5599</v>
      </c>
      <c r="D142" t="s">
        <v>5915</v>
      </c>
      <c r="E142" t="s">
        <v>5916</v>
      </c>
    </row>
    <row r="143" spans="1:5" x14ac:dyDescent="0.3">
      <c r="A143" t="s">
        <v>929</v>
      </c>
      <c r="B143" t="s">
        <v>5607</v>
      </c>
      <c r="C143" t="s">
        <v>5618</v>
      </c>
      <c r="D143" t="s">
        <v>5917</v>
      </c>
      <c r="E143" t="s">
        <v>5918</v>
      </c>
    </row>
    <row r="144" spans="1:5" x14ac:dyDescent="0.3">
      <c r="A144" t="s">
        <v>2380</v>
      </c>
      <c r="B144" t="s">
        <v>5603</v>
      </c>
      <c r="C144" t="s">
        <v>5632</v>
      </c>
      <c r="D144" t="s">
        <v>5919</v>
      </c>
      <c r="E144" t="s">
        <v>5920</v>
      </c>
    </row>
    <row r="145" spans="1:5" x14ac:dyDescent="0.3">
      <c r="A145" t="s">
        <v>3331</v>
      </c>
      <c r="B145" t="s">
        <v>5673</v>
      </c>
      <c r="C145" t="s">
        <v>5599</v>
      </c>
      <c r="D145" t="s">
        <v>5921</v>
      </c>
      <c r="E145" t="s">
        <v>5922</v>
      </c>
    </row>
    <row r="146" spans="1:5" x14ac:dyDescent="0.3">
      <c r="A146" t="s">
        <v>2172</v>
      </c>
      <c r="B146" t="s">
        <v>5614</v>
      </c>
      <c r="C146" t="s">
        <v>5599</v>
      </c>
      <c r="D146" t="s">
        <v>5923</v>
      </c>
      <c r="E146" t="s">
        <v>5924</v>
      </c>
    </row>
    <row r="147" spans="1:5" x14ac:dyDescent="0.3">
      <c r="A147" t="s">
        <v>1140</v>
      </c>
      <c r="B147" t="s">
        <v>5614</v>
      </c>
      <c r="C147" t="s">
        <v>5703</v>
      </c>
      <c r="D147" t="s">
        <v>5925</v>
      </c>
      <c r="E147" t="s">
        <v>5926</v>
      </c>
    </row>
    <row r="148" spans="1:5" x14ac:dyDescent="0.3">
      <c r="A148" t="s">
        <v>4721</v>
      </c>
      <c r="B148" t="s">
        <v>5603</v>
      </c>
      <c r="C148" t="s">
        <v>5611</v>
      </c>
      <c r="D148" t="s">
        <v>5927</v>
      </c>
      <c r="E148" t="s">
        <v>5928</v>
      </c>
    </row>
    <row r="149" spans="1:5" x14ac:dyDescent="0.3">
      <c r="A149" t="s">
        <v>2158</v>
      </c>
      <c r="B149" t="s">
        <v>5598</v>
      </c>
      <c r="C149" t="s">
        <v>5678</v>
      </c>
      <c r="D149" t="s">
        <v>5929</v>
      </c>
      <c r="E149" t="s">
        <v>5930</v>
      </c>
    </row>
    <row r="150" spans="1:5" x14ac:dyDescent="0.3">
      <c r="A150" t="s">
        <v>1420</v>
      </c>
      <c r="B150" t="s">
        <v>5639</v>
      </c>
      <c r="C150" t="s">
        <v>5608</v>
      </c>
      <c r="D150" t="s">
        <v>5931</v>
      </c>
      <c r="E150" t="s">
        <v>5932</v>
      </c>
    </row>
    <row r="151" spans="1:5" x14ac:dyDescent="0.3">
      <c r="A151" t="s">
        <v>1014</v>
      </c>
      <c r="B151" t="s">
        <v>5673</v>
      </c>
      <c r="C151" t="s">
        <v>5618</v>
      </c>
      <c r="D151" t="s">
        <v>5933</v>
      </c>
      <c r="E151" t="s">
        <v>5934</v>
      </c>
    </row>
    <row r="152" spans="1:5" x14ac:dyDescent="0.3">
      <c r="A152" t="s">
        <v>1538</v>
      </c>
      <c r="B152" t="s">
        <v>5614</v>
      </c>
      <c r="C152" t="s">
        <v>5703</v>
      </c>
      <c r="D152" t="s">
        <v>5935</v>
      </c>
      <c r="E152" t="s">
        <v>5936</v>
      </c>
    </row>
    <row r="153" spans="1:5" x14ac:dyDescent="0.3">
      <c r="A153" t="s">
        <v>2067</v>
      </c>
      <c r="B153" t="s">
        <v>5639</v>
      </c>
      <c r="C153" t="s">
        <v>5611</v>
      </c>
      <c r="D153" t="s">
        <v>5937</v>
      </c>
      <c r="E153" t="s">
        <v>5938</v>
      </c>
    </row>
    <row r="154" spans="1:5" x14ac:dyDescent="0.3">
      <c r="A154" t="s">
        <v>274</v>
      </c>
      <c r="B154" t="s">
        <v>5624</v>
      </c>
      <c r="C154" t="s">
        <v>5611</v>
      </c>
      <c r="D154" t="s">
        <v>5939</v>
      </c>
      <c r="E154" t="s">
        <v>5940</v>
      </c>
    </row>
    <row r="155" spans="1:5" x14ac:dyDescent="0.3">
      <c r="A155" t="s">
        <v>1903</v>
      </c>
      <c r="B155" t="s">
        <v>5624</v>
      </c>
      <c r="C155" t="s">
        <v>5678</v>
      </c>
      <c r="D155" t="s">
        <v>5941</v>
      </c>
      <c r="E155" t="s">
        <v>5942</v>
      </c>
    </row>
    <row r="156" spans="1:5" x14ac:dyDescent="0.3">
      <c r="A156" t="s">
        <v>2510</v>
      </c>
      <c r="B156" t="s">
        <v>5614</v>
      </c>
      <c r="C156" t="s">
        <v>5632</v>
      </c>
      <c r="D156" t="s">
        <v>5943</v>
      </c>
      <c r="E156" t="s">
        <v>5944</v>
      </c>
    </row>
    <row r="157" spans="1:5" x14ac:dyDescent="0.3">
      <c r="A157" t="s">
        <v>756</v>
      </c>
      <c r="B157" t="s">
        <v>5603</v>
      </c>
      <c r="C157" t="s">
        <v>5655</v>
      </c>
      <c r="D157" t="s">
        <v>5945</v>
      </c>
      <c r="E157" t="s">
        <v>5946</v>
      </c>
    </row>
    <row r="158" spans="1:5" x14ac:dyDescent="0.3">
      <c r="A158" t="s">
        <v>5947</v>
      </c>
      <c r="B158" t="s">
        <v>5614</v>
      </c>
      <c r="C158" t="s">
        <v>5608</v>
      </c>
      <c r="D158" t="s">
        <v>5948</v>
      </c>
      <c r="E158" t="s">
        <v>5949</v>
      </c>
    </row>
    <row r="159" spans="1:5" x14ac:dyDescent="0.3">
      <c r="A159" t="s">
        <v>3633</v>
      </c>
      <c r="B159" t="s">
        <v>5614</v>
      </c>
      <c r="C159" t="s">
        <v>5599</v>
      </c>
      <c r="D159" t="s">
        <v>5950</v>
      </c>
      <c r="E159" t="s">
        <v>5951</v>
      </c>
    </row>
    <row r="160" spans="1:5" x14ac:dyDescent="0.3">
      <c r="A160" t="s">
        <v>2623</v>
      </c>
      <c r="B160" t="s">
        <v>5673</v>
      </c>
      <c r="C160" t="s">
        <v>5703</v>
      </c>
      <c r="D160" t="s">
        <v>5952</v>
      </c>
      <c r="E160" t="s">
        <v>5953</v>
      </c>
    </row>
    <row r="161" spans="1:5" x14ac:dyDescent="0.3">
      <c r="A161" t="s">
        <v>5954</v>
      </c>
      <c r="B161" t="s">
        <v>5614</v>
      </c>
      <c r="C161" t="s">
        <v>5655</v>
      </c>
      <c r="D161" t="s">
        <v>5955</v>
      </c>
      <c r="E161" t="s">
        <v>5956</v>
      </c>
    </row>
    <row r="162" spans="1:5" x14ac:dyDescent="0.3">
      <c r="A162" t="s">
        <v>2886</v>
      </c>
      <c r="B162" t="s">
        <v>5639</v>
      </c>
      <c r="C162" t="s">
        <v>5655</v>
      </c>
      <c r="D162" t="s">
        <v>5957</v>
      </c>
      <c r="E162" t="s">
        <v>5958</v>
      </c>
    </row>
    <row r="163" spans="1:5" x14ac:dyDescent="0.3">
      <c r="A163" t="s">
        <v>3700</v>
      </c>
      <c r="B163" t="s">
        <v>5614</v>
      </c>
      <c r="C163" t="s">
        <v>5632</v>
      </c>
      <c r="D163" t="s">
        <v>5959</v>
      </c>
      <c r="E163" t="s">
        <v>5960</v>
      </c>
    </row>
    <row r="164" spans="1:5" x14ac:dyDescent="0.3">
      <c r="A164" t="s">
        <v>1365</v>
      </c>
      <c r="B164" t="s">
        <v>5617</v>
      </c>
      <c r="C164" t="s">
        <v>5611</v>
      </c>
      <c r="D164" t="s">
        <v>5961</v>
      </c>
      <c r="E164" t="s">
        <v>5962</v>
      </c>
    </row>
    <row r="165" spans="1:5" x14ac:dyDescent="0.3">
      <c r="A165" t="s">
        <v>3898</v>
      </c>
      <c r="B165" t="s">
        <v>5639</v>
      </c>
      <c r="C165" t="s">
        <v>5604</v>
      </c>
      <c r="D165" t="s">
        <v>5963</v>
      </c>
      <c r="E165" t="s">
        <v>5964</v>
      </c>
    </row>
    <row r="166" spans="1:5" x14ac:dyDescent="0.3">
      <c r="A166" t="s">
        <v>2454</v>
      </c>
      <c r="B166" t="s">
        <v>5614</v>
      </c>
      <c r="C166" t="s">
        <v>5599</v>
      </c>
      <c r="D166" t="s">
        <v>5965</v>
      </c>
      <c r="E166" t="s">
        <v>5966</v>
      </c>
    </row>
    <row r="167" spans="1:5" x14ac:dyDescent="0.3">
      <c r="A167" t="s">
        <v>733</v>
      </c>
      <c r="B167" t="s">
        <v>5598</v>
      </c>
      <c r="C167" t="s">
        <v>5599</v>
      </c>
      <c r="D167" t="s">
        <v>5967</v>
      </c>
      <c r="E167" t="s">
        <v>5968</v>
      </c>
    </row>
    <row r="168" spans="1:5" x14ac:dyDescent="0.3">
      <c r="A168" t="s">
        <v>3949</v>
      </c>
      <c r="B168" t="s">
        <v>5621</v>
      </c>
      <c r="C168" t="s">
        <v>5703</v>
      </c>
      <c r="D168" t="s">
        <v>5969</v>
      </c>
      <c r="E168" t="s">
        <v>5970</v>
      </c>
    </row>
    <row r="169" spans="1:5" x14ac:dyDescent="0.3">
      <c r="A169" t="s">
        <v>2214</v>
      </c>
      <c r="B169" t="s">
        <v>5614</v>
      </c>
      <c r="C169" t="s">
        <v>5608</v>
      </c>
      <c r="D169" t="s">
        <v>5971</v>
      </c>
      <c r="E169" t="s">
        <v>5972</v>
      </c>
    </row>
    <row r="170" spans="1:5" x14ac:dyDescent="0.3">
      <c r="A170" t="s">
        <v>2134</v>
      </c>
      <c r="B170" t="s">
        <v>5598</v>
      </c>
      <c r="C170" t="s">
        <v>5618</v>
      </c>
      <c r="D170" t="s">
        <v>5973</v>
      </c>
      <c r="E170" t="s">
        <v>5974</v>
      </c>
    </row>
    <row r="171" spans="1:5" x14ac:dyDescent="0.3">
      <c r="A171" t="s">
        <v>3460</v>
      </c>
      <c r="B171" t="s">
        <v>5624</v>
      </c>
      <c r="C171" t="s">
        <v>5604</v>
      </c>
      <c r="D171" t="s">
        <v>5975</v>
      </c>
      <c r="E171" t="s">
        <v>5976</v>
      </c>
    </row>
    <row r="172" spans="1:5" x14ac:dyDescent="0.3">
      <c r="A172" t="s">
        <v>4059</v>
      </c>
      <c r="B172" t="s">
        <v>5639</v>
      </c>
      <c r="C172" t="s">
        <v>5618</v>
      </c>
      <c r="D172" t="s">
        <v>5977</v>
      </c>
      <c r="E172" t="s">
        <v>5978</v>
      </c>
    </row>
    <row r="173" spans="1:5" x14ac:dyDescent="0.3">
      <c r="A173" t="s">
        <v>124</v>
      </c>
      <c r="B173" t="s">
        <v>5598</v>
      </c>
      <c r="C173" t="s">
        <v>5627</v>
      </c>
      <c r="D173" t="s">
        <v>5979</v>
      </c>
      <c r="E173" t="s">
        <v>5980</v>
      </c>
    </row>
    <row r="174" spans="1:5" x14ac:dyDescent="0.3">
      <c r="A174" t="s">
        <v>1187</v>
      </c>
      <c r="B174" t="s">
        <v>5603</v>
      </c>
      <c r="C174" t="s">
        <v>5618</v>
      </c>
      <c r="D174" t="s">
        <v>5981</v>
      </c>
      <c r="E174" t="s">
        <v>5982</v>
      </c>
    </row>
    <row r="175" spans="1:5" x14ac:dyDescent="0.3">
      <c r="A175" t="s">
        <v>1369</v>
      </c>
      <c r="B175" t="s">
        <v>5603</v>
      </c>
      <c r="C175" t="s">
        <v>5703</v>
      </c>
      <c r="D175" t="s">
        <v>5983</v>
      </c>
      <c r="E175" t="s">
        <v>5984</v>
      </c>
    </row>
    <row r="176" spans="1:5" x14ac:dyDescent="0.3">
      <c r="A176" t="s">
        <v>1672</v>
      </c>
      <c r="B176" t="s">
        <v>5673</v>
      </c>
      <c r="C176" t="s">
        <v>5618</v>
      </c>
      <c r="D176" t="s">
        <v>5985</v>
      </c>
      <c r="E176" t="s">
        <v>5986</v>
      </c>
    </row>
    <row r="177" spans="1:5" x14ac:dyDescent="0.3">
      <c r="A177" t="s">
        <v>1919</v>
      </c>
      <c r="B177" t="s">
        <v>5673</v>
      </c>
      <c r="C177" t="s">
        <v>5632</v>
      </c>
      <c r="D177" t="s">
        <v>5987</v>
      </c>
      <c r="E177" t="s">
        <v>5988</v>
      </c>
    </row>
    <row r="178" spans="1:5" x14ac:dyDescent="0.3">
      <c r="A178" t="s">
        <v>2723</v>
      </c>
      <c r="B178" t="s">
        <v>5621</v>
      </c>
      <c r="C178" t="s">
        <v>5608</v>
      </c>
      <c r="D178" t="s">
        <v>5989</v>
      </c>
      <c r="E178" t="s">
        <v>5990</v>
      </c>
    </row>
    <row r="179" spans="1:5" x14ac:dyDescent="0.3">
      <c r="A179" t="s">
        <v>4330</v>
      </c>
      <c r="B179" t="s">
        <v>5607</v>
      </c>
      <c r="C179" t="s">
        <v>5608</v>
      </c>
      <c r="D179" t="s">
        <v>5991</v>
      </c>
      <c r="E179" t="s">
        <v>5992</v>
      </c>
    </row>
    <row r="180" spans="1:5" x14ac:dyDescent="0.3">
      <c r="A180" t="s">
        <v>824</v>
      </c>
      <c r="B180" t="s">
        <v>5673</v>
      </c>
      <c r="C180" t="s">
        <v>5678</v>
      </c>
      <c r="D180" t="s">
        <v>5993</v>
      </c>
      <c r="E180" t="s">
        <v>5994</v>
      </c>
    </row>
    <row r="181" spans="1:5" x14ac:dyDescent="0.3">
      <c r="A181" t="s">
        <v>471</v>
      </c>
      <c r="B181" t="s">
        <v>5614</v>
      </c>
      <c r="C181" t="s">
        <v>5618</v>
      </c>
      <c r="D181" t="s">
        <v>5995</v>
      </c>
      <c r="E181" t="s">
        <v>5996</v>
      </c>
    </row>
    <row r="182" spans="1:5" x14ac:dyDescent="0.3">
      <c r="A182" t="s">
        <v>2416</v>
      </c>
      <c r="B182" t="s">
        <v>5614</v>
      </c>
      <c r="C182" t="s">
        <v>5627</v>
      </c>
      <c r="D182" t="s">
        <v>5997</v>
      </c>
      <c r="E182" t="s">
        <v>5998</v>
      </c>
    </row>
    <row r="183" spans="1:5" x14ac:dyDescent="0.3">
      <c r="A183" t="s">
        <v>1479</v>
      </c>
      <c r="B183" t="s">
        <v>5607</v>
      </c>
      <c r="C183" t="s">
        <v>5632</v>
      </c>
      <c r="D183" t="s">
        <v>5999</v>
      </c>
      <c r="E183" t="s">
        <v>6000</v>
      </c>
    </row>
    <row r="184" spans="1:5" x14ac:dyDescent="0.3">
      <c r="A184" t="s">
        <v>3072</v>
      </c>
      <c r="B184" t="s">
        <v>5685</v>
      </c>
      <c r="C184" t="s">
        <v>5611</v>
      </c>
      <c r="D184" t="s">
        <v>6001</v>
      </c>
      <c r="E184" t="s">
        <v>6002</v>
      </c>
    </row>
    <row r="185" spans="1:5" x14ac:dyDescent="0.3">
      <c r="A185" t="s">
        <v>2573</v>
      </c>
      <c r="B185" t="s">
        <v>5607</v>
      </c>
      <c r="C185" t="s">
        <v>5599</v>
      </c>
      <c r="D185" t="s">
        <v>6003</v>
      </c>
      <c r="E185" t="s">
        <v>6004</v>
      </c>
    </row>
    <row r="186" spans="1:5" x14ac:dyDescent="0.3">
      <c r="A186" t="s">
        <v>6005</v>
      </c>
      <c r="B186" t="s">
        <v>5603</v>
      </c>
      <c r="C186" t="s">
        <v>5618</v>
      </c>
      <c r="D186" t="s">
        <v>6006</v>
      </c>
      <c r="E186" t="s">
        <v>6007</v>
      </c>
    </row>
    <row r="187" spans="1:5" x14ac:dyDescent="0.3">
      <c r="A187" t="s">
        <v>6008</v>
      </c>
      <c r="B187" t="s">
        <v>5685</v>
      </c>
      <c r="C187" t="s">
        <v>5703</v>
      </c>
      <c r="D187" t="s">
        <v>6009</v>
      </c>
      <c r="E187" t="s">
        <v>6010</v>
      </c>
    </row>
    <row r="188" spans="1:5" x14ac:dyDescent="0.3">
      <c r="A188" t="s">
        <v>6011</v>
      </c>
      <c r="B188" t="s">
        <v>5621</v>
      </c>
      <c r="C188" t="s">
        <v>5604</v>
      </c>
      <c r="D188" t="s">
        <v>6012</v>
      </c>
      <c r="E188" t="s">
        <v>6013</v>
      </c>
    </row>
    <row r="189" spans="1:5" x14ac:dyDescent="0.3">
      <c r="A189" t="s">
        <v>2668</v>
      </c>
      <c r="B189" t="s">
        <v>5685</v>
      </c>
      <c r="C189" t="s">
        <v>5632</v>
      </c>
      <c r="D189" t="s">
        <v>6014</v>
      </c>
      <c r="E189" t="s">
        <v>6015</v>
      </c>
    </row>
    <row r="190" spans="1:5" x14ac:dyDescent="0.3">
      <c r="A190" t="s">
        <v>723</v>
      </c>
      <c r="B190" t="s">
        <v>5639</v>
      </c>
      <c r="C190" t="s">
        <v>5599</v>
      </c>
      <c r="D190" t="s">
        <v>6016</v>
      </c>
      <c r="E190" t="s">
        <v>6017</v>
      </c>
    </row>
    <row r="191" spans="1:5" x14ac:dyDescent="0.3">
      <c r="A191" t="s">
        <v>2147</v>
      </c>
      <c r="B191" t="s">
        <v>5621</v>
      </c>
      <c r="C191" t="s">
        <v>5599</v>
      </c>
      <c r="D191" t="s">
        <v>6018</v>
      </c>
      <c r="E191" t="s">
        <v>6019</v>
      </c>
    </row>
    <row r="192" spans="1:5" x14ac:dyDescent="0.3">
      <c r="A192" t="s">
        <v>451</v>
      </c>
      <c r="B192" t="s">
        <v>5614</v>
      </c>
      <c r="C192" t="s">
        <v>5604</v>
      </c>
      <c r="D192" t="s">
        <v>6020</v>
      </c>
      <c r="E192" t="s">
        <v>6021</v>
      </c>
    </row>
    <row r="193" spans="1:5" x14ac:dyDescent="0.3">
      <c r="A193" t="s">
        <v>836</v>
      </c>
      <c r="B193" t="s">
        <v>5598</v>
      </c>
      <c r="C193" t="s">
        <v>5611</v>
      </c>
      <c r="D193" t="s">
        <v>6022</v>
      </c>
      <c r="E193" t="s">
        <v>6023</v>
      </c>
    </row>
    <row r="194" spans="1:5" x14ac:dyDescent="0.3">
      <c r="A194" t="s">
        <v>3592</v>
      </c>
      <c r="B194" t="s">
        <v>5685</v>
      </c>
      <c r="C194" t="s">
        <v>5627</v>
      </c>
      <c r="D194" t="s">
        <v>6024</v>
      </c>
      <c r="E194" t="s">
        <v>6025</v>
      </c>
    </row>
    <row r="195" spans="1:5" x14ac:dyDescent="0.3">
      <c r="A195" t="s">
        <v>1503</v>
      </c>
      <c r="B195" t="s">
        <v>5598</v>
      </c>
      <c r="C195" t="s">
        <v>5604</v>
      </c>
      <c r="D195" t="s">
        <v>6026</v>
      </c>
      <c r="E195" t="s">
        <v>6027</v>
      </c>
    </row>
    <row r="196" spans="1:5" x14ac:dyDescent="0.3">
      <c r="A196" t="s">
        <v>693</v>
      </c>
      <c r="B196" t="s">
        <v>5624</v>
      </c>
      <c r="C196" t="s">
        <v>5632</v>
      </c>
      <c r="D196" t="s">
        <v>6028</v>
      </c>
      <c r="E196" t="s">
        <v>6029</v>
      </c>
    </row>
    <row r="197" spans="1:5" x14ac:dyDescent="0.3">
      <c r="A197" t="s">
        <v>6030</v>
      </c>
      <c r="B197" t="s">
        <v>5603</v>
      </c>
      <c r="C197" t="s">
        <v>5611</v>
      </c>
      <c r="D197" t="s">
        <v>6031</v>
      </c>
      <c r="E197" t="s">
        <v>6032</v>
      </c>
    </row>
    <row r="198" spans="1:5" x14ac:dyDescent="0.3">
      <c r="A198" t="s">
        <v>2945</v>
      </c>
      <c r="B198" t="s">
        <v>5624</v>
      </c>
      <c r="C198" t="s">
        <v>5627</v>
      </c>
      <c r="D198" t="s">
        <v>6033</v>
      </c>
      <c r="E198" t="s">
        <v>6034</v>
      </c>
    </row>
    <row r="199" spans="1:5" x14ac:dyDescent="0.3">
      <c r="A199" t="s">
        <v>263</v>
      </c>
      <c r="B199" t="s">
        <v>5673</v>
      </c>
      <c r="C199" t="s">
        <v>5703</v>
      </c>
      <c r="D199" t="s">
        <v>6035</v>
      </c>
      <c r="E199" t="s">
        <v>6036</v>
      </c>
    </row>
    <row r="200" spans="1:5" x14ac:dyDescent="0.3">
      <c r="A200" t="s">
        <v>6037</v>
      </c>
      <c r="B200" t="s">
        <v>5603</v>
      </c>
      <c r="C200" t="s">
        <v>5599</v>
      </c>
      <c r="D200" t="s">
        <v>6038</v>
      </c>
      <c r="E200" t="s">
        <v>6039</v>
      </c>
    </row>
    <row r="201" spans="1:5" x14ac:dyDescent="0.3">
      <c r="A201" t="s">
        <v>889</v>
      </c>
      <c r="B201" t="s">
        <v>5603</v>
      </c>
      <c r="C201" t="s">
        <v>5703</v>
      </c>
      <c r="D201" t="s">
        <v>6040</v>
      </c>
      <c r="E201" t="s">
        <v>6041</v>
      </c>
    </row>
    <row r="202" spans="1:5" x14ac:dyDescent="0.3">
      <c r="A202" t="s">
        <v>1197</v>
      </c>
      <c r="B202" t="s">
        <v>5673</v>
      </c>
      <c r="C202" t="s">
        <v>5655</v>
      </c>
      <c r="D202" t="s">
        <v>6042</v>
      </c>
      <c r="E202" t="s">
        <v>6043</v>
      </c>
    </row>
    <row r="203" spans="1:5" x14ac:dyDescent="0.3">
      <c r="A203" t="s">
        <v>3287</v>
      </c>
      <c r="B203" t="s">
        <v>5598</v>
      </c>
      <c r="C203" t="s">
        <v>5608</v>
      </c>
      <c r="D203" t="s">
        <v>6044</v>
      </c>
      <c r="E203" t="s">
        <v>6045</v>
      </c>
    </row>
    <row r="204" spans="1:5" x14ac:dyDescent="0.3">
      <c r="A204" t="s">
        <v>6046</v>
      </c>
      <c r="B204" t="s">
        <v>5614</v>
      </c>
      <c r="C204" t="s">
        <v>5599</v>
      </c>
      <c r="D204" t="s">
        <v>6047</v>
      </c>
      <c r="E204" t="s">
        <v>6048</v>
      </c>
    </row>
    <row r="205" spans="1:5" x14ac:dyDescent="0.3">
      <c r="A205" t="s">
        <v>1808</v>
      </c>
      <c r="B205" t="s">
        <v>5624</v>
      </c>
      <c r="C205" t="s">
        <v>5703</v>
      </c>
      <c r="D205" t="s">
        <v>6049</v>
      </c>
      <c r="E205" t="s">
        <v>6050</v>
      </c>
    </row>
    <row r="206" spans="1:5" x14ac:dyDescent="0.3">
      <c r="A206" t="s">
        <v>98</v>
      </c>
      <c r="B206" t="s">
        <v>5621</v>
      </c>
      <c r="C206" t="s">
        <v>5703</v>
      </c>
      <c r="D206" t="s">
        <v>6051</v>
      </c>
      <c r="E206" t="s">
        <v>6052</v>
      </c>
    </row>
    <row r="207" spans="1:5" x14ac:dyDescent="0.3">
      <c r="A207" t="s">
        <v>4479</v>
      </c>
      <c r="B207" t="s">
        <v>5598</v>
      </c>
      <c r="C207" t="s">
        <v>5655</v>
      </c>
      <c r="D207" t="s">
        <v>6053</v>
      </c>
      <c r="E207" t="s">
        <v>6054</v>
      </c>
    </row>
    <row r="208" spans="1:5" x14ac:dyDescent="0.3">
      <c r="A208" t="s">
        <v>6055</v>
      </c>
      <c r="B208" t="s">
        <v>5639</v>
      </c>
      <c r="C208" t="s">
        <v>5599</v>
      </c>
      <c r="D208" t="s">
        <v>6056</v>
      </c>
      <c r="E208" t="s">
        <v>6057</v>
      </c>
    </row>
    <row r="209" spans="1:5" x14ac:dyDescent="0.3">
      <c r="A209" t="s">
        <v>3917</v>
      </c>
      <c r="B209" t="s">
        <v>5607</v>
      </c>
      <c r="C209" t="s">
        <v>5627</v>
      </c>
      <c r="D209" t="s">
        <v>6058</v>
      </c>
      <c r="E209" t="s">
        <v>6059</v>
      </c>
    </row>
    <row r="210" spans="1:5" x14ac:dyDescent="0.3">
      <c r="A210" t="s">
        <v>2543</v>
      </c>
      <c r="B210" t="s">
        <v>5673</v>
      </c>
      <c r="C210" t="s">
        <v>5604</v>
      </c>
      <c r="D210" t="s">
        <v>6060</v>
      </c>
      <c r="E210" t="s">
        <v>6061</v>
      </c>
    </row>
    <row r="211" spans="1:5" x14ac:dyDescent="0.3">
      <c r="A211" t="s">
        <v>2514</v>
      </c>
      <c r="B211" t="s">
        <v>5624</v>
      </c>
      <c r="C211" t="s">
        <v>5611</v>
      </c>
      <c r="D211" t="s">
        <v>6062</v>
      </c>
      <c r="E211" t="s">
        <v>6063</v>
      </c>
    </row>
    <row r="212" spans="1:5" x14ac:dyDescent="0.3">
      <c r="A212" t="s">
        <v>3147</v>
      </c>
      <c r="B212" t="s">
        <v>5617</v>
      </c>
      <c r="C212" t="s">
        <v>5655</v>
      </c>
      <c r="D212" t="s">
        <v>6064</v>
      </c>
      <c r="E212" t="s">
        <v>6065</v>
      </c>
    </row>
    <row r="213" spans="1:5" x14ac:dyDescent="0.3">
      <c r="A213" t="s">
        <v>6066</v>
      </c>
      <c r="B213" t="s">
        <v>5639</v>
      </c>
      <c r="C213" t="s">
        <v>5608</v>
      </c>
      <c r="D213" t="s">
        <v>6067</v>
      </c>
      <c r="E213" t="s">
        <v>6068</v>
      </c>
    </row>
    <row r="214" spans="1:5" x14ac:dyDescent="0.3">
      <c r="A214" t="s">
        <v>515</v>
      </c>
      <c r="B214" t="s">
        <v>5617</v>
      </c>
      <c r="C214" t="s">
        <v>5608</v>
      </c>
      <c r="D214" t="s">
        <v>6069</v>
      </c>
      <c r="E214" t="s">
        <v>6070</v>
      </c>
    </row>
    <row r="215" spans="1:5" x14ac:dyDescent="0.3">
      <c r="A215" t="s">
        <v>1836</v>
      </c>
      <c r="B215" t="s">
        <v>5598</v>
      </c>
      <c r="C215" t="s">
        <v>5678</v>
      </c>
      <c r="D215" t="s">
        <v>6071</v>
      </c>
      <c r="E215" t="s">
        <v>6072</v>
      </c>
    </row>
    <row r="216" spans="1:5" x14ac:dyDescent="0.3">
      <c r="A216" t="s">
        <v>6073</v>
      </c>
      <c r="B216" t="s">
        <v>5673</v>
      </c>
      <c r="C216" t="s">
        <v>5632</v>
      </c>
      <c r="D216" t="s">
        <v>6074</v>
      </c>
      <c r="E216" t="s">
        <v>6075</v>
      </c>
    </row>
    <row r="217" spans="1:5" x14ac:dyDescent="0.3">
      <c r="A217" t="s">
        <v>1377</v>
      </c>
      <c r="B217" t="s">
        <v>5673</v>
      </c>
      <c r="C217" t="s">
        <v>5608</v>
      </c>
      <c r="D217" t="s">
        <v>6076</v>
      </c>
      <c r="E217" t="s">
        <v>6077</v>
      </c>
    </row>
    <row r="218" spans="1:5" x14ac:dyDescent="0.3">
      <c r="A218" t="s">
        <v>6078</v>
      </c>
      <c r="B218" t="s">
        <v>5673</v>
      </c>
      <c r="C218" t="s">
        <v>5703</v>
      </c>
      <c r="D218" t="s">
        <v>6079</v>
      </c>
      <c r="E218" t="s">
        <v>6080</v>
      </c>
    </row>
    <row r="219" spans="1:5" x14ac:dyDescent="0.3">
      <c r="A219" t="s">
        <v>6081</v>
      </c>
      <c r="B219" t="s">
        <v>5603</v>
      </c>
      <c r="C219" t="s">
        <v>5632</v>
      </c>
      <c r="D219" t="s">
        <v>6082</v>
      </c>
      <c r="E219" t="s">
        <v>6083</v>
      </c>
    </row>
    <row r="220" spans="1:5" x14ac:dyDescent="0.3">
      <c r="A220" t="s">
        <v>6084</v>
      </c>
      <c r="B220" t="s">
        <v>5614</v>
      </c>
      <c r="C220" t="s">
        <v>5678</v>
      </c>
      <c r="D220" t="s">
        <v>6085</v>
      </c>
      <c r="E220" t="s">
        <v>6086</v>
      </c>
    </row>
    <row r="221" spans="1:5" x14ac:dyDescent="0.3">
      <c r="A221" t="s">
        <v>3630</v>
      </c>
      <c r="B221" t="s">
        <v>5614</v>
      </c>
      <c r="C221" t="s">
        <v>5632</v>
      </c>
      <c r="D221" t="s">
        <v>6087</v>
      </c>
      <c r="E221" t="s">
        <v>6088</v>
      </c>
    </row>
    <row r="222" spans="1:5" x14ac:dyDescent="0.3">
      <c r="A222" t="s">
        <v>2704</v>
      </c>
      <c r="B222" t="s">
        <v>5614</v>
      </c>
      <c r="C222" t="s">
        <v>5608</v>
      </c>
      <c r="D222" t="s">
        <v>6089</v>
      </c>
      <c r="E222" t="s">
        <v>6090</v>
      </c>
    </row>
    <row r="223" spans="1:5" x14ac:dyDescent="0.3">
      <c r="A223" t="s">
        <v>1742</v>
      </c>
      <c r="B223" t="s">
        <v>5685</v>
      </c>
      <c r="C223" t="s">
        <v>5599</v>
      </c>
      <c r="D223" t="s">
        <v>6091</v>
      </c>
      <c r="E223" t="s">
        <v>6092</v>
      </c>
    </row>
    <row r="224" spans="1:5" x14ac:dyDescent="0.3">
      <c r="A224" t="s">
        <v>1374</v>
      </c>
      <c r="B224" t="s">
        <v>5685</v>
      </c>
      <c r="C224" t="s">
        <v>5678</v>
      </c>
      <c r="D224" t="s">
        <v>6093</v>
      </c>
      <c r="E224" t="s">
        <v>6094</v>
      </c>
    </row>
    <row r="225" spans="1:5" x14ac:dyDescent="0.3">
      <c r="A225" t="s">
        <v>4085</v>
      </c>
      <c r="B225" t="s">
        <v>5607</v>
      </c>
      <c r="C225" t="s">
        <v>5632</v>
      </c>
      <c r="D225" t="s">
        <v>6095</v>
      </c>
      <c r="E225" t="s">
        <v>6096</v>
      </c>
    </row>
    <row r="226" spans="1:5" x14ac:dyDescent="0.3">
      <c r="A226" t="s">
        <v>2950</v>
      </c>
      <c r="B226" t="s">
        <v>5685</v>
      </c>
      <c r="C226" t="s">
        <v>5703</v>
      </c>
      <c r="D226" t="s">
        <v>6097</v>
      </c>
      <c r="E226" t="s">
        <v>6098</v>
      </c>
    </row>
    <row r="227" spans="1:5" x14ac:dyDescent="0.3">
      <c r="A227" t="s">
        <v>778</v>
      </c>
      <c r="B227" t="s">
        <v>5617</v>
      </c>
      <c r="C227" t="s">
        <v>5599</v>
      </c>
      <c r="D227" t="s">
        <v>6099</v>
      </c>
      <c r="E227" t="s">
        <v>6100</v>
      </c>
    </row>
    <row r="228" spans="1:5" x14ac:dyDescent="0.3">
      <c r="A228" t="s">
        <v>3979</v>
      </c>
      <c r="B228" t="s">
        <v>5685</v>
      </c>
      <c r="C228" t="s">
        <v>5611</v>
      </c>
      <c r="D228" t="s">
        <v>6101</v>
      </c>
      <c r="E228" t="s">
        <v>6102</v>
      </c>
    </row>
    <row r="229" spans="1:5" x14ac:dyDescent="0.3">
      <c r="A229" t="s">
        <v>5365</v>
      </c>
      <c r="B229" t="s">
        <v>5685</v>
      </c>
      <c r="C229" t="s">
        <v>5703</v>
      </c>
      <c r="D229" t="s">
        <v>6103</v>
      </c>
      <c r="E229" t="s">
        <v>6104</v>
      </c>
    </row>
    <row r="230" spans="1:5" x14ac:dyDescent="0.3">
      <c r="A230" t="s">
        <v>1232</v>
      </c>
      <c r="B230" t="s">
        <v>5639</v>
      </c>
      <c r="C230" t="s">
        <v>5599</v>
      </c>
      <c r="D230" t="s">
        <v>6105</v>
      </c>
      <c r="E230" t="s">
        <v>6106</v>
      </c>
    </row>
    <row r="231" spans="1:5" x14ac:dyDescent="0.3">
      <c r="A231" t="s">
        <v>2532</v>
      </c>
      <c r="B231" t="s">
        <v>5617</v>
      </c>
      <c r="C231" t="s">
        <v>5618</v>
      </c>
      <c r="D231" t="s">
        <v>6107</v>
      </c>
      <c r="E231" t="s">
        <v>6108</v>
      </c>
    </row>
    <row r="232" spans="1:5" x14ac:dyDescent="0.3">
      <c r="A232" t="s">
        <v>2765</v>
      </c>
      <c r="B232" t="s">
        <v>5614</v>
      </c>
      <c r="C232" t="s">
        <v>5632</v>
      </c>
      <c r="D232" t="s">
        <v>6109</v>
      </c>
      <c r="E232" t="s">
        <v>6110</v>
      </c>
    </row>
    <row r="233" spans="1:5" x14ac:dyDescent="0.3">
      <c r="A233" t="s">
        <v>2811</v>
      </c>
      <c r="B233" t="s">
        <v>5673</v>
      </c>
      <c r="C233" t="s">
        <v>5608</v>
      </c>
      <c r="D233" t="s">
        <v>6111</v>
      </c>
      <c r="E233" t="s">
        <v>6112</v>
      </c>
    </row>
    <row r="234" spans="1:5" x14ac:dyDescent="0.3">
      <c r="A234" t="s">
        <v>4117</v>
      </c>
      <c r="B234" t="s">
        <v>5673</v>
      </c>
      <c r="C234" t="s">
        <v>5632</v>
      </c>
      <c r="D234" t="s">
        <v>6113</v>
      </c>
      <c r="E234" t="s">
        <v>6114</v>
      </c>
    </row>
    <row r="235" spans="1:5" x14ac:dyDescent="0.3">
      <c r="A235" t="s">
        <v>2310</v>
      </c>
      <c r="B235" t="s">
        <v>5621</v>
      </c>
      <c r="C235" t="s">
        <v>5627</v>
      </c>
      <c r="D235" t="s">
        <v>6115</v>
      </c>
      <c r="E235" t="s">
        <v>6116</v>
      </c>
    </row>
    <row r="236" spans="1:5" x14ac:dyDescent="0.3">
      <c r="A236" t="s">
        <v>2966</v>
      </c>
      <c r="B236" t="s">
        <v>5607</v>
      </c>
      <c r="C236" t="s">
        <v>5604</v>
      </c>
      <c r="D236" t="s">
        <v>6117</v>
      </c>
      <c r="E236" t="s">
        <v>6118</v>
      </c>
    </row>
    <row r="237" spans="1:5" x14ac:dyDescent="0.3">
      <c r="A237" t="s">
        <v>2323</v>
      </c>
      <c r="B237" t="s">
        <v>5614</v>
      </c>
      <c r="C237" t="s">
        <v>5703</v>
      </c>
      <c r="D237" t="s">
        <v>6119</v>
      </c>
      <c r="E237" t="s">
        <v>6120</v>
      </c>
    </row>
    <row r="238" spans="1:5" x14ac:dyDescent="0.3">
      <c r="A238" t="s">
        <v>5348</v>
      </c>
      <c r="B238" t="s">
        <v>5598</v>
      </c>
      <c r="C238" t="s">
        <v>5608</v>
      </c>
      <c r="D238" t="s">
        <v>6121</v>
      </c>
      <c r="E238" t="s">
        <v>6122</v>
      </c>
    </row>
    <row r="239" spans="1:5" x14ac:dyDescent="0.3">
      <c r="A239" t="s">
        <v>2184</v>
      </c>
      <c r="B239" t="s">
        <v>5673</v>
      </c>
      <c r="C239" t="s">
        <v>5703</v>
      </c>
      <c r="D239" t="s">
        <v>6123</v>
      </c>
      <c r="E239" t="s">
        <v>6124</v>
      </c>
    </row>
    <row r="240" spans="1:5" x14ac:dyDescent="0.3">
      <c r="A240" t="s">
        <v>4071</v>
      </c>
      <c r="B240" t="s">
        <v>5685</v>
      </c>
      <c r="C240" t="s">
        <v>5608</v>
      </c>
      <c r="D240" t="s">
        <v>6125</v>
      </c>
      <c r="E240" t="s">
        <v>6126</v>
      </c>
    </row>
    <row r="241" spans="1:5" x14ac:dyDescent="0.3">
      <c r="A241" t="s">
        <v>670</v>
      </c>
      <c r="B241" t="s">
        <v>5603</v>
      </c>
      <c r="C241" t="s">
        <v>5604</v>
      </c>
      <c r="D241" t="s">
        <v>6127</v>
      </c>
      <c r="E241" t="s">
        <v>6128</v>
      </c>
    </row>
    <row r="242" spans="1:5" x14ac:dyDescent="0.3">
      <c r="A242" t="s">
        <v>429</v>
      </c>
      <c r="B242" t="s">
        <v>5614</v>
      </c>
      <c r="C242" t="s">
        <v>5604</v>
      </c>
      <c r="D242" t="s">
        <v>6129</v>
      </c>
      <c r="E242" t="s">
        <v>6130</v>
      </c>
    </row>
    <row r="243" spans="1:5" x14ac:dyDescent="0.3">
      <c r="A243" t="s">
        <v>3334</v>
      </c>
      <c r="B243" t="s">
        <v>5617</v>
      </c>
      <c r="C243" t="s">
        <v>5618</v>
      </c>
      <c r="D243" t="s">
        <v>6131</v>
      </c>
      <c r="E243" t="s">
        <v>6132</v>
      </c>
    </row>
    <row r="244" spans="1:5" x14ac:dyDescent="0.3">
      <c r="A244" t="s">
        <v>1706</v>
      </c>
      <c r="B244" t="s">
        <v>5639</v>
      </c>
      <c r="C244" t="s">
        <v>5632</v>
      </c>
      <c r="D244" t="s">
        <v>6133</v>
      </c>
      <c r="E244" t="s">
        <v>6134</v>
      </c>
    </row>
    <row r="245" spans="1:5" x14ac:dyDescent="0.3">
      <c r="A245" t="s">
        <v>1746</v>
      </c>
      <c r="B245" t="s">
        <v>5614</v>
      </c>
      <c r="C245" t="s">
        <v>5611</v>
      </c>
      <c r="D245" t="s">
        <v>6135</v>
      </c>
      <c r="E245" t="s">
        <v>6136</v>
      </c>
    </row>
    <row r="246" spans="1:5" x14ac:dyDescent="0.3">
      <c r="A246" t="s">
        <v>3428</v>
      </c>
      <c r="B246" t="s">
        <v>5673</v>
      </c>
      <c r="C246" t="s">
        <v>5608</v>
      </c>
      <c r="D246" t="s">
        <v>6137</v>
      </c>
      <c r="E246" t="s">
        <v>6138</v>
      </c>
    </row>
    <row r="247" spans="1:5" x14ac:dyDescent="0.3">
      <c r="A247" t="s">
        <v>402</v>
      </c>
      <c r="B247" t="s">
        <v>5607</v>
      </c>
      <c r="C247" t="s">
        <v>5599</v>
      </c>
      <c r="D247" t="s">
        <v>6139</v>
      </c>
      <c r="E247" t="s">
        <v>6140</v>
      </c>
    </row>
    <row r="248" spans="1:5" x14ac:dyDescent="0.3">
      <c r="A248" t="s">
        <v>3963</v>
      </c>
      <c r="B248" t="s">
        <v>5598</v>
      </c>
      <c r="C248" t="s">
        <v>5604</v>
      </c>
      <c r="D248" t="s">
        <v>6141</v>
      </c>
      <c r="E248" t="s">
        <v>6142</v>
      </c>
    </row>
    <row r="249" spans="1:5" x14ac:dyDescent="0.3">
      <c r="A249" t="s">
        <v>3144</v>
      </c>
      <c r="B249" t="s">
        <v>5607</v>
      </c>
      <c r="C249" t="s">
        <v>5703</v>
      </c>
      <c r="D249" t="s">
        <v>6143</v>
      </c>
      <c r="E249" t="s">
        <v>6144</v>
      </c>
    </row>
    <row r="250" spans="1:5" x14ac:dyDescent="0.3">
      <c r="A250" t="s">
        <v>1335</v>
      </c>
      <c r="B250" t="s">
        <v>5603</v>
      </c>
      <c r="C250" t="s">
        <v>5611</v>
      </c>
      <c r="D250" t="s">
        <v>6145</v>
      </c>
      <c r="E250" t="s">
        <v>6146</v>
      </c>
    </row>
    <row r="251" spans="1:5" x14ac:dyDescent="0.3">
      <c r="A251" t="s">
        <v>6147</v>
      </c>
      <c r="B251" t="s">
        <v>5614</v>
      </c>
      <c r="C251" t="s">
        <v>5632</v>
      </c>
      <c r="D251" t="s">
        <v>6148</v>
      </c>
      <c r="E251" t="s">
        <v>6149</v>
      </c>
    </row>
    <row r="252" spans="1:5" x14ac:dyDescent="0.3">
      <c r="A252" t="s">
        <v>2110</v>
      </c>
      <c r="B252" t="s">
        <v>5639</v>
      </c>
      <c r="C252" t="s">
        <v>5618</v>
      </c>
      <c r="D252" t="s">
        <v>6150</v>
      </c>
      <c r="E252" t="s">
        <v>6151</v>
      </c>
    </row>
    <row r="253" spans="1:5" x14ac:dyDescent="0.3">
      <c r="A253" t="s">
        <v>1442</v>
      </c>
      <c r="B253" t="s">
        <v>5685</v>
      </c>
      <c r="C253" t="s">
        <v>5632</v>
      </c>
      <c r="D253" t="s">
        <v>6152</v>
      </c>
      <c r="E253" t="s">
        <v>6153</v>
      </c>
    </row>
    <row r="254" spans="1:5" x14ac:dyDescent="0.3">
      <c r="A254" t="s">
        <v>6154</v>
      </c>
      <c r="B254" t="s">
        <v>5617</v>
      </c>
      <c r="C254" t="s">
        <v>5678</v>
      </c>
      <c r="D254" t="s">
        <v>6155</v>
      </c>
      <c r="E254" t="s">
        <v>6156</v>
      </c>
    </row>
    <row r="255" spans="1:5" x14ac:dyDescent="0.3">
      <c r="A255" t="s">
        <v>1254</v>
      </c>
      <c r="B255" t="s">
        <v>5598</v>
      </c>
      <c r="C255" t="s">
        <v>5655</v>
      </c>
      <c r="D255" t="s">
        <v>6157</v>
      </c>
      <c r="E255" t="s">
        <v>6158</v>
      </c>
    </row>
    <row r="256" spans="1:5" x14ac:dyDescent="0.3">
      <c r="A256" t="s">
        <v>2123</v>
      </c>
      <c r="B256" t="s">
        <v>5614</v>
      </c>
      <c r="C256" t="s">
        <v>5611</v>
      </c>
      <c r="D256" t="s">
        <v>6159</v>
      </c>
      <c r="E256" t="s">
        <v>6160</v>
      </c>
    </row>
    <row r="257" spans="1:5" x14ac:dyDescent="0.3">
      <c r="A257" t="s">
        <v>3852</v>
      </c>
      <c r="B257" t="s">
        <v>5614</v>
      </c>
      <c r="C257" t="s">
        <v>5599</v>
      </c>
      <c r="D257" t="s">
        <v>6161</v>
      </c>
      <c r="E257" t="s">
        <v>6162</v>
      </c>
    </row>
    <row r="258" spans="1:5" x14ac:dyDescent="0.3">
      <c r="A258" t="s">
        <v>1939</v>
      </c>
      <c r="B258" t="s">
        <v>5624</v>
      </c>
      <c r="C258" t="s">
        <v>5604</v>
      </c>
      <c r="D258" t="s">
        <v>6163</v>
      </c>
      <c r="E258" t="s">
        <v>6164</v>
      </c>
    </row>
    <row r="259" spans="1:5" x14ac:dyDescent="0.3">
      <c r="A259" t="s">
        <v>1393</v>
      </c>
      <c r="B259" t="s">
        <v>5598</v>
      </c>
      <c r="C259" t="s">
        <v>5608</v>
      </c>
      <c r="D259" t="s">
        <v>6165</v>
      </c>
      <c r="E259" t="s">
        <v>6166</v>
      </c>
    </row>
    <row r="260" spans="1:5" x14ac:dyDescent="0.3">
      <c r="A260" t="s">
        <v>2167</v>
      </c>
      <c r="B260" t="s">
        <v>5614</v>
      </c>
      <c r="C260" t="s">
        <v>5678</v>
      </c>
      <c r="D260" t="s">
        <v>6167</v>
      </c>
      <c r="E260" t="s">
        <v>6168</v>
      </c>
    </row>
    <row r="261" spans="1:5" x14ac:dyDescent="0.3">
      <c r="A261" t="s">
        <v>1852</v>
      </c>
      <c r="B261" t="s">
        <v>5639</v>
      </c>
      <c r="C261" t="s">
        <v>5632</v>
      </c>
      <c r="D261" t="s">
        <v>6169</v>
      </c>
      <c r="E261" t="s">
        <v>6170</v>
      </c>
    </row>
    <row r="262" spans="1:5" x14ac:dyDescent="0.3">
      <c r="A262" t="s">
        <v>2932</v>
      </c>
      <c r="B262" t="s">
        <v>5624</v>
      </c>
      <c r="C262" t="s">
        <v>5611</v>
      </c>
      <c r="D262" t="s">
        <v>6171</v>
      </c>
      <c r="E262" t="s">
        <v>6172</v>
      </c>
    </row>
    <row r="263" spans="1:5" x14ac:dyDescent="0.3">
      <c r="A263" t="s">
        <v>1103</v>
      </c>
      <c r="B263" t="s">
        <v>5621</v>
      </c>
      <c r="C263" t="s">
        <v>5678</v>
      </c>
      <c r="D263" t="s">
        <v>6173</v>
      </c>
      <c r="E263" t="s">
        <v>6174</v>
      </c>
    </row>
    <row r="264" spans="1:5" x14ac:dyDescent="0.3">
      <c r="A264" t="s">
        <v>1770</v>
      </c>
      <c r="B264" t="s">
        <v>5639</v>
      </c>
      <c r="C264" t="s">
        <v>5632</v>
      </c>
      <c r="D264" t="s">
        <v>6175</v>
      </c>
      <c r="E264" t="s">
        <v>6176</v>
      </c>
    </row>
    <row r="265" spans="1:5" x14ac:dyDescent="0.3">
      <c r="A265" t="s">
        <v>3431</v>
      </c>
      <c r="B265" t="s">
        <v>5624</v>
      </c>
      <c r="C265" t="s">
        <v>5632</v>
      </c>
      <c r="D265" t="s">
        <v>6177</v>
      </c>
      <c r="E265" t="s">
        <v>6178</v>
      </c>
    </row>
    <row r="266" spans="1:5" x14ac:dyDescent="0.3">
      <c r="A266" t="s">
        <v>6179</v>
      </c>
      <c r="B266" t="s">
        <v>5617</v>
      </c>
      <c r="C266" t="s">
        <v>5599</v>
      </c>
      <c r="D266" t="s">
        <v>6180</v>
      </c>
      <c r="E266" t="s">
        <v>6181</v>
      </c>
    </row>
    <row r="267" spans="1:5" x14ac:dyDescent="0.3">
      <c r="A267" t="s">
        <v>6182</v>
      </c>
      <c r="B267" t="s">
        <v>5603</v>
      </c>
      <c r="C267" t="s">
        <v>5599</v>
      </c>
      <c r="D267" t="s">
        <v>6183</v>
      </c>
      <c r="E267" t="s">
        <v>6184</v>
      </c>
    </row>
    <row r="268" spans="1:5" x14ac:dyDescent="0.3">
      <c r="A268" t="s">
        <v>2750</v>
      </c>
      <c r="B268" t="s">
        <v>5603</v>
      </c>
      <c r="C268" t="s">
        <v>5599</v>
      </c>
      <c r="D268" t="s">
        <v>6185</v>
      </c>
      <c r="E268" t="s">
        <v>6186</v>
      </c>
    </row>
    <row r="269" spans="1:5" x14ac:dyDescent="0.3">
      <c r="A269" t="s">
        <v>6187</v>
      </c>
      <c r="B269" t="s">
        <v>5603</v>
      </c>
      <c r="C269" t="s">
        <v>5627</v>
      </c>
      <c r="D269" t="s">
        <v>6188</v>
      </c>
      <c r="E269" t="s">
        <v>6189</v>
      </c>
    </row>
    <row r="270" spans="1:5" x14ac:dyDescent="0.3">
      <c r="A270" t="s">
        <v>3414</v>
      </c>
      <c r="B270" t="s">
        <v>5624</v>
      </c>
      <c r="C270" t="s">
        <v>5655</v>
      </c>
      <c r="D270" t="s">
        <v>6190</v>
      </c>
      <c r="E270" t="s">
        <v>6191</v>
      </c>
    </row>
    <row r="271" spans="1:5" x14ac:dyDescent="0.3">
      <c r="A271" t="s">
        <v>2344</v>
      </c>
      <c r="B271" t="s">
        <v>5621</v>
      </c>
      <c r="C271" t="s">
        <v>5611</v>
      </c>
      <c r="D271" t="s">
        <v>6192</v>
      </c>
      <c r="E271" t="s">
        <v>6193</v>
      </c>
    </row>
    <row r="272" spans="1:5" x14ac:dyDescent="0.3">
      <c r="A272" t="s">
        <v>6194</v>
      </c>
      <c r="B272" t="s">
        <v>5621</v>
      </c>
      <c r="C272" t="s">
        <v>5703</v>
      </c>
      <c r="D272" t="s">
        <v>6195</v>
      </c>
      <c r="E272" t="s">
        <v>6196</v>
      </c>
    </row>
    <row r="273" spans="1:5" x14ac:dyDescent="0.3">
      <c r="A273" t="s">
        <v>2784</v>
      </c>
      <c r="B273" t="s">
        <v>5639</v>
      </c>
      <c r="C273" t="s">
        <v>5604</v>
      </c>
      <c r="D273" t="s">
        <v>6197</v>
      </c>
      <c r="E273" t="s">
        <v>6198</v>
      </c>
    </row>
    <row r="274" spans="1:5" x14ac:dyDescent="0.3">
      <c r="A274" t="s">
        <v>842</v>
      </c>
      <c r="B274" t="s">
        <v>5614</v>
      </c>
      <c r="C274" t="s">
        <v>5703</v>
      </c>
      <c r="D274" t="s">
        <v>6199</v>
      </c>
      <c r="E274" t="s">
        <v>6200</v>
      </c>
    </row>
    <row r="275" spans="1:5" x14ac:dyDescent="0.3">
      <c r="A275" t="s">
        <v>3059</v>
      </c>
      <c r="B275" t="s">
        <v>5598</v>
      </c>
      <c r="C275" t="s">
        <v>5703</v>
      </c>
      <c r="D275" t="s">
        <v>6201</v>
      </c>
      <c r="E275" t="s">
        <v>6202</v>
      </c>
    </row>
    <row r="276" spans="1:5" x14ac:dyDescent="0.3">
      <c r="A276" t="s">
        <v>413</v>
      </c>
      <c r="B276" t="s">
        <v>5685</v>
      </c>
      <c r="C276" t="s">
        <v>5703</v>
      </c>
      <c r="D276" t="s">
        <v>6203</v>
      </c>
      <c r="E276" t="s">
        <v>6204</v>
      </c>
    </row>
    <row r="277" spans="1:5" x14ac:dyDescent="0.3">
      <c r="A277" t="s">
        <v>4585</v>
      </c>
      <c r="B277" t="s">
        <v>5639</v>
      </c>
      <c r="C277" t="s">
        <v>5632</v>
      </c>
      <c r="D277" t="s">
        <v>6205</v>
      </c>
      <c r="E277" t="s">
        <v>6206</v>
      </c>
    </row>
    <row r="278" spans="1:5" x14ac:dyDescent="0.3">
      <c r="A278" t="s">
        <v>4499</v>
      </c>
      <c r="B278" t="s">
        <v>5639</v>
      </c>
      <c r="C278" t="s">
        <v>5703</v>
      </c>
      <c r="D278" t="s">
        <v>6207</v>
      </c>
      <c r="E278" t="s">
        <v>6208</v>
      </c>
    </row>
    <row r="279" spans="1:5" x14ac:dyDescent="0.3">
      <c r="A279" t="s">
        <v>3771</v>
      </c>
      <c r="B279" t="s">
        <v>5673</v>
      </c>
      <c r="C279" t="s">
        <v>5608</v>
      </c>
      <c r="D279" t="s">
        <v>6209</v>
      </c>
      <c r="E279" t="s">
        <v>6210</v>
      </c>
    </row>
    <row r="280" spans="1:5" x14ac:dyDescent="0.3">
      <c r="A280" t="s">
        <v>3855</v>
      </c>
      <c r="B280" t="s">
        <v>5617</v>
      </c>
      <c r="C280" t="s">
        <v>5627</v>
      </c>
      <c r="D280" t="s">
        <v>6211</v>
      </c>
      <c r="E280" t="s">
        <v>6212</v>
      </c>
    </row>
    <row r="281" spans="1:5" x14ac:dyDescent="0.3">
      <c r="A281" t="s">
        <v>3665</v>
      </c>
      <c r="B281" t="s">
        <v>5607</v>
      </c>
      <c r="C281" t="s">
        <v>5655</v>
      </c>
      <c r="D281" t="s">
        <v>6213</v>
      </c>
      <c r="E281" t="s">
        <v>6214</v>
      </c>
    </row>
    <row r="282" spans="1:5" x14ac:dyDescent="0.3">
      <c r="A282" t="s">
        <v>3409</v>
      </c>
      <c r="B282" t="s">
        <v>5621</v>
      </c>
      <c r="C282" t="s">
        <v>5608</v>
      </c>
      <c r="D282" t="s">
        <v>6215</v>
      </c>
      <c r="E282" t="s">
        <v>6216</v>
      </c>
    </row>
    <row r="283" spans="1:5" x14ac:dyDescent="0.3">
      <c r="A283" t="s">
        <v>1730</v>
      </c>
      <c r="B283" t="s">
        <v>5614</v>
      </c>
      <c r="C283" t="s">
        <v>5611</v>
      </c>
      <c r="D283" t="s">
        <v>6217</v>
      </c>
      <c r="E283" t="s">
        <v>6218</v>
      </c>
    </row>
    <row r="284" spans="1:5" x14ac:dyDescent="0.3">
      <c r="A284" t="s">
        <v>2403</v>
      </c>
      <c r="B284" t="s">
        <v>5603</v>
      </c>
      <c r="C284" t="s">
        <v>5608</v>
      </c>
      <c r="D284" t="s">
        <v>6219</v>
      </c>
      <c r="E284" t="s">
        <v>6220</v>
      </c>
    </row>
    <row r="285" spans="1:5" x14ac:dyDescent="0.3">
      <c r="A285" t="s">
        <v>1123</v>
      </c>
      <c r="B285" t="s">
        <v>5617</v>
      </c>
      <c r="C285" t="s">
        <v>5632</v>
      </c>
      <c r="D285" t="s">
        <v>6221</v>
      </c>
      <c r="E285" t="s">
        <v>6222</v>
      </c>
    </row>
    <row r="286" spans="1:5" x14ac:dyDescent="0.3">
      <c r="A286" t="s">
        <v>3782</v>
      </c>
      <c r="B286" t="s">
        <v>5607</v>
      </c>
      <c r="C286" t="s">
        <v>5627</v>
      </c>
      <c r="D286" t="s">
        <v>6223</v>
      </c>
      <c r="E286" t="s">
        <v>6224</v>
      </c>
    </row>
    <row r="287" spans="1:5" x14ac:dyDescent="0.3">
      <c r="A287" t="s">
        <v>3676</v>
      </c>
      <c r="B287" t="s">
        <v>5621</v>
      </c>
      <c r="C287" t="s">
        <v>5632</v>
      </c>
      <c r="D287" t="s">
        <v>6225</v>
      </c>
      <c r="E287" t="s">
        <v>6226</v>
      </c>
    </row>
    <row r="288" spans="1:5" x14ac:dyDescent="0.3">
      <c r="A288" t="s">
        <v>1445</v>
      </c>
      <c r="B288" t="s">
        <v>5639</v>
      </c>
      <c r="C288" t="s">
        <v>5655</v>
      </c>
      <c r="D288" t="s">
        <v>6227</v>
      </c>
      <c r="E288" t="s">
        <v>6228</v>
      </c>
    </row>
    <row r="289" spans="1:5" x14ac:dyDescent="0.3">
      <c r="A289" t="s">
        <v>1309</v>
      </c>
      <c r="B289" t="s">
        <v>5607</v>
      </c>
      <c r="C289" t="s">
        <v>5627</v>
      </c>
      <c r="D289" t="s">
        <v>6229</v>
      </c>
      <c r="E289" t="s">
        <v>6230</v>
      </c>
    </row>
    <row r="290" spans="1:5" x14ac:dyDescent="0.3">
      <c r="A290" t="s">
        <v>4162</v>
      </c>
      <c r="B290" t="s">
        <v>5624</v>
      </c>
      <c r="C290" t="s">
        <v>5608</v>
      </c>
      <c r="D290" t="s">
        <v>6231</v>
      </c>
      <c r="E290" t="s">
        <v>6232</v>
      </c>
    </row>
    <row r="291" spans="1:5" x14ac:dyDescent="0.3">
      <c r="A291" t="s">
        <v>3849</v>
      </c>
      <c r="B291" t="s">
        <v>5607</v>
      </c>
      <c r="C291" t="s">
        <v>5618</v>
      </c>
      <c r="D291" t="s">
        <v>6233</v>
      </c>
      <c r="E291" t="s">
        <v>6234</v>
      </c>
    </row>
    <row r="292" spans="1:5" x14ac:dyDescent="0.3">
      <c r="A292" t="s">
        <v>6235</v>
      </c>
      <c r="B292" t="s">
        <v>5607</v>
      </c>
      <c r="C292" t="s">
        <v>5632</v>
      </c>
      <c r="D292" t="s">
        <v>6236</v>
      </c>
      <c r="E292" t="s">
        <v>6237</v>
      </c>
    </row>
    <row r="293" spans="1:5" x14ac:dyDescent="0.3">
      <c r="A293" t="s">
        <v>737</v>
      </c>
      <c r="B293" t="s">
        <v>5614</v>
      </c>
      <c r="C293" t="s">
        <v>5618</v>
      </c>
      <c r="D293" t="s">
        <v>6238</v>
      </c>
      <c r="E293" t="s">
        <v>6239</v>
      </c>
    </row>
    <row r="294" spans="1:5" x14ac:dyDescent="0.3">
      <c r="A294" t="s">
        <v>5058</v>
      </c>
      <c r="B294" t="s">
        <v>5624</v>
      </c>
      <c r="C294" t="s">
        <v>5611</v>
      </c>
      <c r="D294" t="s">
        <v>6240</v>
      </c>
      <c r="E294" t="s">
        <v>6241</v>
      </c>
    </row>
    <row r="295" spans="1:5" x14ac:dyDescent="0.3">
      <c r="A295" t="s">
        <v>291</v>
      </c>
      <c r="B295" t="s">
        <v>5598</v>
      </c>
      <c r="C295" t="s">
        <v>5655</v>
      </c>
      <c r="D295" t="s">
        <v>6242</v>
      </c>
      <c r="E295" t="s">
        <v>6243</v>
      </c>
    </row>
    <row r="296" spans="1:5" x14ac:dyDescent="0.3">
      <c r="A296" t="s">
        <v>6244</v>
      </c>
      <c r="B296" t="s">
        <v>5685</v>
      </c>
      <c r="C296" t="s">
        <v>5627</v>
      </c>
      <c r="D296" t="s">
        <v>6245</v>
      </c>
      <c r="E296" t="s">
        <v>6246</v>
      </c>
    </row>
    <row r="297" spans="1:5" x14ac:dyDescent="0.3">
      <c r="A297" t="s">
        <v>3107</v>
      </c>
      <c r="B297" t="s">
        <v>5617</v>
      </c>
      <c r="C297" t="s">
        <v>5678</v>
      </c>
      <c r="D297" t="s">
        <v>6247</v>
      </c>
      <c r="E297" t="s">
        <v>6248</v>
      </c>
    </row>
    <row r="298" spans="1:5" x14ac:dyDescent="0.3">
      <c r="A298" t="s">
        <v>1981</v>
      </c>
      <c r="B298" t="s">
        <v>5621</v>
      </c>
      <c r="C298" t="s">
        <v>5627</v>
      </c>
      <c r="D298" t="s">
        <v>6249</v>
      </c>
      <c r="E298" t="s">
        <v>6250</v>
      </c>
    </row>
    <row r="299" spans="1:5" x14ac:dyDescent="0.3">
      <c r="A299" t="s">
        <v>207</v>
      </c>
      <c r="B299" t="s">
        <v>5598</v>
      </c>
      <c r="C299" t="s">
        <v>5655</v>
      </c>
      <c r="D299" t="s">
        <v>6251</v>
      </c>
      <c r="E299" t="s">
        <v>6252</v>
      </c>
    </row>
    <row r="300" spans="1:5" x14ac:dyDescent="0.3">
      <c r="A300" t="s">
        <v>3715</v>
      </c>
      <c r="B300" t="s">
        <v>5603</v>
      </c>
      <c r="C300" t="s">
        <v>5655</v>
      </c>
      <c r="D300" t="s">
        <v>6253</v>
      </c>
      <c r="E300" t="s">
        <v>6254</v>
      </c>
    </row>
    <row r="301" spans="1:5" x14ac:dyDescent="0.3">
      <c r="A301" t="s">
        <v>3514</v>
      </c>
      <c r="B301" t="s">
        <v>5673</v>
      </c>
      <c r="C301" t="s">
        <v>5632</v>
      </c>
      <c r="D301" t="s">
        <v>6255</v>
      </c>
      <c r="E301" t="s">
        <v>6256</v>
      </c>
    </row>
    <row r="302" spans="1:5" x14ac:dyDescent="0.3">
      <c r="A302" t="s">
        <v>4438</v>
      </c>
      <c r="B302" t="s">
        <v>5603</v>
      </c>
      <c r="C302" t="s">
        <v>5703</v>
      </c>
      <c r="D302" t="s">
        <v>6257</v>
      </c>
      <c r="E302" t="s">
        <v>6258</v>
      </c>
    </row>
    <row r="303" spans="1:5" x14ac:dyDescent="0.3">
      <c r="A303" t="s">
        <v>4482</v>
      </c>
      <c r="B303" t="s">
        <v>5614</v>
      </c>
      <c r="C303" t="s">
        <v>5599</v>
      </c>
      <c r="D303" t="s">
        <v>6259</v>
      </c>
      <c r="E303" t="s">
        <v>6260</v>
      </c>
    </row>
    <row r="304" spans="1:5" x14ac:dyDescent="0.3">
      <c r="A304" t="s">
        <v>5404</v>
      </c>
      <c r="B304" t="s">
        <v>5639</v>
      </c>
      <c r="C304" t="s">
        <v>5703</v>
      </c>
      <c r="D304" t="s">
        <v>6261</v>
      </c>
      <c r="E304" t="s">
        <v>6262</v>
      </c>
    </row>
    <row r="305" spans="1:5" x14ac:dyDescent="0.3">
      <c r="A305" t="s">
        <v>1592</v>
      </c>
      <c r="B305" t="s">
        <v>5639</v>
      </c>
      <c r="C305" t="s">
        <v>5608</v>
      </c>
      <c r="D305" t="s">
        <v>6263</v>
      </c>
      <c r="E305" t="s">
        <v>6264</v>
      </c>
    </row>
    <row r="306" spans="1:5" x14ac:dyDescent="0.3">
      <c r="A306" t="s">
        <v>116</v>
      </c>
      <c r="B306" t="s">
        <v>5621</v>
      </c>
      <c r="C306" t="s">
        <v>5703</v>
      </c>
      <c r="D306" t="s">
        <v>6265</v>
      </c>
      <c r="E306" t="s">
        <v>6266</v>
      </c>
    </row>
    <row r="307" spans="1:5" x14ac:dyDescent="0.3">
      <c r="A307" t="s">
        <v>4343</v>
      </c>
      <c r="B307" t="s">
        <v>5598</v>
      </c>
      <c r="C307" t="s">
        <v>5655</v>
      </c>
      <c r="D307" t="s">
        <v>6267</v>
      </c>
      <c r="E307" t="s">
        <v>6268</v>
      </c>
    </row>
    <row r="308" spans="1:5" x14ac:dyDescent="0.3">
      <c r="A308" t="s">
        <v>1385</v>
      </c>
      <c r="B308" t="s">
        <v>5598</v>
      </c>
      <c r="C308" t="s">
        <v>5604</v>
      </c>
      <c r="D308" t="s">
        <v>6269</v>
      </c>
      <c r="E308" t="s">
        <v>6270</v>
      </c>
    </row>
    <row r="309" spans="1:5" x14ac:dyDescent="0.3">
      <c r="A309" t="s">
        <v>2179</v>
      </c>
      <c r="B309" t="s">
        <v>5614</v>
      </c>
      <c r="C309" t="s">
        <v>5604</v>
      </c>
      <c r="D309" t="s">
        <v>6271</v>
      </c>
      <c r="E309" t="s">
        <v>6272</v>
      </c>
    </row>
    <row r="310" spans="1:5" x14ac:dyDescent="0.3">
      <c r="A310" t="s">
        <v>4746</v>
      </c>
      <c r="B310" t="s">
        <v>5673</v>
      </c>
      <c r="C310" t="s">
        <v>5627</v>
      </c>
      <c r="D310" t="s">
        <v>6273</v>
      </c>
      <c r="E310" t="s">
        <v>6274</v>
      </c>
    </row>
    <row r="311" spans="1:5" x14ac:dyDescent="0.3">
      <c r="A311" t="s">
        <v>1345</v>
      </c>
      <c r="B311" t="s">
        <v>5607</v>
      </c>
      <c r="C311" t="s">
        <v>5655</v>
      </c>
      <c r="D311" t="s">
        <v>6275</v>
      </c>
      <c r="E311" t="s">
        <v>6276</v>
      </c>
    </row>
    <row r="312" spans="1:5" x14ac:dyDescent="0.3">
      <c r="A312" t="s">
        <v>2191</v>
      </c>
      <c r="B312" t="s">
        <v>5624</v>
      </c>
      <c r="C312" t="s">
        <v>5678</v>
      </c>
      <c r="D312" t="s">
        <v>6277</v>
      </c>
      <c r="E312" t="s">
        <v>6278</v>
      </c>
    </row>
    <row r="313" spans="1:5" x14ac:dyDescent="0.3">
      <c r="A313" t="s">
        <v>4759</v>
      </c>
      <c r="B313" t="s">
        <v>5673</v>
      </c>
      <c r="C313" t="s">
        <v>5618</v>
      </c>
      <c r="D313" t="s">
        <v>6279</v>
      </c>
      <c r="E313" t="s">
        <v>6280</v>
      </c>
    </row>
    <row r="314" spans="1:5" x14ac:dyDescent="0.3">
      <c r="A314" t="s">
        <v>3747</v>
      </c>
      <c r="B314" t="s">
        <v>5603</v>
      </c>
      <c r="C314" t="s">
        <v>5618</v>
      </c>
      <c r="D314" t="s">
        <v>6281</v>
      </c>
      <c r="E314" t="s">
        <v>6282</v>
      </c>
    </row>
    <row r="315" spans="1:5" x14ac:dyDescent="0.3">
      <c r="A315" t="s">
        <v>3901</v>
      </c>
      <c r="B315" t="s">
        <v>5639</v>
      </c>
      <c r="C315" t="s">
        <v>5599</v>
      </c>
      <c r="D315" t="s">
        <v>6283</v>
      </c>
      <c r="E315" t="s">
        <v>6284</v>
      </c>
    </row>
    <row r="316" spans="1:5" x14ac:dyDescent="0.3">
      <c r="A316" t="s">
        <v>182</v>
      </c>
      <c r="B316" t="s">
        <v>5621</v>
      </c>
      <c r="C316" t="s">
        <v>5655</v>
      </c>
      <c r="D316" t="s">
        <v>6285</v>
      </c>
      <c r="E316" t="s">
        <v>6286</v>
      </c>
    </row>
    <row r="317" spans="1:5" x14ac:dyDescent="0.3">
      <c r="A317" t="s">
        <v>4580</v>
      </c>
      <c r="B317" t="s">
        <v>5607</v>
      </c>
      <c r="C317" t="s">
        <v>5632</v>
      </c>
      <c r="D317" t="s">
        <v>6287</v>
      </c>
      <c r="E317" t="s">
        <v>6288</v>
      </c>
    </row>
    <row r="318" spans="1:5" x14ac:dyDescent="0.3">
      <c r="A318" t="s">
        <v>6289</v>
      </c>
      <c r="B318" t="s">
        <v>5617</v>
      </c>
      <c r="C318" t="s">
        <v>5618</v>
      </c>
      <c r="D318" t="s">
        <v>6290</v>
      </c>
      <c r="E318" t="s">
        <v>6291</v>
      </c>
    </row>
    <row r="319" spans="1:5" x14ac:dyDescent="0.3">
      <c r="A319" t="s">
        <v>586</v>
      </c>
      <c r="B319" t="s">
        <v>5617</v>
      </c>
      <c r="C319" t="s">
        <v>5627</v>
      </c>
      <c r="D319" t="s">
        <v>6292</v>
      </c>
      <c r="E319" t="s">
        <v>6293</v>
      </c>
    </row>
    <row r="320" spans="1:5" x14ac:dyDescent="0.3">
      <c r="A320" t="s">
        <v>407</v>
      </c>
      <c r="B320" t="s">
        <v>5673</v>
      </c>
      <c r="C320" t="s">
        <v>5678</v>
      </c>
      <c r="D320" t="s">
        <v>6294</v>
      </c>
      <c r="E320" t="s">
        <v>6295</v>
      </c>
    </row>
    <row r="321" spans="1:5" x14ac:dyDescent="0.3">
      <c r="A321" t="s">
        <v>342</v>
      </c>
      <c r="B321" t="s">
        <v>5621</v>
      </c>
      <c r="C321" t="s">
        <v>5678</v>
      </c>
      <c r="D321" t="s">
        <v>6296</v>
      </c>
      <c r="E321" t="s">
        <v>6297</v>
      </c>
    </row>
    <row r="322" spans="1:5" x14ac:dyDescent="0.3">
      <c r="A322" t="s">
        <v>1909</v>
      </c>
      <c r="B322" t="s">
        <v>5639</v>
      </c>
      <c r="C322" t="s">
        <v>5618</v>
      </c>
      <c r="D322" t="s">
        <v>6298</v>
      </c>
      <c r="E322" t="s">
        <v>6299</v>
      </c>
    </row>
    <row r="323" spans="1:5" x14ac:dyDescent="0.3">
      <c r="A323" t="s">
        <v>1314</v>
      </c>
      <c r="B323" t="s">
        <v>5639</v>
      </c>
      <c r="C323" t="s">
        <v>5678</v>
      </c>
      <c r="D323" t="s">
        <v>6300</v>
      </c>
      <c r="E323" t="s">
        <v>6301</v>
      </c>
    </row>
    <row r="324" spans="1:5" x14ac:dyDescent="0.3">
      <c r="A324" t="s">
        <v>2546</v>
      </c>
      <c r="B324" t="s">
        <v>5603</v>
      </c>
      <c r="C324" t="s">
        <v>5632</v>
      </c>
      <c r="D324" t="s">
        <v>6302</v>
      </c>
      <c r="E324" t="s">
        <v>6303</v>
      </c>
    </row>
    <row r="325" spans="1:5" x14ac:dyDescent="0.3">
      <c r="A325" t="s">
        <v>1621</v>
      </c>
      <c r="B325" t="s">
        <v>5621</v>
      </c>
      <c r="C325" t="s">
        <v>5627</v>
      </c>
      <c r="D325" t="s">
        <v>6304</v>
      </c>
      <c r="E325" t="s">
        <v>6305</v>
      </c>
    </row>
    <row r="326" spans="1:5" x14ac:dyDescent="0.3">
      <c r="A326" t="s">
        <v>4783</v>
      </c>
      <c r="B326" t="s">
        <v>5639</v>
      </c>
      <c r="C326" t="s">
        <v>5604</v>
      </c>
      <c r="D326" t="s">
        <v>6306</v>
      </c>
      <c r="E326" t="s">
        <v>6307</v>
      </c>
    </row>
    <row r="327" spans="1:5" x14ac:dyDescent="0.3">
      <c r="A327" t="s">
        <v>307</v>
      </c>
      <c r="B327" t="s">
        <v>5607</v>
      </c>
      <c r="C327" t="s">
        <v>5611</v>
      </c>
      <c r="D327" t="s">
        <v>6308</v>
      </c>
      <c r="E327" t="s">
        <v>6309</v>
      </c>
    </row>
    <row r="328" spans="1:5" x14ac:dyDescent="0.3">
      <c r="A328" t="s">
        <v>864</v>
      </c>
      <c r="B328" t="s">
        <v>5673</v>
      </c>
      <c r="C328" t="s">
        <v>5627</v>
      </c>
      <c r="D328" t="s">
        <v>6310</v>
      </c>
      <c r="E328" t="s">
        <v>6311</v>
      </c>
    </row>
    <row r="329" spans="1:5" x14ac:dyDescent="0.3">
      <c r="A329" t="s">
        <v>5186</v>
      </c>
      <c r="B329" t="s">
        <v>5685</v>
      </c>
      <c r="C329" t="s">
        <v>5632</v>
      </c>
      <c r="D329" t="s">
        <v>6312</v>
      </c>
      <c r="E329" t="s">
        <v>6313</v>
      </c>
    </row>
    <row r="330" spans="1:5" x14ac:dyDescent="0.3">
      <c r="A330" t="s">
        <v>3576</v>
      </c>
      <c r="B330" t="s">
        <v>5673</v>
      </c>
      <c r="C330" t="s">
        <v>5627</v>
      </c>
      <c r="D330" t="s">
        <v>6314</v>
      </c>
      <c r="E330" t="s">
        <v>6315</v>
      </c>
    </row>
    <row r="331" spans="1:5" x14ac:dyDescent="0.3">
      <c r="A331" t="s">
        <v>2329</v>
      </c>
      <c r="B331" t="s">
        <v>5617</v>
      </c>
      <c r="C331" t="s">
        <v>5599</v>
      </c>
      <c r="D331" t="s">
        <v>6316</v>
      </c>
      <c r="E331" t="s">
        <v>6317</v>
      </c>
    </row>
    <row r="332" spans="1:5" x14ac:dyDescent="0.3">
      <c r="A332" t="s">
        <v>1783</v>
      </c>
      <c r="B332" t="s">
        <v>5621</v>
      </c>
      <c r="C332" t="s">
        <v>5611</v>
      </c>
      <c r="D332" t="s">
        <v>6318</v>
      </c>
      <c r="E332" t="s">
        <v>6319</v>
      </c>
    </row>
    <row r="333" spans="1:5" x14ac:dyDescent="0.3">
      <c r="A333" t="s">
        <v>2469</v>
      </c>
      <c r="B333" t="s">
        <v>5598</v>
      </c>
      <c r="C333" t="s">
        <v>5678</v>
      </c>
      <c r="D333" t="s">
        <v>6320</v>
      </c>
      <c r="E333" t="s">
        <v>6321</v>
      </c>
    </row>
    <row r="334" spans="1:5" x14ac:dyDescent="0.3">
      <c r="A334" t="s">
        <v>3759</v>
      </c>
      <c r="B334" t="s">
        <v>5639</v>
      </c>
      <c r="C334" t="s">
        <v>5608</v>
      </c>
      <c r="D334" t="s">
        <v>6322</v>
      </c>
      <c r="E334" t="s">
        <v>6323</v>
      </c>
    </row>
    <row r="335" spans="1:5" x14ac:dyDescent="0.3">
      <c r="A335" t="s">
        <v>31</v>
      </c>
      <c r="B335" t="s">
        <v>5624</v>
      </c>
      <c r="C335" t="s">
        <v>5608</v>
      </c>
      <c r="D335" t="s">
        <v>6324</v>
      </c>
      <c r="E335" t="s">
        <v>6325</v>
      </c>
    </row>
    <row r="336" spans="1:5" x14ac:dyDescent="0.3">
      <c r="A336" t="s">
        <v>551</v>
      </c>
      <c r="B336" t="s">
        <v>5617</v>
      </c>
      <c r="C336" t="s">
        <v>5611</v>
      </c>
      <c r="D336" t="s">
        <v>6326</v>
      </c>
      <c r="E336" t="s">
        <v>6327</v>
      </c>
    </row>
    <row r="337" spans="1:5" x14ac:dyDescent="0.3">
      <c r="A337" t="s">
        <v>6328</v>
      </c>
      <c r="B337" t="s">
        <v>5617</v>
      </c>
      <c r="C337" t="s">
        <v>5608</v>
      </c>
      <c r="D337" t="s">
        <v>6329</v>
      </c>
      <c r="E337" t="s">
        <v>6330</v>
      </c>
    </row>
    <row r="338" spans="1:5" x14ac:dyDescent="0.3">
      <c r="A338" t="s">
        <v>847</v>
      </c>
      <c r="B338" t="s">
        <v>5617</v>
      </c>
      <c r="C338" t="s">
        <v>5627</v>
      </c>
      <c r="D338" t="s">
        <v>6331</v>
      </c>
      <c r="E338" t="s">
        <v>6332</v>
      </c>
    </row>
    <row r="339" spans="1:5" x14ac:dyDescent="0.3">
      <c r="A339" t="s">
        <v>6333</v>
      </c>
      <c r="B339" t="s">
        <v>5614</v>
      </c>
      <c r="C339" t="s">
        <v>5678</v>
      </c>
      <c r="D339" t="s">
        <v>6334</v>
      </c>
      <c r="E339" t="s">
        <v>6335</v>
      </c>
    </row>
    <row r="340" spans="1:5" x14ac:dyDescent="0.3">
      <c r="A340" t="s">
        <v>3649</v>
      </c>
      <c r="B340" t="s">
        <v>5639</v>
      </c>
      <c r="C340" t="s">
        <v>5604</v>
      </c>
      <c r="D340" t="s">
        <v>6336</v>
      </c>
      <c r="E340" t="s">
        <v>6337</v>
      </c>
    </row>
    <row r="341" spans="1:5" x14ac:dyDescent="0.3">
      <c r="A341" t="s">
        <v>6338</v>
      </c>
      <c r="B341" t="s">
        <v>5673</v>
      </c>
      <c r="C341" t="s">
        <v>5627</v>
      </c>
      <c r="D341" t="s">
        <v>6339</v>
      </c>
      <c r="E341" t="s">
        <v>6340</v>
      </c>
    </row>
    <row r="342" spans="1:5" x14ac:dyDescent="0.3">
      <c r="A342" t="s">
        <v>4670</v>
      </c>
      <c r="B342" t="s">
        <v>5603</v>
      </c>
      <c r="C342" t="s">
        <v>5678</v>
      </c>
      <c r="D342" t="s">
        <v>6341</v>
      </c>
      <c r="E342" t="s">
        <v>6342</v>
      </c>
    </row>
    <row r="343" spans="1:5" x14ac:dyDescent="0.3">
      <c r="A343" t="s">
        <v>5338</v>
      </c>
      <c r="B343" t="s">
        <v>5603</v>
      </c>
      <c r="C343" t="s">
        <v>5655</v>
      </c>
      <c r="D343" t="s">
        <v>6343</v>
      </c>
      <c r="E343" t="s">
        <v>6344</v>
      </c>
    </row>
    <row r="344" spans="1:5" x14ac:dyDescent="0.3">
      <c r="A344" t="s">
        <v>6345</v>
      </c>
      <c r="B344" t="s">
        <v>5617</v>
      </c>
      <c r="C344" t="s">
        <v>5655</v>
      </c>
      <c r="D344" t="s">
        <v>6346</v>
      </c>
      <c r="E344" t="s">
        <v>6347</v>
      </c>
    </row>
    <row r="345" spans="1:5" x14ac:dyDescent="0.3">
      <c r="A345" t="s">
        <v>2120</v>
      </c>
      <c r="B345" t="s">
        <v>5614</v>
      </c>
      <c r="C345" t="s">
        <v>5678</v>
      </c>
      <c r="D345" t="s">
        <v>6348</v>
      </c>
      <c r="E345" t="s">
        <v>6349</v>
      </c>
    </row>
    <row r="346" spans="1:5" x14ac:dyDescent="0.3">
      <c r="A346" t="s">
        <v>4607</v>
      </c>
      <c r="B346" t="s">
        <v>5614</v>
      </c>
      <c r="C346" t="s">
        <v>5655</v>
      </c>
      <c r="D346" t="s">
        <v>6350</v>
      </c>
      <c r="E346" t="s">
        <v>6351</v>
      </c>
    </row>
    <row r="347" spans="1:5" x14ac:dyDescent="0.3">
      <c r="A347" t="s">
        <v>1439</v>
      </c>
      <c r="B347" t="s">
        <v>5685</v>
      </c>
      <c r="C347" t="s">
        <v>5627</v>
      </c>
      <c r="D347" t="s">
        <v>6352</v>
      </c>
      <c r="E347" t="s">
        <v>6353</v>
      </c>
    </row>
    <row r="348" spans="1:5" x14ac:dyDescent="0.3">
      <c r="A348" t="s">
        <v>1948</v>
      </c>
      <c r="B348" t="s">
        <v>5603</v>
      </c>
      <c r="C348" t="s">
        <v>5703</v>
      </c>
      <c r="D348" t="s">
        <v>6354</v>
      </c>
      <c r="E348" t="s">
        <v>6355</v>
      </c>
    </row>
    <row r="349" spans="1:5" x14ac:dyDescent="0.3">
      <c r="A349" t="s">
        <v>1950</v>
      </c>
      <c r="B349" t="s">
        <v>5614</v>
      </c>
      <c r="C349" t="s">
        <v>5599</v>
      </c>
      <c r="D349" t="s">
        <v>6356</v>
      </c>
      <c r="E349" t="s">
        <v>6357</v>
      </c>
    </row>
    <row r="350" spans="1:5" x14ac:dyDescent="0.3">
      <c r="A350" t="s">
        <v>4921</v>
      </c>
      <c r="B350" t="s">
        <v>5598</v>
      </c>
      <c r="C350" t="s">
        <v>5618</v>
      </c>
      <c r="D350" t="s">
        <v>6358</v>
      </c>
      <c r="E350" t="s">
        <v>6359</v>
      </c>
    </row>
    <row r="351" spans="1:5" x14ac:dyDescent="0.3">
      <c r="A351" t="s">
        <v>5110</v>
      </c>
      <c r="B351" t="s">
        <v>5621</v>
      </c>
      <c r="C351" t="s">
        <v>5599</v>
      </c>
      <c r="D351" t="s">
        <v>6360</v>
      </c>
      <c r="E351" t="s">
        <v>6361</v>
      </c>
    </row>
    <row r="352" spans="1:5" x14ac:dyDescent="0.3">
      <c r="A352" t="s">
        <v>6362</v>
      </c>
      <c r="B352" t="s">
        <v>5685</v>
      </c>
      <c r="C352" t="s">
        <v>5611</v>
      </c>
      <c r="D352" t="s">
        <v>6363</v>
      </c>
      <c r="E352" t="s">
        <v>6364</v>
      </c>
    </row>
    <row r="353" spans="1:5" x14ac:dyDescent="0.3">
      <c r="A353" t="s">
        <v>475</v>
      </c>
      <c r="B353" t="s">
        <v>5598</v>
      </c>
      <c r="C353" t="s">
        <v>5618</v>
      </c>
      <c r="D353" t="s">
        <v>6365</v>
      </c>
      <c r="E353" t="s">
        <v>6366</v>
      </c>
    </row>
    <row r="354" spans="1:5" x14ac:dyDescent="0.3">
      <c r="A354" t="s">
        <v>2953</v>
      </c>
      <c r="B354" t="s">
        <v>5639</v>
      </c>
      <c r="C354" t="s">
        <v>5632</v>
      </c>
      <c r="D354" t="s">
        <v>6367</v>
      </c>
      <c r="E354" t="s">
        <v>6368</v>
      </c>
    </row>
    <row r="355" spans="1:5" x14ac:dyDescent="0.3">
      <c r="A355" t="s">
        <v>2371</v>
      </c>
      <c r="B355" t="s">
        <v>5685</v>
      </c>
      <c r="C355" t="s">
        <v>5608</v>
      </c>
      <c r="D355" t="s">
        <v>6369</v>
      </c>
      <c r="E355" t="s">
        <v>6370</v>
      </c>
    </row>
    <row r="356" spans="1:5" x14ac:dyDescent="0.3">
      <c r="A356" t="s">
        <v>632</v>
      </c>
      <c r="B356" t="s">
        <v>5639</v>
      </c>
      <c r="C356" t="s">
        <v>5703</v>
      </c>
      <c r="D356" t="s">
        <v>6371</v>
      </c>
      <c r="E356" t="s">
        <v>6372</v>
      </c>
    </row>
    <row r="357" spans="1:5" x14ac:dyDescent="0.3">
      <c r="A357" t="s">
        <v>3567</v>
      </c>
      <c r="B357" t="s">
        <v>5603</v>
      </c>
      <c r="C357" t="s">
        <v>5678</v>
      </c>
      <c r="D357" t="s">
        <v>6373</v>
      </c>
      <c r="E357" t="s">
        <v>6374</v>
      </c>
    </row>
    <row r="358" spans="1:5" x14ac:dyDescent="0.3">
      <c r="A358" t="s">
        <v>800</v>
      </c>
      <c r="B358" t="s">
        <v>5614</v>
      </c>
      <c r="C358" t="s">
        <v>5655</v>
      </c>
      <c r="D358" t="s">
        <v>6375</v>
      </c>
      <c r="E358" t="s">
        <v>6376</v>
      </c>
    </row>
    <row r="359" spans="1:5" x14ac:dyDescent="0.3">
      <c r="A359" t="s">
        <v>4149</v>
      </c>
      <c r="B359" t="s">
        <v>5614</v>
      </c>
      <c r="C359" t="s">
        <v>5655</v>
      </c>
      <c r="D359" t="s">
        <v>6377</v>
      </c>
      <c r="E359" t="s">
        <v>6378</v>
      </c>
    </row>
    <row r="360" spans="1:5" x14ac:dyDescent="0.3">
      <c r="A360" t="s">
        <v>1616</v>
      </c>
      <c r="B360" t="s">
        <v>5614</v>
      </c>
      <c r="C360" t="s">
        <v>5627</v>
      </c>
      <c r="D360" t="s">
        <v>6379</v>
      </c>
      <c r="E360" t="s">
        <v>6380</v>
      </c>
    </row>
    <row r="361" spans="1:5" x14ac:dyDescent="0.3">
      <c r="A361" t="s">
        <v>4219</v>
      </c>
      <c r="B361" t="s">
        <v>5603</v>
      </c>
      <c r="C361" t="s">
        <v>5627</v>
      </c>
      <c r="D361" t="s">
        <v>6381</v>
      </c>
      <c r="E361" t="s">
        <v>6382</v>
      </c>
    </row>
    <row r="362" spans="1:5" x14ac:dyDescent="0.3">
      <c r="A362" t="s">
        <v>762</v>
      </c>
      <c r="B362" t="s">
        <v>5624</v>
      </c>
      <c r="C362" t="s">
        <v>5627</v>
      </c>
      <c r="D362" t="s">
        <v>6383</v>
      </c>
      <c r="E362" t="s">
        <v>6384</v>
      </c>
    </row>
    <row r="363" spans="1:5" x14ac:dyDescent="0.3">
      <c r="A363" t="s">
        <v>1586</v>
      </c>
      <c r="B363" t="s">
        <v>5614</v>
      </c>
      <c r="C363" t="s">
        <v>5611</v>
      </c>
      <c r="D363" t="s">
        <v>6385</v>
      </c>
      <c r="E363" t="s">
        <v>6386</v>
      </c>
    </row>
    <row r="364" spans="1:5" x14ac:dyDescent="0.3">
      <c r="A364" t="s">
        <v>2985</v>
      </c>
      <c r="B364" t="s">
        <v>5614</v>
      </c>
      <c r="C364" t="s">
        <v>5655</v>
      </c>
      <c r="D364" t="s">
        <v>6387</v>
      </c>
      <c r="E364" t="s">
        <v>6388</v>
      </c>
    </row>
    <row r="365" spans="1:5" x14ac:dyDescent="0.3">
      <c r="A365" t="s">
        <v>683</v>
      </c>
      <c r="B365" t="s">
        <v>5673</v>
      </c>
      <c r="C365" t="s">
        <v>5611</v>
      </c>
      <c r="D365" t="s">
        <v>6389</v>
      </c>
      <c r="E365" t="s">
        <v>6390</v>
      </c>
    </row>
    <row r="366" spans="1:5" x14ac:dyDescent="0.3">
      <c r="A366" t="s">
        <v>3346</v>
      </c>
      <c r="B366" t="s">
        <v>5639</v>
      </c>
      <c r="C366" t="s">
        <v>5608</v>
      </c>
      <c r="D366" t="s">
        <v>6391</v>
      </c>
      <c r="E366" t="s">
        <v>6392</v>
      </c>
    </row>
    <row r="367" spans="1:5" x14ac:dyDescent="0.3">
      <c r="A367" t="s">
        <v>6393</v>
      </c>
      <c r="B367" t="s">
        <v>5603</v>
      </c>
      <c r="C367" t="s">
        <v>5599</v>
      </c>
      <c r="D367" t="s">
        <v>6394</v>
      </c>
      <c r="E367" t="s">
        <v>6395</v>
      </c>
    </row>
    <row r="368" spans="1:5" x14ac:dyDescent="0.3">
      <c r="A368" t="s">
        <v>200</v>
      </c>
      <c r="B368" t="s">
        <v>5607</v>
      </c>
      <c r="C368" t="s">
        <v>5604</v>
      </c>
      <c r="D368" t="s">
        <v>6396</v>
      </c>
      <c r="E368" t="s">
        <v>6397</v>
      </c>
    </row>
    <row r="369" spans="1:5" x14ac:dyDescent="0.3">
      <c r="A369" t="s">
        <v>1496</v>
      </c>
      <c r="B369" t="s">
        <v>5685</v>
      </c>
      <c r="C369" t="s">
        <v>5655</v>
      </c>
      <c r="D369" t="s">
        <v>6398</v>
      </c>
      <c r="E369" t="s">
        <v>6399</v>
      </c>
    </row>
    <row r="370" spans="1:5" x14ac:dyDescent="0.3">
      <c r="A370" t="s">
        <v>2889</v>
      </c>
      <c r="B370" t="s">
        <v>5621</v>
      </c>
      <c r="C370" t="s">
        <v>5703</v>
      </c>
      <c r="D370" t="s">
        <v>6400</v>
      </c>
      <c r="E370" t="s">
        <v>6401</v>
      </c>
    </row>
    <row r="371" spans="1:5" x14ac:dyDescent="0.3">
      <c r="A371" t="s">
        <v>6402</v>
      </c>
      <c r="B371" t="s">
        <v>5624</v>
      </c>
      <c r="C371" t="s">
        <v>5678</v>
      </c>
      <c r="D371" t="s">
        <v>6403</v>
      </c>
      <c r="E371" t="s">
        <v>6404</v>
      </c>
    </row>
    <row r="372" spans="1:5" x14ac:dyDescent="0.3">
      <c r="A372" t="s">
        <v>2386</v>
      </c>
      <c r="B372" t="s">
        <v>5617</v>
      </c>
      <c r="C372" t="s">
        <v>5655</v>
      </c>
      <c r="D372" t="s">
        <v>6405</v>
      </c>
      <c r="E372" t="s">
        <v>6406</v>
      </c>
    </row>
    <row r="373" spans="1:5" x14ac:dyDescent="0.3">
      <c r="A373" t="s">
        <v>3526</v>
      </c>
      <c r="B373" t="s">
        <v>5614</v>
      </c>
      <c r="C373" t="s">
        <v>5599</v>
      </c>
      <c r="D373" t="s">
        <v>6407</v>
      </c>
      <c r="E373" t="s">
        <v>6408</v>
      </c>
    </row>
    <row r="374" spans="1:5" x14ac:dyDescent="0.3">
      <c r="A374" t="s">
        <v>462</v>
      </c>
      <c r="B374" t="s">
        <v>5603</v>
      </c>
      <c r="C374" t="s">
        <v>5611</v>
      </c>
      <c r="D374" t="s">
        <v>6409</v>
      </c>
      <c r="E374" t="s">
        <v>6410</v>
      </c>
    </row>
    <row r="375" spans="1:5" x14ac:dyDescent="0.3">
      <c r="A375" t="s">
        <v>1193</v>
      </c>
      <c r="B375" t="s">
        <v>5685</v>
      </c>
      <c r="C375" t="s">
        <v>5611</v>
      </c>
      <c r="D375" t="s">
        <v>6411</v>
      </c>
      <c r="E375" t="s">
        <v>6412</v>
      </c>
    </row>
    <row r="376" spans="1:5" x14ac:dyDescent="0.3">
      <c r="A376" t="s">
        <v>3293</v>
      </c>
      <c r="B376" t="s">
        <v>5614</v>
      </c>
      <c r="C376" t="s">
        <v>5599</v>
      </c>
      <c r="D376" t="s">
        <v>6413</v>
      </c>
      <c r="E376" t="s">
        <v>6414</v>
      </c>
    </row>
    <row r="377" spans="1:5" x14ac:dyDescent="0.3">
      <c r="A377" t="s">
        <v>2779</v>
      </c>
      <c r="B377" t="s">
        <v>5603</v>
      </c>
      <c r="C377" t="s">
        <v>5632</v>
      </c>
      <c r="D377" t="s">
        <v>6415</v>
      </c>
      <c r="E377" t="s">
        <v>6416</v>
      </c>
    </row>
    <row r="378" spans="1:5" x14ac:dyDescent="0.3">
      <c r="A378" t="s">
        <v>1060</v>
      </c>
      <c r="B378" t="s">
        <v>5673</v>
      </c>
      <c r="C378" t="s">
        <v>5611</v>
      </c>
      <c r="D378" t="s">
        <v>6417</v>
      </c>
      <c r="E378" t="s">
        <v>6418</v>
      </c>
    </row>
    <row r="379" spans="1:5" x14ac:dyDescent="0.3">
      <c r="A379" t="s">
        <v>789</v>
      </c>
      <c r="B379" t="s">
        <v>5617</v>
      </c>
      <c r="C379" t="s">
        <v>5599</v>
      </c>
      <c r="D379" t="s">
        <v>6419</v>
      </c>
      <c r="E379" t="s">
        <v>6420</v>
      </c>
    </row>
    <row r="380" spans="1:5" x14ac:dyDescent="0.3">
      <c r="A380" t="s">
        <v>1499</v>
      </c>
      <c r="B380" t="s">
        <v>5624</v>
      </c>
      <c r="C380" t="s">
        <v>5655</v>
      </c>
      <c r="D380" t="s">
        <v>6421</v>
      </c>
      <c r="E380" t="s">
        <v>6422</v>
      </c>
    </row>
    <row r="381" spans="1:5" x14ac:dyDescent="0.3">
      <c r="A381" t="s">
        <v>6423</v>
      </c>
      <c r="B381" t="s">
        <v>5603</v>
      </c>
      <c r="C381" t="s">
        <v>5608</v>
      </c>
      <c r="D381" t="s">
        <v>6424</v>
      </c>
      <c r="E381" t="s">
        <v>6425</v>
      </c>
    </row>
    <row r="382" spans="1:5" x14ac:dyDescent="0.3">
      <c r="A382" t="s">
        <v>3609</v>
      </c>
      <c r="B382" t="s">
        <v>5607</v>
      </c>
      <c r="C382" t="s">
        <v>5604</v>
      </c>
      <c r="D382" t="s">
        <v>6426</v>
      </c>
      <c r="E382" t="s">
        <v>6427</v>
      </c>
    </row>
    <row r="383" spans="1:5" x14ac:dyDescent="0.3">
      <c r="A383" t="s">
        <v>2131</v>
      </c>
      <c r="B383" t="s">
        <v>5607</v>
      </c>
      <c r="C383" t="s">
        <v>5608</v>
      </c>
      <c r="D383" t="s">
        <v>6428</v>
      </c>
      <c r="E383" t="s">
        <v>6429</v>
      </c>
    </row>
    <row r="384" spans="1:5" x14ac:dyDescent="0.3">
      <c r="A384" t="s">
        <v>2726</v>
      </c>
      <c r="B384" t="s">
        <v>5621</v>
      </c>
      <c r="C384" t="s">
        <v>5604</v>
      </c>
      <c r="D384" t="s">
        <v>6430</v>
      </c>
      <c r="E384" t="s">
        <v>6431</v>
      </c>
    </row>
    <row r="385" spans="1:5" x14ac:dyDescent="0.3">
      <c r="A385" t="s">
        <v>1927</v>
      </c>
      <c r="B385" t="s">
        <v>5617</v>
      </c>
      <c r="C385" t="s">
        <v>5627</v>
      </c>
      <c r="D385" t="s">
        <v>6432</v>
      </c>
      <c r="E385" t="s">
        <v>6433</v>
      </c>
    </row>
    <row r="386" spans="1:5" x14ac:dyDescent="0.3">
      <c r="A386" t="s">
        <v>709</v>
      </c>
      <c r="B386" t="s">
        <v>5624</v>
      </c>
      <c r="C386" t="s">
        <v>5703</v>
      </c>
      <c r="D386" t="s">
        <v>6434</v>
      </c>
      <c r="E386" t="s">
        <v>6435</v>
      </c>
    </row>
    <row r="387" spans="1:5" x14ac:dyDescent="0.3">
      <c r="A387" t="s">
        <v>2686</v>
      </c>
      <c r="B387" t="s">
        <v>5621</v>
      </c>
      <c r="C387" t="s">
        <v>5604</v>
      </c>
      <c r="D387" t="s">
        <v>6436</v>
      </c>
      <c r="E387" t="s">
        <v>6437</v>
      </c>
    </row>
    <row r="388" spans="1:5" x14ac:dyDescent="0.3">
      <c r="A388" t="s">
        <v>2708</v>
      </c>
      <c r="B388" t="s">
        <v>5685</v>
      </c>
      <c r="C388" t="s">
        <v>5604</v>
      </c>
      <c r="D388" t="s">
        <v>6438</v>
      </c>
      <c r="E388" t="s">
        <v>6439</v>
      </c>
    </row>
    <row r="389" spans="1:5" x14ac:dyDescent="0.3">
      <c r="A389" t="s">
        <v>1954</v>
      </c>
      <c r="B389" t="s">
        <v>5685</v>
      </c>
      <c r="C389" t="s">
        <v>5703</v>
      </c>
      <c r="D389" t="s">
        <v>6440</v>
      </c>
      <c r="E389" t="s">
        <v>6441</v>
      </c>
    </row>
    <row r="390" spans="1:5" x14ac:dyDescent="0.3">
      <c r="A390" t="s">
        <v>1924</v>
      </c>
      <c r="B390" t="s">
        <v>5685</v>
      </c>
      <c r="C390" t="s">
        <v>5604</v>
      </c>
      <c r="D390" t="s">
        <v>6442</v>
      </c>
      <c r="E390" t="s">
        <v>6443</v>
      </c>
    </row>
    <row r="391" spans="1:5" x14ac:dyDescent="0.3">
      <c r="A391" t="s">
        <v>3259</v>
      </c>
      <c r="B391" t="s">
        <v>5614</v>
      </c>
      <c r="C391" t="s">
        <v>5632</v>
      </c>
      <c r="D391" t="s">
        <v>6444</v>
      </c>
      <c r="E391" t="s">
        <v>6445</v>
      </c>
    </row>
    <row r="392" spans="1:5" x14ac:dyDescent="0.3">
      <c r="A392" t="s">
        <v>906</v>
      </c>
      <c r="B392" t="s">
        <v>5621</v>
      </c>
      <c r="C392" t="s">
        <v>5608</v>
      </c>
      <c r="D392" t="s">
        <v>6446</v>
      </c>
      <c r="E392" t="s">
        <v>6447</v>
      </c>
    </row>
    <row r="393" spans="1:5" x14ac:dyDescent="0.3">
      <c r="A393" t="s">
        <v>4109</v>
      </c>
      <c r="B393" t="s">
        <v>5614</v>
      </c>
      <c r="C393" t="s">
        <v>5599</v>
      </c>
      <c r="D393" t="s">
        <v>6448</v>
      </c>
      <c r="E393" t="s">
        <v>6449</v>
      </c>
    </row>
    <row r="394" spans="1:5" x14ac:dyDescent="0.3">
      <c r="A394" t="s">
        <v>3056</v>
      </c>
      <c r="B394" t="s">
        <v>5685</v>
      </c>
      <c r="C394" t="s">
        <v>5678</v>
      </c>
      <c r="D394" t="s">
        <v>6450</v>
      </c>
      <c r="E394" t="s">
        <v>6451</v>
      </c>
    </row>
    <row r="395" spans="1:5" x14ac:dyDescent="0.3">
      <c r="A395" t="s">
        <v>1213</v>
      </c>
      <c r="B395" t="s">
        <v>5624</v>
      </c>
      <c r="C395" t="s">
        <v>5599</v>
      </c>
      <c r="D395" t="s">
        <v>6452</v>
      </c>
      <c r="E395" t="s">
        <v>6453</v>
      </c>
    </row>
    <row r="396" spans="1:5" x14ac:dyDescent="0.3">
      <c r="A396" t="s">
        <v>2556</v>
      </c>
      <c r="B396" t="s">
        <v>5617</v>
      </c>
      <c r="C396" t="s">
        <v>5632</v>
      </c>
      <c r="D396" t="s">
        <v>6454</v>
      </c>
      <c r="E396" t="s">
        <v>6455</v>
      </c>
    </row>
    <row r="397" spans="1:5" x14ac:dyDescent="0.3">
      <c r="A397" t="s">
        <v>867</v>
      </c>
      <c r="B397" t="s">
        <v>5624</v>
      </c>
      <c r="C397" t="s">
        <v>5632</v>
      </c>
      <c r="D397" t="s">
        <v>6456</v>
      </c>
      <c r="E397" t="s">
        <v>6457</v>
      </c>
    </row>
    <row r="398" spans="1:5" x14ac:dyDescent="0.3">
      <c r="A398" t="s">
        <v>2080</v>
      </c>
      <c r="B398" t="s">
        <v>5624</v>
      </c>
      <c r="C398" t="s">
        <v>5604</v>
      </c>
      <c r="D398" t="s">
        <v>6458</v>
      </c>
      <c r="E398" t="s">
        <v>6459</v>
      </c>
    </row>
    <row r="399" spans="1:5" x14ac:dyDescent="0.3">
      <c r="A399" t="s">
        <v>5482</v>
      </c>
      <c r="B399" t="s">
        <v>5624</v>
      </c>
      <c r="C399" t="s">
        <v>5655</v>
      </c>
      <c r="D399" t="s">
        <v>6460</v>
      </c>
      <c r="E399" t="s">
        <v>6461</v>
      </c>
    </row>
    <row r="400" spans="1:5" x14ac:dyDescent="0.3">
      <c r="A400" t="s">
        <v>55</v>
      </c>
      <c r="B400" t="s">
        <v>5685</v>
      </c>
      <c r="C400" t="s">
        <v>5608</v>
      </c>
      <c r="D400" t="s">
        <v>6462</v>
      </c>
      <c r="E400" t="s">
        <v>6463</v>
      </c>
    </row>
    <row r="401" spans="1:5" x14ac:dyDescent="0.3">
      <c r="A401" t="s">
        <v>2175</v>
      </c>
      <c r="B401" t="s">
        <v>5621</v>
      </c>
      <c r="C401" t="s">
        <v>5604</v>
      </c>
      <c r="D401" t="s">
        <v>6464</v>
      </c>
      <c r="E401" t="s">
        <v>6465</v>
      </c>
    </row>
    <row r="402" spans="1:5" x14ac:dyDescent="0.3">
      <c r="A402" t="s">
        <v>4199</v>
      </c>
      <c r="B402" t="s">
        <v>5621</v>
      </c>
      <c r="C402" t="s">
        <v>5611</v>
      </c>
      <c r="D402" t="s">
        <v>6466</v>
      </c>
      <c r="E402" t="s">
        <v>6467</v>
      </c>
    </row>
    <row r="403" spans="1:5" x14ac:dyDescent="0.3">
      <c r="A403" t="s">
        <v>3846</v>
      </c>
      <c r="B403" t="s">
        <v>5614</v>
      </c>
      <c r="C403" t="s">
        <v>5608</v>
      </c>
      <c r="D403" t="s">
        <v>6468</v>
      </c>
      <c r="E403" t="s">
        <v>6469</v>
      </c>
    </row>
    <row r="404" spans="1:5" x14ac:dyDescent="0.3">
      <c r="A404" t="s">
        <v>3455</v>
      </c>
      <c r="B404" t="s">
        <v>5639</v>
      </c>
      <c r="C404" t="s">
        <v>5604</v>
      </c>
      <c r="D404" t="s">
        <v>6470</v>
      </c>
      <c r="E404" t="s">
        <v>6471</v>
      </c>
    </row>
    <row r="405" spans="1:5" x14ac:dyDescent="0.3">
      <c r="A405" t="s">
        <v>155</v>
      </c>
      <c r="B405" t="s">
        <v>5673</v>
      </c>
      <c r="C405" t="s">
        <v>5632</v>
      </c>
      <c r="D405" t="s">
        <v>6472</v>
      </c>
      <c r="E405" t="s">
        <v>6473</v>
      </c>
    </row>
    <row r="406" spans="1:5" x14ac:dyDescent="0.3">
      <c r="A406" t="s">
        <v>1511</v>
      </c>
      <c r="B406" t="s">
        <v>5624</v>
      </c>
      <c r="C406" t="s">
        <v>5655</v>
      </c>
      <c r="D406" t="s">
        <v>6474</v>
      </c>
      <c r="E406" t="s">
        <v>6475</v>
      </c>
    </row>
    <row r="407" spans="1:5" x14ac:dyDescent="0.3">
      <c r="A407" t="s">
        <v>2523</v>
      </c>
      <c r="B407" t="s">
        <v>5617</v>
      </c>
      <c r="C407" t="s">
        <v>5611</v>
      </c>
      <c r="D407" t="s">
        <v>6476</v>
      </c>
      <c r="E407" t="s">
        <v>6477</v>
      </c>
    </row>
    <row r="408" spans="1:5" x14ac:dyDescent="0.3">
      <c r="A408" t="s">
        <v>6478</v>
      </c>
      <c r="B408" t="s">
        <v>5617</v>
      </c>
      <c r="C408" t="s">
        <v>5703</v>
      </c>
      <c r="D408" t="s">
        <v>6479</v>
      </c>
      <c r="E408" t="s">
        <v>6480</v>
      </c>
    </row>
    <row r="409" spans="1:5" x14ac:dyDescent="0.3">
      <c r="A409" t="s">
        <v>689</v>
      </c>
      <c r="B409" t="s">
        <v>5624</v>
      </c>
      <c r="C409" t="s">
        <v>5618</v>
      </c>
      <c r="D409" t="s">
        <v>6481</v>
      </c>
      <c r="E409" t="s">
        <v>6482</v>
      </c>
    </row>
    <row r="410" spans="1:5" x14ac:dyDescent="0.3">
      <c r="A410" t="s">
        <v>2350</v>
      </c>
      <c r="B410" t="s">
        <v>5603</v>
      </c>
      <c r="C410" t="s">
        <v>5627</v>
      </c>
      <c r="D410" t="s">
        <v>6483</v>
      </c>
      <c r="E410" t="s">
        <v>6484</v>
      </c>
    </row>
    <row r="411" spans="1:5" x14ac:dyDescent="0.3">
      <c r="A411" t="s">
        <v>3159</v>
      </c>
      <c r="B411" t="s">
        <v>5607</v>
      </c>
      <c r="C411" t="s">
        <v>5608</v>
      </c>
      <c r="D411" t="s">
        <v>6485</v>
      </c>
      <c r="E411" t="s">
        <v>6486</v>
      </c>
    </row>
    <row r="412" spans="1:5" x14ac:dyDescent="0.3">
      <c r="A412" t="s">
        <v>2400</v>
      </c>
      <c r="B412" t="s">
        <v>5614</v>
      </c>
      <c r="C412" t="s">
        <v>5632</v>
      </c>
      <c r="D412" t="s">
        <v>6487</v>
      </c>
      <c r="E412" t="s">
        <v>6488</v>
      </c>
    </row>
    <row r="413" spans="1:5" x14ac:dyDescent="0.3">
      <c r="A413" t="s">
        <v>84</v>
      </c>
      <c r="B413" t="s">
        <v>5617</v>
      </c>
      <c r="C413" t="s">
        <v>5678</v>
      </c>
      <c r="D413" t="s">
        <v>6489</v>
      </c>
      <c r="E413" t="s">
        <v>6490</v>
      </c>
    </row>
    <row r="414" spans="1:5" x14ac:dyDescent="0.3">
      <c r="A414" t="s">
        <v>1719</v>
      </c>
      <c r="B414" t="s">
        <v>5607</v>
      </c>
      <c r="C414" t="s">
        <v>5604</v>
      </c>
      <c r="D414" t="s">
        <v>6491</v>
      </c>
      <c r="E414" t="s">
        <v>6492</v>
      </c>
    </row>
    <row r="415" spans="1:5" x14ac:dyDescent="0.3">
      <c r="A415" t="s">
        <v>4038</v>
      </c>
      <c r="B415" t="s">
        <v>5614</v>
      </c>
      <c r="C415" t="s">
        <v>5678</v>
      </c>
      <c r="D415" t="s">
        <v>6493</v>
      </c>
      <c r="E415" t="s">
        <v>6494</v>
      </c>
    </row>
    <row r="416" spans="1:5" x14ac:dyDescent="0.3">
      <c r="A416" t="s">
        <v>2301</v>
      </c>
      <c r="B416" t="s">
        <v>5607</v>
      </c>
      <c r="C416" t="s">
        <v>5627</v>
      </c>
      <c r="D416" t="s">
        <v>6495</v>
      </c>
      <c r="E416" t="s">
        <v>6496</v>
      </c>
    </row>
    <row r="417" spans="1:5" x14ac:dyDescent="0.3">
      <c r="A417" t="s">
        <v>6497</v>
      </c>
      <c r="B417" t="s">
        <v>5639</v>
      </c>
      <c r="C417" t="s">
        <v>5703</v>
      </c>
      <c r="D417" t="s">
        <v>6498</v>
      </c>
      <c r="E417" t="s">
        <v>6499</v>
      </c>
    </row>
    <row r="418" spans="1:5" x14ac:dyDescent="0.3">
      <c r="A418" t="s">
        <v>3080</v>
      </c>
      <c r="B418" t="s">
        <v>5624</v>
      </c>
      <c r="C418" t="s">
        <v>5608</v>
      </c>
      <c r="D418" t="s">
        <v>6500</v>
      </c>
      <c r="E418" t="s">
        <v>6501</v>
      </c>
    </row>
    <row r="419" spans="1:5" x14ac:dyDescent="0.3">
      <c r="A419" t="s">
        <v>1582</v>
      </c>
      <c r="B419" t="s">
        <v>5673</v>
      </c>
      <c r="C419" t="s">
        <v>5618</v>
      </c>
      <c r="D419" t="s">
        <v>6502</v>
      </c>
      <c r="E419" t="s">
        <v>6503</v>
      </c>
    </row>
    <row r="420" spans="1:5" x14ac:dyDescent="0.3">
      <c r="A420" t="s">
        <v>1702</v>
      </c>
      <c r="B420" t="s">
        <v>5603</v>
      </c>
      <c r="C420" t="s">
        <v>5632</v>
      </c>
      <c r="D420" t="s">
        <v>6504</v>
      </c>
      <c r="E420" t="s">
        <v>6505</v>
      </c>
    </row>
    <row r="421" spans="1:5" x14ac:dyDescent="0.3">
      <c r="A421" t="s">
        <v>3606</v>
      </c>
      <c r="B421" t="s">
        <v>5624</v>
      </c>
      <c r="C421" t="s">
        <v>5632</v>
      </c>
      <c r="D421" t="s">
        <v>6506</v>
      </c>
      <c r="E421" t="s">
        <v>6507</v>
      </c>
    </row>
    <row r="422" spans="1:5" x14ac:dyDescent="0.3">
      <c r="A422" t="s">
        <v>325</v>
      </c>
      <c r="B422" t="s">
        <v>5617</v>
      </c>
      <c r="C422" t="s">
        <v>5627</v>
      </c>
      <c r="D422" t="s">
        <v>6508</v>
      </c>
      <c r="E422" t="s">
        <v>6509</v>
      </c>
    </row>
    <row r="423" spans="1:5" x14ac:dyDescent="0.3">
      <c r="A423" t="s">
        <v>47</v>
      </c>
      <c r="B423" t="s">
        <v>5673</v>
      </c>
      <c r="C423" t="s">
        <v>5604</v>
      </c>
      <c r="D423" t="s">
        <v>6510</v>
      </c>
      <c r="E423" t="s">
        <v>6511</v>
      </c>
    </row>
    <row r="424" spans="1:5" x14ac:dyDescent="0.3">
      <c r="A424" t="s">
        <v>2360</v>
      </c>
      <c r="B424" t="s">
        <v>5673</v>
      </c>
      <c r="C424" t="s">
        <v>5678</v>
      </c>
      <c r="D424" t="s">
        <v>6512</v>
      </c>
      <c r="E424" t="s">
        <v>6513</v>
      </c>
    </row>
    <row r="425" spans="1:5" x14ac:dyDescent="0.3">
      <c r="A425" t="s">
        <v>6514</v>
      </c>
      <c r="B425" t="s">
        <v>5624</v>
      </c>
      <c r="C425" t="s">
        <v>5611</v>
      </c>
      <c r="D425" t="s">
        <v>6515</v>
      </c>
      <c r="E425" t="s">
        <v>6516</v>
      </c>
    </row>
    <row r="426" spans="1:5" x14ac:dyDescent="0.3">
      <c r="A426" t="s">
        <v>5422</v>
      </c>
      <c r="B426" t="s">
        <v>5617</v>
      </c>
      <c r="C426" t="s">
        <v>5632</v>
      </c>
      <c r="D426" t="s">
        <v>6517</v>
      </c>
      <c r="E426" t="s">
        <v>6518</v>
      </c>
    </row>
    <row r="427" spans="1:5" x14ac:dyDescent="0.3">
      <c r="A427" t="s">
        <v>2261</v>
      </c>
      <c r="B427" t="s">
        <v>5598</v>
      </c>
      <c r="C427" t="s">
        <v>5618</v>
      </c>
      <c r="D427" t="s">
        <v>6519</v>
      </c>
      <c r="E427" t="s">
        <v>6520</v>
      </c>
    </row>
    <row r="428" spans="1:5" x14ac:dyDescent="0.3">
      <c r="A428" t="s">
        <v>6521</v>
      </c>
      <c r="B428" t="s">
        <v>5639</v>
      </c>
      <c r="C428" t="s">
        <v>5655</v>
      </c>
      <c r="D428" t="s">
        <v>6522</v>
      </c>
      <c r="E428" t="s">
        <v>6523</v>
      </c>
    </row>
    <row r="429" spans="1:5" x14ac:dyDescent="0.3">
      <c r="A429" t="s">
        <v>6524</v>
      </c>
      <c r="B429" t="s">
        <v>5603</v>
      </c>
      <c r="C429" t="s">
        <v>5678</v>
      </c>
      <c r="D429" t="s">
        <v>6525</v>
      </c>
      <c r="E429" t="s">
        <v>6526</v>
      </c>
    </row>
    <row r="430" spans="1:5" x14ac:dyDescent="0.3">
      <c r="A430" t="s">
        <v>6527</v>
      </c>
      <c r="B430" t="s">
        <v>5621</v>
      </c>
      <c r="C430" t="s">
        <v>5678</v>
      </c>
      <c r="D430" t="s">
        <v>6528</v>
      </c>
      <c r="E430" t="s">
        <v>6529</v>
      </c>
    </row>
    <row r="431" spans="1:5" x14ac:dyDescent="0.3">
      <c r="A431" t="s">
        <v>2434</v>
      </c>
      <c r="B431" t="s">
        <v>5673</v>
      </c>
      <c r="C431" t="s">
        <v>5618</v>
      </c>
      <c r="D431" t="s">
        <v>6530</v>
      </c>
      <c r="E431" t="s">
        <v>6531</v>
      </c>
    </row>
    <row r="432" spans="1:5" x14ac:dyDescent="0.3">
      <c r="A432" t="s">
        <v>4034</v>
      </c>
      <c r="B432" t="s">
        <v>5598</v>
      </c>
      <c r="C432" t="s">
        <v>5655</v>
      </c>
      <c r="D432" t="s">
        <v>6532</v>
      </c>
      <c r="E432" t="s">
        <v>6533</v>
      </c>
    </row>
    <row r="433" spans="1:5" x14ac:dyDescent="0.3">
      <c r="A433" t="s">
        <v>1174</v>
      </c>
      <c r="B433" t="s">
        <v>5607</v>
      </c>
      <c r="C433" t="s">
        <v>5632</v>
      </c>
      <c r="D433" t="s">
        <v>6534</v>
      </c>
      <c r="E433" t="s">
        <v>6535</v>
      </c>
    </row>
    <row r="434" spans="1:5" x14ac:dyDescent="0.3">
      <c r="A434" t="s">
        <v>5425</v>
      </c>
      <c r="B434" t="s">
        <v>5639</v>
      </c>
      <c r="C434" t="s">
        <v>5627</v>
      </c>
      <c r="D434" t="s">
        <v>6536</v>
      </c>
      <c r="E434" t="s">
        <v>6537</v>
      </c>
    </row>
    <row r="435" spans="1:5" x14ac:dyDescent="0.3">
      <c r="A435" t="s">
        <v>360</v>
      </c>
      <c r="B435" t="s">
        <v>5603</v>
      </c>
      <c r="C435" t="s">
        <v>5703</v>
      </c>
      <c r="D435" t="s">
        <v>6538</v>
      </c>
      <c r="E435" t="s">
        <v>6539</v>
      </c>
    </row>
    <row r="436" spans="1:5" x14ac:dyDescent="0.3">
      <c r="A436" t="s">
        <v>3862</v>
      </c>
      <c r="B436" t="s">
        <v>5598</v>
      </c>
      <c r="C436" t="s">
        <v>5632</v>
      </c>
      <c r="D436" t="s">
        <v>6540</v>
      </c>
      <c r="E436" t="s">
        <v>6541</v>
      </c>
    </row>
    <row r="437" spans="1:5" x14ac:dyDescent="0.3">
      <c r="A437" t="s">
        <v>3570</v>
      </c>
      <c r="B437" t="s">
        <v>5607</v>
      </c>
      <c r="C437" t="s">
        <v>5632</v>
      </c>
      <c r="D437" t="s">
        <v>6542</v>
      </c>
      <c r="E437" t="s">
        <v>6543</v>
      </c>
    </row>
    <row r="438" spans="1:5" x14ac:dyDescent="0.3">
      <c r="A438" t="s">
        <v>6544</v>
      </c>
      <c r="B438" t="s">
        <v>5685</v>
      </c>
      <c r="C438" t="s">
        <v>5703</v>
      </c>
      <c r="D438" t="s">
        <v>6545</v>
      </c>
      <c r="E438" t="s">
        <v>6546</v>
      </c>
    </row>
    <row r="439" spans="1:5" x14ac:dyDescent="0.3">
      <c r="A439" t="s">
        <v>6547</v>
      </c>
      <c r="B439" t="s">
        <v>5624</v>
      </c>
      <c r="C439" t="s">
        <v>5618</v>
      </c>
      <c r="D439" t="s">
        <v>6548</v>
      </c>
      <c r="E439" t="s">
        <v>6549</v>
      </c>
    </row>
    <row r="440" spans="1:5" x14ac:dyDescent="0.3">
      <c r="A440" t="s">
        <v>810</v>
      </c>
      <c r="B440" t="s">
        <v>5598</v>
      </c>
      <c r="C440" t="s">
        <v>5655</v>
      </c>
      <c r="D440" t="s">
        <v>6550</v>
      </c>
      <c r="E440" t="s">
        <v>6551</v>
      </c>
    </row>
    <row r="441" spans="1:5" x14ac:dyDescent="0.3">
      <c r="A441" t="s">
        <v>2150</v>
      </c>
      <c r="B441" t="s">
        <v>5598</v>
      </c>
      <c r="C441" t="s">
        <v>5703</v>
      </c>
      <c r="D441" t="s">
        <v>6552</v>
      </c>
      <c r="E441" t="s">
        <v>6553</v>
      </c>
    </row>
    <row r="442" spans="1:5" x14ac:dyDescent="0.3">
      <c r="A442" t="s">
        <v>4869</v>
      </c>
      <c r="B442" t="s">
        <v>5673</v>
      </c>
      <c r="C442" t="s">
        <v>5627</v>
      </c>
      <c r="D442" t="s">
        <v>6554</v>
      </c>
      <c r="E442" t="s">
        <v>6555</v>
      </c>
    </row>
    <row r="443" spans="1:5" x14ac:dyDescent="0.3">
      <c r="A443" t="s">
        <v>3478</v>
      </c>
      <c r="B443" t="s">
        <v>5598</v>
      </c>
      <c r="C443" t="s">
        <v>5703</v>
      </c>
      <c r="D443" t="s">
        <v>6556</v>
      </c>
      <c r="E443" t="s">
        <v>6557</v>
      </c>
    </row>
    <row r="444" spans="1:5" x14ac:dyDescent="0.3">
      <c r="A444" t="s">
        <v>2020</v>
      </c>
      <c r="B444" t="s">
        <v>5603</v>
      </c>
      <c r="C444" t="s">
        <v>5655</v>
      </c>
      <c r="D444" t="s">
        <v>6558</v>
      </c>
      <c r="E444" t="s">
        <v>6559</v>
      </c>
    </row>
    <row r="445" spans="1:5" x14ac:dyDescent="0.3">
      <c r="A445" t="s">
        <v>6560</v>
      </c>
      <c r="B445" t="s">
        <v>5621</v>
      </c>
      <c r="C445" t="s">
        <v>5608</v>
      </c>
      <c r="D445" t="s">
        <v>6561</v>
      </c>
      <c r="E445" t="s">
        <v>6562</v>
      </c>
    </row>
    <row r="446" spans="1:5" x14ac:dyDescent="0.3">
      <c r="A446" t="s">
        <v>1423</v>
      </c>
      <c r="B446" t="s">
        <v>5673</v>
      </c>
      <c r="C446" t="s">
        <v>5608</v>
      </c>
      <c r="D446" t="s">
        <v>6563</v>
      </c>
      <c r="E446" t="s">
        <v>6564</v>
      </c>
    </row>
    <row r="447" spans="1:5" x14ac:dyDescent="0.3">
      <c r="A447" t="s">
        <v>194</v>
      </c>
      <c r="B447" t="s">
        <v>5617</v>
      </c>
      <c r="C447" t="s">
        <v>5632</v>
      </c>
      <c r="D447" t="s">
        <v>6565</v>
      </c>
      <c r="E447" t="s">
        <v>6566</v>
      </c>
    </row>
    <row r="448" spans="1:5" x14ac:dyDescent="0.3">
      <c r="A448" t="s">
        <v>6567</v>
      </c>
      <c r="B448" t="s">
        <v>5598</v>
      </c>
      <c r="C448" t="s">
        <v>5678</v>
      </c>
      <c r="D448" t="s">
        <v>6568</v>
      </c>
      <c r="E448" t="s">
        <v>6569</v>
      </c>
    </row>
    <row r="449" spans="1:5" x14ac:dyDescent="0.3">
      <c r="A449" t="s">
        <v>2718</v>
      </c>
      <c r="B449" t="s">
        <v>5624</v>
      </c>
      <c r="C449" t="s">
        <v>5632</v>
      </c>
      <c r="D449" t="s">
        <v>6570</v>
      </c>
      <c r="E449" t="s">
        <v>6571</v>
      </c>
    </row>
    <row r="450" spans="1:5" x14ac:dyDescent="0.3">
      <c r="A450" t="s">
        <v>1240</v>
      </c>
      <c r="B450" t="s">
        <v>5621</v>
      </c>
      <c r="C450" t="s">
        <v>5678</v>
      </c>
      <c r="D450" t="s">
        <v>6572</v>
      </c>
      <c r="E450" t="s">
        <v>6573</v>
      </c>
    </row>
    <row r="451" spans="1:5" x14ac:dyDescent="0.3">
      <c r="A451" t="s">
        <v>961</v>
      </c>
      <c r="B451" t="s">
        <v>5624</v>
      </c>
      <c r="C451" t="s">
        <v>5627</v>
      </c>
      <c r="D451" t="s">
        <v>6574</v>
      </c>
      <c r="E451" t="s">
        <v>6575</v>
      </c>
    </row>
    <row r="452" spans="1:5" x14ac:dyDescent="0.3">
      <c r="A452" t="s">
        <v>1520</v>
      </c>
      <c r="B452" t="s">
        <v>5685</v>
      </c>
      <c r="C452" t="s">
        <v>5655</v>
      </c>
      <c r="D452" t="s">
        <v>6576</v>
      </c>
      <c r="E452" t="s">
        <v>6577</v>
      </c>
    </row>
    <row r="453" spans="1:5" x14ac:dyDescent="0.3">
      <c r="A453" t="s">
        <v>3881</v>
      </c>
      <c r="B453" t="s">
        <v>5621</v>
      </c>
      <c r="C453" t="s">
        <v>5618</v>
      </c>
      <c r="D453" t="s">
        <v>6578</v>
      </c>
      <c r="E453" t="s">
        <v>6579</v>
      </c>
    </row>
    <row r="454" spans="1:5" x14ac:dyDescent="0.3">
      <c r="A454" t="s">
        <v>1246</v>
      </c>
      <c r="B454" t="s">
        <v>5624</v>
      </c>
      <c r="C454" t="s">
        <v>5632</v>
      </c>
      <c r="D454" t="s">
        <v>6580</v>
      </c>
      <c r="E454" t="s">
        <v>6581</v>
      </c>
    </row>
    <row r="455" spans="1:5" x14ac:dyDescent="0.3">
      <c r="A455" t="s">
        <v>2090</v>
      </c>
      <c r="B455" t="s">
        <v>5614</v>
      </c>
      <c r="C455" t="s">
        <v>5655</v>
      </c>
      <c r="D455" t="s">
        <v>6582</v>
      </c>
      <c r="E455" t="s">
        <v>6583</v>
      </c>
    </row>
    <row r="456" spans="1:5" x14ac:dyDescent="0.3">
      <c r="A456" t="s">
        <v>542</v>
      </c>
      <c r="B456" t="s">
        <v>5617</v>
      </c>
      <c r="C456" t="s">
        <v>5632</v>
      </c>
      <c r="D456" t="s">
        <v>6584</v>
      </c>
      <c r="E456" t="s">
        <v>6585</v>
      </c>
    </row>
    <row r="457" spans="1:5" x14ac:dyDescent="0.3">
      <c r="A457" t="s">
        <v>4852</v>
      </c>
      <c r="B457" t="s">
        <v>5607</v>
      </c>
      <c r="C457" t="s">
        <v>5611</v>
      </c>
      <c r="D457" t="s">
        <v>6586</v>
      </c>
      <c r="E457" t="s">
        <v>6587</v>
      </c>
    </row>
    <row r="458" spans="1:5" x14ac:dyDescent="0.3">
      <c r="A458" t="s">
        <v>3774</v>
      </c>
      <c r="B458" t="s">
        <v>5603</v>
      </c>
      <c r="C458" t="s">
        <v>5627</v>
      </c>
      <c r="D458" t="s">
        <v>6588</v>
      </c>
      <c r="E458" t="s">
        <v>6589</v>
      </c>
    </row>
    <row r="459" spans="1:5" x14ac:dyDescent="0.3">
      <c r="A459" t="s">
        <v>2595</v>
      </c>
      <c r="B459" t="s">
        <v>5607</v>
      </c>
      <c r="C459" t="s">
        <v>5627</v>
      </c>
      <c r="D459" t="s">
        <v>6590</v>
      </c>
      <c r="E459" t="s">
        <v>6591</v>
      </c>
    </row>
    <row r="460" spans="1:5" x14ac:dyDescent="0.3">
      <c r="A460" t="s">
        <v>1130</v>
      </c>
      <c r="B460" t="s">
        <v>5621</v>
      </c>
      <c r="C460" t="s">
        <v>5611</v>
      </c>
      <c r="D460" t="s">
        <v>6592</v>
      </c>
      <c r="E460" t="s">
        <v>6593</v>
      </c>
    </row>
    <row r="461" spans="1:5" x14ac:dyDescent="0.3">
      <c r="A461" t="s">
        <v>2973</v>
      </c>
      <c r="B461" t="s">
        <v>5607</v>
      </c>
      <c r="C461" t="s">
        <v>5678</v>
      </c>
      <c r="D461" t="s">
        <v>6594</v>
      </c>
      <c r="E461" t="s">
        <v>6595</v>
      </c>
    </row>
    <row r="462" spans="1:5" x14ac:dyDescent="0.3">
      <c r="A462" t="s">
        <v>2304</v>
      </c>
      <c r="B462" t="s">
        <v>5673</v>
      </c>
      <c r="C462" t="s">
        <v>5627</v>
      </c>
      <c r="D462" t="s">
        <v>6596</v>
      </c>
      <c r="E462" t="s">
        <v>6597</v>
      </c>
    </row>
    <row r="463" spans="1:5" x14ac:dyDescent="0.3">
      <c r="A463" t="s">
        <v>3809</v>
      </c>
      <c r="B463" t="s">
        <v>5617</v>
      </c>
      <c r="C463" t="s">
        <v>5703</v>
      </c>
      <c r="D463" t="s">
        <v>6598</v>
      </c>
      <c r="E463" t="s">
        <v>6599</v>
      </c>
    </row>
    <row r="464" spans="1:5" x14ac:dyDescent="0.3">
      <c r="A464" t="s">
        <v>3115</v>
      </c>
      <c r="B464" t="s">
        <v>5624</v>
      </c>
      <c r="C464" t="s">
        <v>5627</v>
      </c>
      <c r="D464" t="s">
        <v>6600</v>
      </c>
      <c r="E464" t="s">
        <v>6601</v>
      </c>
    </row>
    <row r="465" spans="1:5" x14ac:dyDescent="0.3">
      <c r="A465" t="s">
        <v>446</v>
      </c>
      <c r="B465" t="s">
        <v>5685</v>
      </c>
      <c r="C465" t="s">
        <v>5632</v>
      </c>
      <c r="D465" t="s">
        <v>6602</v>
      </c>
      <c r="E465" t="s">
        <v>6603</v>
      </c>
    </row>
    <row r="466" spans="1:5" x14ac:dyDescent="0.3">
      <c r="A466" t="s">
        <v>2097</v>
      </c>
      <c r="B466" t="s">
        <v>5603</v>
      </c>
      <c r="C466" t="s">
        <v>5604</v>
      </c>
      <c r="D466" t="s">
        <v>6604</v>
      </c>
      <c r="E466" t="s">
        <v>6605</v>
      </c>
    </row>
    <row r="467" spans="1:5" x14ac:dyDescent="0.3">
      <c r="A467" t="s">
        <v>1644</v>
      </c>
      <c r="B467" t="s">
        <v>5614</v>
      </c>
      <c r="C467" t="s">
        <v>5632</v>
      </c>
      <c r="D467" t="s">
        <v>6606</v>
      </c>
      <c r="E467" t="s">
        <v>6607</v>
      </c>
    </row>
    <row r="468" spans="1:5" x14ac:dyDescent="0.3">
      <c r="A468" t="s">
        <v>6608</v>
      </c>
      <c r="B468" t="s">
        <v>5614</v>
      </c>
      <c r="C468" t="s">
        <v>5632</v>
      </c>
      <c r="D468" t="s">
        <v>6609</v>
      </c>
      <c r="E468" t="s">
        <v>6610</v>
      </c>
    </row>
    <row r="469" spans="1:5" x14ac:dyDescent="0.3">
      <c r="A469" t="s">
        <v>3615</v>
      </c>
      <c r="B469" t="s">
        <v>5621</v>
      </c>
      <c r="C469" t="s">
        <v>5703</v>
      </c>
      <c r="D469" t="s">
        <v>6611</v>
      </c>
      <c r="E469" t="s">
        <v>6612</v>
      </c>
    </row>
    <row r="470" spans="1:5" x14ac:dyDescent="0.3">
      <c r="A470" t="s">
        <v>1046</v>
      </c>
      <c r="B470" t="s">
        <v>5617</v>
      </c>
      <c r="C470" t="s">
        <v>5655</v>
      </c>
      <c r="D470" t="s">
        <v>6613</v>
      </c>
      <c r="E470" t="s">
        <v>6614</v>
      </c>
    </row>
    <row r="471" spans="1:5" x14ac:dyDescent="0.3">
      <c r="A471" t="s">
        <v>6615</v>
      </c>
      <c r="B471" t="s">
        <v>5598</v>
      </c>
      <c r="C471" t="s">
        <v>5611</v>
      </c>
      <c r="D471" t="s">
        <v>6616</v>
      </c>
      <c r="E471" t="s">
        <v>6617</v>
      </c>
    </row>
    <row r="472" spans="1:5" x14ac:dyDescent="0.3">
      <c r="A472" t="s">
        <v>703</v>
      </c>
      <c r="B472" t="s">
        <v>5614</v>
      </c>
      <c r="C472" t="s">
        <v>5599</v>
      </c>
      <c r="D472" t="s">
        <v>6618</v>
      </c>
      <c r="E472" t="s">
        <v>6619</v>
      </c>
    </row>
    <row r="473" spans="1:5" x14ac:dyDescent="0.3">
      <c r="A473" t="s">
        <v>1821</v>
      </c>
      <c r="B473" t="s">
        <v>5614</v>
      </c>
      <c r="C473" t="s">
        <v>5632</v>
      </c>
      <c r="D473" t="s">
        <v>6620</v>
      </c>
      <c r="E473" t="s">
        <v>6621</v>
      </c>
    </row>
    <row r="474" spans="1:5" x14ac:dyDescent="0.3">
      <c r="A474" t="s">
        <v>1466</v>
      </c>
      <c r="B474" t="s">
        <v>5614</v>
      </c>
      <c r="C474" t="s">
        <v>5618</v>
      </c>
      <c r="D474" t="s">
        <v>6622</v>
      </c>
      <c r="E474" t="s">
        <v>6623</v>
      </c>
    </row>
    <row r="475" spans="1:5" x14ac:dyDescent="0.3">
      <c r="A475" t="s">
        <v>142</v>
      </c>
      <c r="B475" t="s">
        <v>5685</v>
      </c>
      <c r="C475" t="s">
        <v>5611</v>
      </c>
      <c r="D475" t="s">
        <v>6624</v>
      </c>
      <c r="E475" t="s">
        <v>6625</v>
      </c>
    </row>
    <row r="476" spans="1:5" x14ac:dyDescent="0.3">
      <c r="A476" t="s">
        <v>1339</v>
      </c>
      <c r="B476" t="s">
        <v>5598</v>
      </c>
      <c r="C476" t="s">
        <v>5618</v>
      </c>
      <c r="D476" t="s">
        <v>6626</v>
      </c>
      <c r="E476" t="s">
        <v>6627</v>
      </c>
    </row>
    <row r="477" spans="1:5" x14ac:dyDescent="0.3">
      <c r="A477" t="s">
        <v>62</v>
      </c>
      <c r="B477" t="s">
        <v>5598</v>
      </c>
      <c r="C477" t="s">
        <v>5627</v>
      </c>
      <c r="D477" t="s">
        <v>6628</v>
      </c>
      <c r="E477" t="s">
        <v>6629</v>
      </c>
    </row>
    <row r="478" spans="1:5" x14ac:dyDescent="0.3">
      <c r="A478" t="s">
        <v>6630</v>
      </c>
      <c r="B478" t="s">
        <v>5624</v>
      </c>
      <c r="C478" t="s">
        <v>5599</v>
      </c>
      <c r="D478" t="s">
        <v>6631</v>
      </c>
      <c r="E478" t="s">
        <v>6632</v>
      </c>
    </row>
    <row r="479" spans="1:5" x14ac:dyDescent="0.3">
      <c r="A479" t="s">
        <v>2586</v>
      </c>
      <c r="B479" t="s">
        <v>5685</v>
      </c>
      <c r="C479" t="s">
        <v>5618</v>
      </c>
      <c r="D479" t="s">
        <v>6633</v>
      </c>
      <c r="E479" t="s">
        <v>6634</v>
      </c>
    </row>
    <row r="480" spans="1:5" x14ac:dyDescent="0.3">
      <c r="A480" t="s">
        <v>6635</v>
      </c>
      <c r="B480" t="s">
        <v>5624</v>
      </c>
      <c r="C480" t="s">
        <v>5608</v>
      </c>
      <c r="D480" t="s">
        <v>6636</v>
      </c>
      <c r="E480" t="s">
        <v>6637</v>
      </c>
    </row>
    <row r="481" spans="1:5" x14ac:dyDescent="0.3">
      <c r="A481" t="s">
        <v>1033</v>
      </c>
      <c r="B481" t="s">
        <v>5603</v>
      </c>
      <c r="C481" t="s">
        <v>5599</v>
      </c>
      <c r="D481" t="s">
        <v>6638</v>
      </c>
      <c r="E481" t="s">
        <v>6639</v>
      </c>
    </row>
    <row r="482" spans="1:5" x14ac:dyDescent="0.3">
      <c r="A482" t="s">
        <v>3075</v>
      </c>
      <c r="B482" t="s">
        <v>5607</v>
      </c>
      <c r="C482" t="s">
        <v>5608</v>
      </c>
      <c r="D482" t="s">
        <v>6640</v>
      </c>
      <c r="E482" t="s">
        <v>6641</v>
      </c>
    </row>
    <row r="483" spans="1:5" x14ac:dyDescent="0.3">
      <c r="A483" t="s">
        <v>4601</v>
      </c>
      <c r="B483" t="s">
        <v>5639</v>
      </c>
      <c r="C483" t="s">
        <v>5618</v>
      </c>
      <c r="D483" t="s">
        <v>6642</v>
      </c>
      <c r="E483" t="s">
        <v>6643</v>
      </c>
    </row>
    <row r="484" spans="1:5" x14ac:dyDescent="0.3">
      <c r="A484" t="s">
        <v>2084</v>
      </c>
      <c r="B484" t="s">
        <v>5603</v>
      </c>
      <c r="C484" t="s">
        <v>5627</v>
      </c>
      <c r="D484" t="s">
        <v>6644</v>
      </c>
      <c r="E484" t="s">
        <v>6645</v>
      </c>
    </row>
    <row r="485" spans="1:5" x14ac:dyDescent="0.3">
      <c r="A485" t="s">
        <v>4390</v>
      </c>
      <c r="B485" t="s">
        <v>5603</v>
      </c>
      <c r="C485" t="s">
        <v>5611</v>
      </c>
      <c r="D485" t="s">
        <v>6646</v>
      </c>
      <c r="E485" t="s">
        <v>6647</v>
      </c>
    </row>
    <row r="486" spans="1:5" x14ac:dyDescent="0.3">
      <c r="A486" t="s">
        <v>6648</v>
      </c>
      <c r="B486" t="s">
        <v>5617</v>
      </c>
      <c r="C486" t="s">
        <v>5655</v>
      </c>
      <c r="D486" t="s">
        <v>6649</v>
      </c>
      <c r="E486" t="s">
        <v>6650</v>
      </c>
    </row>
    <row r="487" spans="1:5" x14ac:dyDescent="0.3">
      <c r="A487" t="s">
        <v>3367</v>
      </c>
      <c r="B487" t="s">
        <v>5673</v>
      </c>
      <c r="C487" t="s">
        <v>5604</v>
      </c>
      <c r="D487" t="s">
        <v>6651</v>
      </c>
      <c r="E487" t="s">
        <v>6652</v>
      </c>
    </row>
    <row r="488" spans="1:5" x14ac:dyDescent="0.3">
      <c r="A488" t="s">
        <v>4231</v>
      </c>
      <c r="B488" t="s">
        <v>5614</v>
      </c>
      <c r="C488" t="s">
        <v>5703</v>
      </c>
      <c r="D488" t="s">
        <v>6653</v>
      </c>
      <c r="E488" t="s">
        <v>6654</v>
      </c>
    </row>
    <row r="489" spans="1:5" x14ac:dyDescent="0.3">
      <c r="A489" t="s">
        <v>2552</v>
      </c>
      <c r="B489" t="s">
        <v>5639</v>
      </c>
      <c r="C489" t="s">
        <v>5703</v>
      </c>
      <c r="D489" t="s">
        <v>6655</v>
      </c>
      <c r="E489" t="s">
        <v>6656</v>
      </c>
    </row>
    <row r="490" spans="1:5" x14ac:dyDescent="0.3">
      <c r="A490" t="s">
        <v>4286</v>
      </c>
      <c r="B490" t="s">
        <v>5614</v>
      </c>
      <c r="C490" t="s">
        <v>5618</v>
      </c>
      <c r="D490" t="s">
        <v>6657</v>
      </c>
      <c r="E490" t="s">
        <v>6658</v>
      </c>
    </row>
    <row r="491" spans="1:5" x14ac:dyDescent="0.3">
      <c r="A491" t="s">
        <v>521</v>
      </c>
      <c r="B491" t="s">
        <v>5607</v>
      </c>
      <c r="C491" t="s">
        <v>5608</v>
      </c>
      <c r="D491" t="s">
        <v>6659</v>
      </c>
      <c r="E491" t="s">
        <v>6660</v>
      </c>
    </row>
    <row r="492" spans="1:5" x14ac:dyDescent="0.3">
      <c r="A492" t="s">
        <v>852</v>
      </c>
      <c r="B492" t="s">
        <v>5614</v>
      </c>
      <c r="C492" t="s">
        <v>5655</v>
      </c>
      <c r="D492" t="s">
        <v>6661</v>
      </c>
      <c r="E492" t="s">
        <v>6662</v>
      </c>
    </row>
    <row r="493" spans="1:5" x14ac:dyDescent="0.3">
      <c r="A493" t="s">
        <v>3403</v>
      </c>
      <c r="B493" t="s">
        <v>5598</v>
      </c>
      <c r="C493" t="s">
        <v>5599</v>
      </c>
      <c r="D493" t="s">
        <v>6663</v>
      </c>
      <c r="E493" t="s">
        <v>6664</v>
      </c>
    </row>
    <row r="494" spans="1:5" x14ac:dyDescent="0.3">
      <c r="A494" t="s">
        <v>815</v>
      </c>
      <c r="B494" t="s">
        <v>5673</v>
      </c>
      <c r="C494" t="s">
        <v>5703</v>
      </c>
      <c r="D494" t="s">
        <v>6665</v>
      </c>
      <c r="E494" t="s">
        <v>6666</v>
      </c>
    </row>
    <row r="495" spans="1:5" x14ac:dyDescent="0.3">
      <c r="A495" t="s">
        <v>505</v>
      </c>
      <c r="B495" t="s">
        <v>5603</v>
      </c>
      <c r="C495" t="s">
        <v>5608</v>
      </c>
      <c r="D495" t="s">
        <v>6667</v>
      </c>
      <c r="E495" t="s">
        <v>6668</v>
      </c>
    </row>
    <row r="496" spans="1:5" x14ac:dyDescent="0.3">
      <c r="A496" t="s">
        <v>3298</v>
      </c>
      <c r="B496" t="s">
        <v>5614</v>
      </c>
      <c r="C496" t="s">
        <v>5608</v>
      </c>
      <c r="D496" t="s">
        <v>6669</v>
      </c>
      <c r="E496" t="s">
        <v>6670</v>
      </c>
    </row>
    <row r="497" spans="1:5" x14ac:dyDescent="0.3">
      <c r="A497" t="s">
        <v>2058</v>
      </c>
      <c r="B497" t="s">
        <v>5621</v>
      </c>
      <c r="C497" t="s">
        <v>5604</v>
      </c>
      <c r="D497" t="s">
        <v>6671</v>
      </c>
      <c r="E497" t="s">
        <v>6672</v>
      </c>
    </row>
    <row r="498" spans="1:5" x14ac:dyDescent="0.3">
      <c r="A498" t="s">
        <v>2037</v>
      </c>
      <c r="B498" t="s">
        <v>5624</v>
      </c>
      <c r="C498" t="s">
        <v>5618</v>
      </c>
      <c r="D498" t="s">
        <v>6673</v>
      </c>
      <c r="E498" t="s">
        <v>6674</v>
      </c>
    </row>
    <row r="499" spans="1:5" x14ac:dyDescent="0.3">
      <c r="A499" t="s">
        <v>3247</v>
      </c>
      <c r="B499" t="s">
        <v>5621</v>
      </c>
      <c r="C499" t="s">
        <v>5599</v>
      </c>
      <c r="D499" t="s">
        <v>6675</v>
      </c>
      <c r="E499" t="s">
        <v>6676</v>
      </c>
    </row>
    <row r="500" spans="1:5" x14ac:dyDescent="0.3">
      <c r="A500" t="s">
        <v>2591</v>
      </c>
      <c r="B500" t="s">
        <v>5673</v>
      </c>
      <c r="C500" t="s">
        <v>5604</v>
      </c>
      <c r="D500" t="s">
        <v>6677</v>
      </c>
      <c r="E500" t="s">
        <v>6678</v>
      </c>
    </row>
    <row r="501" spans="1:5" x14ac:dyDescent="0.3">
      <c r="A501" t="s">
        <v>3185</v>
      </c>
      <c r="B501" t="s">
        <v>5617</v>
      </c>
      <c r="C501" t="s">
        <v>5703</v>
      </c>
      <c r="D501" t="s">
        <v>6679</v>
      </c>
      <c r="E501" t="s">
        <v>6680</v>
      </c>
    </row>
    <row r="502" spans="1:5" x14ac:dyDescent="0.3">
      <c r="A502" t="s">
        <v>6681</v>
      </c>
      <c r="B502" t="s">
        <v>5617</v>
      </c>
      <c r="C502" t="s">
        <v>5627</v>
      </c>
      <c r="D502" t="s">
        <v>6682</v>
      </c>
      <c r="E502" t="s">
        <v>6683</v>
      </c>
    </row>
    <row r="503" spans="1:5" x14ac:dyDescent="0.3">
      <c r="A503" t="s">
        <v>1960</v>
      </c>
      <c r="B503" t="s">
        <v>5607</v>
      </c>
      <c r="C503" t="s">
        <v>5655</v>
      </c>
      <c r="D503" t="s">
        <v>6684</v>
      </c>
      <c r="E503" t="s">
        <v>6685</v>
      </c>
    </row>
    <row r="504" spans="1:5" x14ac:dyDescent="0.3">
      <c r="A504" t="s">
        <v>1839</v>
      </c>
      <c r="B504" t="s">
        <v>5614</v>
      </c>
      <c r="C504" t="s">
        <v>5703</v>
      </c>
      <c r="D504" t="s">
        <v>6686</v>
      </c>
      <c r="E504" t="s">
        <v>6687</v>
      </c>
    </row>
    <row r="505" spans="1:5" x14ac:dyDescent="0.3">
      <c r="A505" t="s">
        <v>6688</v>
      </c>
      <c r="B505" t="s">
        <v>5624</v>
      </c>
      <c r="C505" t="s">
        <v>5632</v>
      </c>
      <c r="D505" t="s">
        <v>6689</v>
      </c>
      <c r="E505" t="s">
        <v>6690</v>
      </c>
    </row>
    <row r="506" spans="1:5" x14ac:dyDescent="0.3">
      <c r="A506" t="s">
        <v>4928</v>
      </c>
      <c r="B506" t="s">
        <v>5685</v>
      </c>
      <c r="C506" t="s">
        <v>5611</v>
      </c>
      <c r="D506" t="s">
        <v>6691</v>
      </c>
      <c r="E506" t="s">
        <v>6692</v>
      </c>
    </row>
    <row r="507" spans="1:5" x14ac:dyDescent="0.3">
      <c r="A507" t="s">
        <v>1624</v>
      </c>
      <c r="B507" t="s">
        <v>5621</v>
      </c>
      <c r="C507" t="s">
        <v>5618</v>
      </c>
      <c r="D507" t="s">
        <v>6693</v>
      </c>
      <c r="E507" t="s">
        <v>6694</v>
      </c>
    </row>
    <row r="508" spans="1:5" x14ac:dyDescent="0.3">
      <c r="A508" t="s">
        <v>981</v>
      </c>
      <c r="B508" t="s">
        <v>5621</v>
      </c>
      <c r="C508" t="s">
        <v>5611</v>
      </c>
      <c r="D508" t="s">
        <v>6695</v>
      </c>
      <c r="E508" t="s">
        <v>6696</v>
      </c>
    </row>
    <row r="509" spans="1:5" x14ac:dyDescent="0.3">
      <c r="A509" t="s">
        <v>1380</v>
      </c>
      <c r="B509" t="s">
        <v>5603</v>
      </c>
      <c r="C509" t="s">
        <v>5627</v>
      </c>
      <c r="D509" t="s">
        <v>6697</v>
      </c>
      <c r="E509" t="s">
        <v>6698</v>
      </c>
    </row>
    <row r="510" spans="1:5" x14ac:dyDescent="0.3">
      <c r="A510" t="s">
        <v>6699</v>
      </c>
      <c r="B510" t="s">
        <v>5685</v>
      </c>
      <c r="C510" t="s">
        <v>5655</v>
      </c>
      <c r="D510" t="s">
        <v>6700</v>
      </c>
      <c r="E510" t="s">
        <v>6701</v>
      </c>
    </row>
    <row r="511" spans="1:5" x14ac:dyDescent="0.3">
      <c r="A511" t="s">
        <v>6702</v>
      </c>
      <c r="B511" t="s">
        <v>5617</v>
      </c>
      <c r="C511" t="s">
        <v>5627</v>
      </c>
      <c r="D511" t="s">
        <v>6703</v>
      </c>
      <c r="E511" t="s">
        <v>6704</v>
      </c>
    </row>
    <row r="512" spans="1:5" x14ac:dyDescent="0.3">
      <c r="A512" t="s">
        <v>6705</v>
      </c>
      <c r="B512" t="s">
        <v>5607</v>
      </c>
      <c r="C512" t="s">
        <v>5611</v>
      </c>
      <c r="D512" t="s">
        <v>6706</v>
      </c>
      <c r="E512" t="s">
        <v>6707</v>
      </c>
    </row>
    <row r="513" spans="1:5" x14ac:dyDescent="0.3">
      <c r="A513" t="s">
        <v>6708</v>
      </c>
      <c r="B513" t="s">
        <v>5685</v>
      </c>
      <c r="C513" t="s">
        <v>5599</v>
      </c>
      <c r="D513" t="s">
        <v>6709</v>
      </c>
      <c r="E513" t="s">
        <v>6710</v>
      </c>
    </row>
    <row r="514" spans="1:5" x14ac:dyDescent="0.3">
      <c r="A514" t="s">
        <v>2298</v>
      </c>
      <c r="B514" t="s">
        <v>5607</v>
      </c>
      <c r="C514" t="s">
        <v>5618</v>
      </c>
      <c r="D514" t="s">
        <v>6711</v>
      </c>
      <c r="E514" t="s">
        <v>6712</v>
      </c>
    </row>
    <row r="515" spans="1:5" x14ac:dyDescent="0.3">
      <c r="A515" t="s">
        <v>1064</v>
      </c>
      <c r="B515" t="s">
        <v>5624</v>
      </c>
      <c r="C515" t="s">
        <v>5608</v>
      </c>
      <c r="D515" t="s">
        <v>6713</v>
      </c>
      <c r="E515" t="s">
        <v>6714</v>
      </c>
    </row>
    <row r="516" spans="1:5" x14ac:dyDescent="0.3">
      <c r="A516" t="s">
        <v>6715</v>
      </c>
      <c r="B516" t="s">
        <v>5598</v>
      </c>
      <c r="C516" t="s">
        <v>5703</v>
      </c>
      <c r="D516" t="s">
        <v>6716</v>
      </c>
      <c r="E516" t="s">
        <v>6717</v>
      </c>
    </row>
    <row r="517" spans="1:5" x14ac:dyDescent="0.3">
      <c r="A517" t="s">
        <v>3112</v>
      </c>
      <c r="B517" t="s">
        <v>5621</v>
      </c>
      <c r="C517" t="s">
        <v>5618</v>
      </c>
      <c r="D517" t="s">
        <v>6718</v>
      </c>
      <c r="E517" t="s">
        <v>6719</v>
      </c>
    </row>
    <row r="518" spans="1:5" x14ac:dyDescent="0.3">
      <c r="A518" t="s">
        <v>499</v>
      </c>
      <c r="B518" t="s">
        <v>5598</v>
      </c>
      <c r="C518" t="s">
        <v>5627</v>
      </c>
      <c r="D518" t="s">
        <v>6720</v>
      </c>
      <c r="E518" t="s">
        <v>6721</v>
      </c>
    </row>
    <row r="519" spans="1:5" x14ac:dyDescent="0.3">
      <c r="A519" t="s">
        <v>2201</v>
      </c>
      <c r="B519" t="s">
        <v>5598</v>
      </c>
      <c r="C519" t="s">
        <v>5627</v>
      </c>
      <c r="D519" t="s">
        <v>6722</v>
      </c>
      <c r="E519" t="s">
        <v>6723</v>
      </c>
    </row>
    <row r="520" spans="1:5" x14ac:dyDescent="0.3">
      <c r="A520" t="s">
        <v>3406</v>
      </c>
      <c r="B520" t="s">
        <v>5607</v>
      </c>
      <c r="C520" t="s">
        <v>5599</v>
      </c>
      <c r="D520" t="s">
        <v>6724</v>
      </c>
      <c r="E520" t="s">
        <v>6725</v>
      </c>
    </row>
    <row r="521" spans="1:5" x14ac:dyDescent="0.3">
      <c r="A521" t="s">
        <v>3006</v>
      </c>
      <c r="B521" t="s">
        <v>5624</v>
      </c>
      <c r="C521" t="s">
        <v>5608</v>
      </c>
      <c r="D521" t="s">
        <v>6726</v>
      </c>
      <c r="E521" t="s">
        <v>6727</v>
      </c>
    </row>
    <row r="522" spans="1:5" x14ac:dyDescent="0.3">
      <c r="A522" t="s">
        <v>6728</v>
      </c>
      <c r="B522" t="s">
        <v>5603</v>
      </c>
      <c r="C522" t="s">
        <v>5632</v>
      </c>
      <c r="D522" t="s">
        <v>6729</v>
      </c>
      <c r="E522" t="s">
        <v>6730</v>
      </c>
    </row>
    <row r="523" spans="1:5" x14ac:dyDescent="0.3">
      <c r="A523" t="s">
        <v>2651</v>
      </c>
      <c r="B523" t="s">
        <v>5685</v>
      </c>
      <c r="C523" t="s">
        <v>5618</v>
      </c>
      <c r="D523" t="s">
        <v>6731</v>
      </c>
      <c r="E523" t="s">
        <v>6732</v>
      </c>
    </row>
    <row r="524" spans="1:5" x14ac:dyDescent="0.3">
      <c r="A524" t="s">
        <v>3322</v>
      </c>
      <c r="B524" t="s">
        <v>5624</v>
      </c>
      <c r="C524" t="s">
        <v>5618</v>
      </c>
      <c r="D524" t="s">
        <v>6733</v>
      </c>
      <c r="E524" t="s">
        <v>6734</v>
      </c>
    </row>
    <row r="525" spans="1:5" x14ac:dyDescent="0.3">
      <c r="A525" t="s">
        <v>2982</v>
      </c>
      <c r="B525" t="s">
        <v>5617</v>
      </c>
      <c r="C525" t="s">
        <v>5608</v>
      </c>
      <c r="D525" t="s">
        <v>6735</v>
      </c>
      <c r="E525" t="s">
        <v>6736</v>
      </c>
    </row>
    <row r="526" spans="1:5" x14ac:dyDescent="0.3">
      <c r="A526" t="s">
        <v>2747</v>
      </c>
      <c r="B526" t="s">
        <v>5614</v>
      </c>
      <c r="C526" t="s">
        <v>5604</v>
      </c>
      <c r="D526" t="s">
        <v>6737</v>
      </c>
      <c r="E526" t="s">
        <v>6738</v>
      </c>
    </row>
    <row r="527" spans="1:5" x14ac:dyDescent="0.3">
      <c r="A527" t="s">
        <v>3506</v>
      </c>
      <c r="B527" t="s">
        <v>5624</v>
      </c>
      <c r="C527" t="s">
        <v>5655</v>
      </c>
      <c r="D527" t="s">
        <v>6739</v>
      </c>
      <c r="E527" t="s">
        <v>6740</v>
      </c>
    </row>
    <row r="528" spans="1:5" x14ac:dyDescent="0.3">
      <c r="A528" t="s">
        <v>1283</v>
      </c>
      <c r="B528" t="s">
        <v>5624</v>
      </c>
      <c r="C528" t="s">
        <v>5703</v>
      </c>
      <c r="D528" t="s">
        <v>6741</v>
      </c>
      <c r="E528" t="s">
        <v>6742</v>
      </c>
    </row>
    <row r="529" spans="1:5" x14ac:dyDescent="0.3">
      <c r="A529" t="s">
        <v>3529</v>
      </c>
      <c r="B529" t="s">
        <v>5607</v>
      </c>
      <c r="C529" t="s">
        <v>5604</v>
      </c>
      <c r="D529" t="s">
        <v>6743</v>
      </c>
      <c r="E529" t="s">
        <v>6744</v>
      </c>
    </row>
    <row r="530" spans="1:5" x14ac:dyDescent="0.3">
      <c r="A530" t="s">
        <v>3777</v>
      </c>
      <c r="B530" t="s">
        <v>5598</v>
      </c>
      <c r="C530" t="s">
        <v>5608</v>
      </c>
      <c r="D530" t="s">
        <v>6745</v>
      </c>
      <c r="E530" t="s">
        <v>6746</v>
      </c>
    </row>
    <row r="531" spans="1:5" x14ac:dyDescent="0.3">
      <c r="A531" t="s">
        <v>381</v>
      </c>
      <c r="B531" t="s">
        <v>5624</v>
      </c>
      <c r="C531" t="s">
        <v>5655</v>
      </c>
      <c r="D531" t="s">
        <v>6747</v>
      </c>
      <c r="E531" t="s">
        <v>6748</v>
      </c>
    </row>
    <row r="532" spans="1:5" x14ac:dyDescent="0.3">
      <c r="A532" t="s">
        <v>2466</v>
      </c>
      <c r="B532" t="s">
        <v>5598</v>
      </c>
      <c r="C532" t="s">
        <v>5618</v>
      </c>
      <c r="D532" t="s">
        <v>6749</v>
      </c>
      <c r="E532" t="s">
        <v>6750</v>
      </c>
    </row>
    <row r="533" spans="1:5" x14ac:dyDescent="0.3">
      <c r="A533" t="s">
        <v>1476</v>
      </c>
      <c r="B533" t="s">
        <v>5673</v>
      </c>
      <c r="C533" t="s">
        <v>5678</v>
      </c>
      <c r="D533" t="s">
        <v>6751</v>
      </c>
      <c r="E533" t="s">
        <v>6752</v>
      </c>
    </row>
    <row r="534" spans="1:5" x14ac:dyDescent="0.3">
      <c r="A534" t="s">
        <v>1329</v>
      </c>
      <c r="B534" t="s">
        <v>5617</v>
      </c>
      <c r="C534" t="s">
        <v>5604</v>
      </c>
      <c r="D534" t="s">
        <v>6753</v>
      </c>
      <c r="E534" t="s">
        <v>6754</v>
      </c>
    </row>
    <row r="535" spans="1:5" x14ac:dyDescent="0.3">
      <c r="A535" t="s">
        <v>1766</v>
      </c>
      <c r="B535" t="s">
        <v>5621</v>
      </c>
      <c r="C535" t="s">
        <v>5599</v>
      </c>
      <c r="D535" t="s">
        <v>6755</v>
      </c>
      <c r="E535" t="s">
        <v>6756</v>
      </c>
    </row>
    <row r="536" spans="1:5" x14ac:dyDescent="0.3">
      <c r="A536" t="s">
        <v>610</v>
      </c>
      <c r="B536" t="s">
        <v>5614</v>
      </c>
      <c r="C536" t="s">
        <v>5655</v>
      </c>
      <c r="D536" t="s">
        <v>6757</v>
      </c>
      <c r="E536" t="s">
        <v>6758</v>
      </c>
    </row>
    <row r="537" spans="1:5" x14ac:dyDescent="0.3">
      <c r="A537" t="s">
        <v>2866</v>
      </c>
      <c r="B537" t="s">
        <v>5673</v>
      </c>
      <c r="C537" t="s">
        <v>5608</v>
      </c>
      <c r="D537" t="s">
        <v>6759</v>
      </c>
      <c r="E537" t="s">
        <v>6760</v>
      </c>
    </row>
    <row r="538" spans="1:5" x14ac:dyDescent="0.3">
      <c r="A538" t="s">
        <v>1569</v>
      </c>
      <c r="B538" t="s">
        <v>5621</v>
      </c>
      <c r="C538" t="s">
        <v>5627</v>
      </c>
      <c r="D538" t="s">
        <v>6761</v>
      </c>
      <c r="E538" t="s">
        <v>6762</v>
      </c>
    </row>
    <row r="539" spans="1:5" x14ac:dyDescent="0.3">
      <c r="A539" t="s">
        <v>4074</v>
      </c>
      <c r="B539" t="s">
        <v>5617</v>
      </c>
      <c r="C539" t="s">
        <v>5627</v>
      </c>
      <c r="D539" t="s">
        <v>6763</v>
      </c>
      <c r="E539" t="s">
        <v>6764</v>
      </c>
    </row>
    <row r="540" spans="1:5" x14ac:dyDescent="0.3">
      <c r="A540" t="s">
        <v>4502</v>
      </c>
      <c r="B540" t="s">
        <v>5673</v>
      </c>
      <c r="C540" t="s">
        <v>5618</v>
      </c>
      <c r="D540" t="s">
        <v>6765</v>
      </c>
      <c r="E540" t="s">
        <v>6766</v>
      </c>
    </row>
    <row r="541" spans="1:5" x14ac:dyDescent="0.3">
      <c r="A541" t="s">
        <v>819</v>
      </c>
      <c r="B541" t="s">
        <v>5685</v>
      </c>
      <c r="C541" t="s">
        <v>5604</v>
      </c>
      <c r="D541" t="s">
        <v>6767</v>
      </c>
      <c r="E541" t="s">
        <v>6768</v>
      </c>
    </row>
    <row r="542" spans="1:5" x14ac:dyDescent="0.3">
      <c r="A542" t="s">
        <v>1710</v>
      </c>
      <c r="B542" t="s">
        <v>5639</v>
      </c>
      <c r="C542" t="s">
        <v>5618</v>
      </c>
      <c r="D542" t="s">
        <v>6769</v>
      </c>
      <c r="E542" t="s">
        <v>6770</v>
      </c>
    </row>
    <row r="543" spans="1:5" x14ac:dyDescent="0.3">
      <c r="A543" t="s">
        <v>1517</v>
      </c>
      <c r="B543" t="s">
        <v>5598</v>
      </c>
      <c r="C543" t="s">
        <v>5627</v>
      </c>
      <c r="D543" t="s">
        <v>6771</v>
      </c>
      <c r="E543" t="s">
        <v>6772</v>
      </c>
    </row>
    <row r="544" spans="1:5" x14ac:dyDescent="0.3">
      <c r="A544" t="s">
        <v>6773</v>
      </c>
      <c r="B544" t="s">
        <v>5607</v>
      </c>
      <c r="C544" t="s">
        <v>5599</v>
      </c>
      <c r="D544" t="s">
        <v>6774</v>
      </c>
      <c r="E544" t="s">
        <v>6775</v>
      </c>
    </row>
    <row r="545" spans="1:5" x14ac:dyDescent="0.3">
      <c r="A545" t="s">
        <v>3500</v>
      </c>
      <c r="B545" t="s">
        <v>5624</v>
      </c>
      <c r="C545" t="s">
        <v>5655</v>
      </c>
      <c r="D545" t="s">
        <v>6776</v>
      </c>
      <c r="E545" t="s">
        <v>6777</v>
      </c>
    </row>
    <row r="546" spans="1:5" x14ac:dyDescent="0.3">
      <c r="A546" t="s">
        <v>419</v>
      </c>
      <c r="B546" t="s">
        <v>5603</v>
      </c>
      <c r="C546" t="s">
        <v>5627</v>
      </c>
      <c r="D546" t="s">
        <v>6778</v>
      </c>
      <c r="E546" t="s">
        <v>6779</v>
      </c>
    </row>
    <row r="547" spans="1:5" x14ac:dyDescent="0.3">
      <c r="A547" t="s">
        <v>1179</v>
      </c>
      <c r="B547" t="s">
        <v>5617</v>
      </c>
      <c r="C547" t="s">
        <v>5632</v>
      </c>
      <c r="D547" t="s">
        <v>6780</v>
      </c>
      <c r="E547" t="s">
        <v>6781</v>
      </c>
    </row>
    <row r="548" spans="1:5" x14ac:dyDescent="0.3">
      <c r="A548" t="s">
        <v>2805</v>
      </c>
      <c r="B548" t="s">
        <v>5598</v>
      </c>
      <c r="C548" t="s">
        <v>5678</v>
      </c>
      <c r="D548" t="s">
        <v>6782</v>
      </c>
      <c r="E548" t="s">
        <v>6783</v>
      </c>
    </row>
    <row r="549" spans="1:5" x14ac:dyDescent="0.3">
      <c r="A549" t="s">
        <v>1873</v>
      </c>
      <c r="B549" t="s">
        <v>5624</v>
      </c>
      <c r="C549" t="s">
        <v>5611</v>
      </c>
      <c r="D549" t="s">
        <v>6784</v>
      </c>
      <c r="E549" t="s">
        <v>6785</v>
      </c>
    </row>
    <row r="550" spans="1:5" x14ac:dyDescent="0.3">
      <c r="A550" t="s">
        <v>917</v>
      </c>
      <c r="B550" t="s">
        <v>5598</v>
      </c>
      <c r="C550" t="s">
        <v>5599</v>
      </c>
      <c r="D550" t="s">
        <v>6786</v>
      </c>
      <c r="E550" t="s">
        <v>6787</v>
      </c>
    </row>
    <row r="551" spans="1:5" x14ac:dyDescent="0.3">
      <c r="A551" t="s">
        <v>2008</v>
      </c>
      <c r="B551" t="s">
        <v>5673</v>
      </c>
      <c r="C551" t="s">
        <v>5599</v>
      </c>
      <c r="D551" t="s">
        <v>6788</v>
      </c>
      <c r="E551" t="s">
        <v>6789</v>
      </c>
    </row>
    <row r="552" spans="1:5" x14ac:dyDescent="0.3">
      <c r="A552" t="s">
        <v>4573</v>
      </c>
      <c r="B552" t="s">
        <v>5673</v>
      </c>
      <c r="C552" t="s">
        <v>5608</v>
      </c>
      <c r="D552" t="s">
        <v>6790</v>
      </c>
      <c r="E552" t="s">
        <v>6791</v>
      </c>
    </row>
    <row r="553" spans="1:5" x14ac:dyDescent="0.3">
      <c r="A553" t="s">
        <v>794</v>
      </c>
      <c r="B553" t="s">
        <v>5639</v>
      </c>
      <c r="C553" t="s">
        <v>5604</v>
      </c>
      <c r="D553" t="s">
        <v>6792</v>
      </c>
      <c r="E553" t="s">
        <v>6793</v>
      </c>
    </row>
    <row r="554" spans="1:5" x14ac:dyDescent="0.3">
      <c r="A554" t="s">
        <v>2872</v>
      </c>
      <c r="B554" t="s">
        <v>5639</v>
      </c>
      <c r="C554" t="s">
        <v>5627</v>
      </c>
      <c r="D554" t="s">
        <v>6794</v>
      </c>
      <c r="E554" t="s">
        <v>6795</v>
      </c>
    </row>
    <row r="555" spans="1:5" x14ac:dyDescent="0.3">
      <c r="A555" t="s">
        <v>2472</v>
      </c>
      <c r="B555" t="s">
        <v>5598</v>
      </c>
      <c r="C555" t="s">
        <v>5599</v>
      </c>
      <c r="D555" t="s">
        <v>6796</v>
      </c>
      <c r="E555" t="s">
        <v>6797</v>
      </c>
    </row>
    <row r="556" spans="1:5" x14ac:dyDescent="0.3">
      <c r="A556" t="s">
        <v>4313</v>
      </c>
      <c r="B556" t="s">
        <v>5614</v>
      </c>
      <c r="C556" t="s">
        <v>5678</v>
      </c>
      <c r="D556" t="s">
        <v>6798</v>
      </c>
      <c r="E556" t="s">
        <v>6799</v>
      </c>
    </row>
    <row r="557" spans="1:5" x14ac:dyDescent="0.3">
      <c r="A557" t="s">
        <v>4558</v>
      </c>
      <c r="B557" t="s">
        <v>5603</v>
      </c>
      <c r="C557" t="s">
        <v>5599</v>
      </c>
      <c r="D557" t="s">
        <v>6800</v>
      </c>
      <c r="E557" t="s">
        <v>6801</v>
      </c>
    </row>
    <row r="558" spans="1:5" x14ac:dyDescent="0.3">
      <c r="A558" t="s">
        <v>6802</v>
      </c>
      <c r="B558" t="s">
        <v>5614</v>
      </c>
      <c r="C558" t="s">
        <v>5608</v>
      </c>
      <c r="D558" t="s">
        <v>6803</v>
      </c>
      <c r="E558" t="s">
        <v>6804</v>
      </c>
    </row>
    <row r="559" spans="1:5" x14ac:dyDescent="0.3">
      <c r="A559" t="s">
        <v>4779</v>
      </c>
      <c r="B559" t="s">
        <v>5598</v>
      </c>
      <c r="C559" t="s">
        <v>5611</v>
      </c>
      <c r="D559" t="s">
        <v>6805</v>
      </c>
      <c r="E559" t="s">
        <v>6806</v>
      </c>
    </row>
    <row r="560" spans="1:5" x14ac:dyDescent="0.3">
      <c r="A560" t="s">
        <v>3841</v>
      </c>
      <c r="B560" t="s">
        <v>5685</v>
      </c>
      <c r="C560" t="s">
        <v>5604</v>
      </c>
      <c r="D560" t="s">
        <v>6807</v>
      </c>
      <c r="E560" t="s">
        <v>6808</v>
      </c>
    </row>
    <row r="561" spans="1:5" x14ac:dyDescent="0.3">
      <c r="A561" t="s">
        <v>1657</v>
      </c>
      <c r="B561" t="s">
        <v>5614</v>
      </c>
      <c r="C561" t="s">
        <v>5611</v>
      </c>
      <c r="D561" t="s">
        <v>6809</v>
      </c>
      <c r="E561" t="s">
        <v>6810</v>
      </c>
    </row>
    <row r="562" spans="1:5" x14ac:dyDescent="0.3">
      <c r="A562" t="s">
        <v>2742</v>
      </c>
      <c r="B562" t="s">
        <v>5639</v>
      </c>
      <c r="C562" t="s">
        <v>5678</v>
      </c>
      <c r="D562" t="s">
        <v>6811</v>
      </c>
      <c r="E562" t="s">
        <v>6812</v>
      </c>
    </row>
    <row r="563" spans="1:5" x14ac:dyDescent="0.3">
      <c r="A563" t="s">
        <v>2052</v>
      </c>
      <c r="B563" t="s">
        <v>5614</v>
      </c>
      <c r="C563" t="s">
        <v>5608</v>
      </c>
      <c r="D563" t="s">
        <v>6813</v>
      </c>
      <c r="E563" t="s">
        <v>6814</v>
      </c>
    </row>
    <row r="564" spans="1:5" x14ac:dyDescent="0.3">
      <c r="A564" t="s">
        <v>2798</v>
      </c>
      <c r="B564" t="s">
        <v>5639</v>
      </c>
      <c r="C564" t="s">
        <v>5599</v>
      </c>
      <c r="D564" t="s">
        <v>6815</v>
      </c>
      <c r="E564" t="s">
        <v>6816</v>
      </c>
    </row>
    <row r="565" spans="1:5" x14ac:dyDescent="0.3">
      <c r="A565" t="s">
        <v>2332</v>
      </c>
      <c r="B565" t="s">
        <v>5621</v>
      </c>
      <c r="C565" t="s">
        <v>5599</v>
      </c>
      <c r="D565" t="s">
        <v>6817</v>
      </c>
      <c r="E565" t="s">
        <v>6818</v>
      </c>
    </row>
    <row r="566" spans="1:5" x14ac:dyDescent="0.3">
      <c r="A566" t="s">
        <v>336</v>
      </c>
      <c r="B566" t="s">
        <v>5607</v>
      </c>
      <c r="C566" t="s">
        <v>5627</v>
      </c>
      <c r="D566" t="s">
        <v>6819</v>
      </c>
      <c r="E566" t="s">
        <v>6820</v>
      </c>
    </row>
    <row r="567" spans="1:5" x14ac:dyDescent="0.3">
      <c r="A567" t="s">
        <v>6821</v>
      </c>
      <c r="B567" t="s">
        <v>5617</v>
      </c>
      <c r="C567" t="s">
        <v>5632</v>
      </c>
      <c r="D567" t="s">
        <v>6822</v>
      </c>
      <c r="E567" t="s">
        <v>6823</v>
      </c>
    </row>
    <row r="568" spans="1:5" x14ac:dyDescent="0.3">
      <c r="A568" t="s">
        <v>1618</v>
      </c>
      <c r="B568" t="s">
        <v>5603</v>
      </c>
      <c r="C568" t="s">
        <v>5655</v>
      </c>
      <c r="D568" t="s">
        <v>6824</v>
      </c>
      <c r="E568" t="s">
        <v>6825</v>
      </c>
    </row>
    <row r="569" spans="1:5" x14ac:dyDescent="0.3">
      <c r="A569" t="s">
        <v>566</v>
      </c>
      <c r="B569" t="s">
        <v>5685</v>
      </c>
      <c r="C569" t="s">
        <v>5632</v>
      </c>
      <c r="D569" t="s">
        <v>6826</v>
      </c>
      <c r="E569" t="s">
        <v>6827</v>
      </c>
    </row>
    <row r="570" spans="1:5" x14ac:dyDescent="0.3">
      <c r="A570" t="s">
        <v>148</v>
      </c>
      <c r="B570" t="s">
        <v>5603</v>
      </c>
      <c r="C570" t="s">
        <v>5611</v>
      </c>
      <c r="D570" t="s">
        <v>6828</v>
      </c>
      <c r="E570" t="s">
        <v>6829</v>
      </c>
    </row>
    <row r="571" spans="1:5" x14ac:dyDescent="0.3">
      <c r="A571" t="s">
        <v>1390</v>
      </c>
      <c r="B571" t="s">
        <v>5685</v>
      </c>
      <c r="C571" t="s">
        <v>5599</v>
      </c>
      <c r="D571" t="s">
        <v>6830</v>
      </c>
      <c r="E571" t="s">
        <v>6831</v>
      </c>
    </row>
    <row r="572" spans="1:5" x14ac:dyDescent="0.3">
      <c r="A572" t="s">
        <v>1531</v>
      </c>
      <c r="B572" t="s">
        <v>5614</v>
      </c>
      <c r="C572" t="s">
        <v>5604</v>
      </c>
      <c r="D572" t="s">
        <v>6832</v>
      </c>
      <c r="E572" t="s">
        <v>6833</v>
      </c>
    </row>
    <row r="573" spans="1:5" x14ac:dyDescent="0.3">
      <c r="A573" t="s">
        <v>4754</v>
      </c>
      <c r="B573" t="s">
        <v>5621</v>
      </c>
      <c r="C573" t="s">
        <v>5632</v>
      </c>
      <c r="D573" t="s">
        <v>6834</v>
      </c>
      <c r="E573" t="s">
        <v>6835</v>
      </c>
    </row>
    <row r="574" spans="1:5" x14ac:dyDescent="0.3">
      <c r="A574" t="s">
        <v>5454</v>
      </c>
      <c r="B574" t="s">
        <v>5607</v>
      </c>
      <c r="C574" t="s">
        <v>5608</v>
      </c>
      <c r="D574" t="s">
        <v>6836</v>
      </c>
      <c r="E574" t="s">
        <v>6837</v>
      </c>
    </row>
    <row r="575" spans="1:5" x14ac:dyDescent="0.3">
      <c r="A575" t="s">
        <v>3709</v>
      </c>
      <c r="B575" t="s">
        <v>5639</v>
      </c>
      <c r="C575" t="s">
        <v>5599</v>
      </c>
      <c r="D575" t="s">
        <v>6838</v>
      </c>
      <c r="E575" t="s">
        <v>6839</v>
      </c>
    </row>
    <row r="576" spans="1:5" x14ac:dyDescent="0.3">
      <c r="A576" t="s">
        <v>2317</v>
      </c>
      <c r="B576" t="s">
        <v>5603</v>
      </c>
      <c r="C576" t="s">
        <v>5703</v>
      </c>
      <c r="D576" t="s">
        <v>6840</v>
      </c>
      <c r="E576" t="s">
        <v>6841</v>
      </c>
    </row>
    <row r="577" spans="1:5" x14ac:dyDescent="0.3">
      <c r="A577" t="s">
        <v>1483</v>
      </c>
      <c r="B577" t="s">
        <v>5685</v>
      </c>
      <c r="C577" t="s">
        <v>5678</v>
      </c>
      <c r="D577" t="s">
        <v>6842</v>
      </c>
      <c r="E577" t="s">
        <v>6843</v>
      </c>
    </row>
    <row r="578" spans="1:5" x14ac:dyDescent="0.3">
      <c r="A578" t="s">
        <v>213</v>
      </c>
      <c r="B578" t="s">
        <v>5624</v>
      </c>
      <c r="C578" t="s">
        <v>5599</v>
      </c>
      <c r="D578" t="s">
        <v>6844</v>
      </c>
      <c r="E578" t="s">
        <v>6845</v>
      </c>
    </row>
    <row r="579" spans="1:5" x14ac:dyDescent="0.3">
      <c r="A579" t="s">
        <v>602</v>
      </c>
      <c r="B579" t="s">
        <v>5598</v>
      </c>
      <c r="C579" t="s">
        <v>5703</v>
      </c>
      <c r="D579" t="s">
        <v>6846</v>
      </c>
      <c r="E579" t="s">
        <v>6847</v>
      </c>
    </row>
    <row r="580" spans="1:5" x14ac:dyDescent="0.3">
      <c r="A580" t="s">
        <v>1886</v>
      </c>
      <c r="B580" t="s">
        <v>5685</v>
      </c>
      <c r="C580" t="s">
        <v>5618</v>
      </c>
      <c r="D580" t="s">
        <v>6848</v>
      </c>
      <c r="E580" t="s">
        <v>6849</v>
      </c>
    </row>
    <row r="581" spans="1:5" x14ac:dyDescent="0.3">
      <c r="A581" t="s">
        <v>4368</v>
      </c>
      <c r="B581" t="s">
        <v>5685</v>
      </c>
      <c r="C581" t="s">
        <v>5678</v>
      </c>
      <c r="D581" t="s">
        <v>6850</v>
      </c>
      <c r="E581" t="s">
        <v>6851</v>
      </c>
    </row>
    <row r="582" spans="1:5" x14ac:dyDescent="0.3">
      <c r="A582" t="s">
        <v>2074</v>
      </c>
      <c r="B582" t="s">
        <v>5607</v>
      </c>
      <c r="C582" t="s">
        <v>5678</v>
      </c>
      <c r="D582" t="s">
        <v>6852</v>
      </c>
      <c r="E582" t="s">
        <v>6853</v>
      </c>
    </row>
    <row r="583" spans="1:5" x14ac:dyDescent="0.3">
      <c r="A583" t="s">
        <v>5106</v>
      </c>
      <c r="B583" t="s">
        <v>5639</v>
      </c>
      <c r="C583" t="s">
        <v>5599</v>
      </c>
      <c r="D583" t="s">
        <v>6854</v>
      </c>
      <c r="E583" t="s">
        <v>6855</v>
      </c>
    </row>
    <row r="584" spans="1:5" x14ac:dyDescent="0.3">
      <c r="A584" t="s">
        <v>2064</v>
      </c>
      <c r="B584" t="s">
        <v>5603</v>
      </c>
      <c r="C584" t="s">
        <v>5627</v>
      </c>
      <c r="D584" t="s">
        <v>6856</v>
      </c>
      <c r="E584" t="s">
        <v>6857</v>
      </c>
    </row>
    <row r="585" spans="1:5" x14ac:dyDescent="0.3">
      <c r="A585" t="s">
        <v>301</v>
      </c>
      <c r="B585" t="s">
        <v>5624</v>
      </c>
      <c r="C585" t="s">
        <v>5611</v>
      </c>
      <c r="D585" t="s">
        <v>6858</v>
      </c>
      <c r="E585" t="s">
        <v>6859</v>
      </c>
    </row>
    <row r="586" spans="1:5" x14ac:dyDescent="0.3">
      <c r="A586" t="s">
        <v>2248</v>
      </c>
      <c r="B586" t="s">
        <v>5624</v>
      </c>
      <c r="C586" t="s">
        <v>5703</v>
      </c>
      <c r="D586" t="s">
        <v>6860</v>
      </c>
      <c r="E586" t="s">
        <v>6861</v>
      </c>
    </row>
    <row r="587" spans="1:5" x14ac:dyDescent="0.3">
      <c r="A587" t="s">
        <v>1202</v>
      </c>
      <c r="B587" t="s">
        <v>5603</v>
      </c>
      <c r="C587" t="s">
        <v>5678</v>
      </c>
      <c r="D587" t="s">
        <v>6862</v>
      </c>
      <c r="E587" t="s">
        <v>6863</v>
      </c>
    </row>
    <row r="588" spans="1:5" x14ac:dyDescent="0.3">
      <c r="A588" t="s">
        <v>3253</v>
      </c>
      <c r="B588" t="s">
        <v>5673</v>
      </c>
      <c r="C588" t="s">
        <v>5632</v>
      </c>
      <c r="D588" t="s">
        <v>6864</v>
      </c>
      <c r="E588" t="s">
        <v>6865</v>
      </c>
    </row>
    <row r="589" spans="1:5" x14ac:dyDescent="0.3">
      <c r="A589" t="s">
        <v>236</v>
      </c>
      <c r="B589" t="s">
        <v>5607</v>
      </c>
      <c r="C589" t="s">
        <v>5703</v>
      </c>
      <c r="D589" t="s">
        <v>6866</v>
      </c>
      <c r="E589" t="s">
        <v>6867</v>
      </c>
    </row>
    <row r="590" spans="1:5" x14ac:dyDescent="0.3">
      <c r="A590" t="s">
        <v>2239</v>
      </c>
      <c r="B590" t="s">
        <v>5607</v>
      </c>
      <c r="C590" t="s">
        <v>5604</v>
      </c>
      <c r="D590" t="s">
        <v>6868</v>
      </c>
      <c r="E590" t="s">
        <v>6869</v>
      </c>
    </row>
    <row r="591" spans="1:5" x14ac:dyDescent="0.3">
      <c r="A591" t="s">
        <v>1545</v>
      </c>
      <c r="B591" t="s">
        <v>5607</v>
      </c>
      <c r="C591" t="s">
        <v>5655</v>
      </c>
      <c r="D591" t="s">
        <v>6870</v>
      </c>
      <c r="E591" t="s">
        <v>6871</v>
      </c>
    </row>
    <row r="592" spans="1:5" x14ac:dyDescent="0.3">
      <c r="A592" t="s">
        <v>1879</v>
      </c>
      <c r="B592" t="s">
        <v>5603</v>
      </c>
      <c r="C592" t="s">
        <v>5599</v>
      </c>
      <c r="D592" t="s">
        <v>6872</v>
      </c>
      <c r="E592" t="s">
        <v>6873</v>
      </c>
    </row>
    <row r="593" spans="1:5" x14ac:dyDescent="0.3">
      <c r="A593" t="s">
        <v>3278</v>
      </c>
      <c r="B593" t="s">
        <v>5598</v>
      </c>
      <c r="C593" t="s">
        <v>5627</v>
      </c>
      <c r="D593" t="s">
        <v>6874</v>
      </c>
      <c r="E593" t="s">
        <v>6875</v>
      </c>
    </row>
    <row r="594" spans="1:5" x14ac:dyDescent="0.3">
      <c r="A594" t="s">
        <v>6876</v>
      </c>
      <c r="B594" t="s">
        <v>5598</v>
      </c>
      <c r="C594" t="s">
        <v>5599</v>
      </c>
      <c r="D594" t="s">
        <v>6877</v>
      </c>
      <c r="E594" t="s">
        <v>6878</v>
      </c>
    </row>
    <row r="595" spans="1:5" x14ac:dyDescent="0.3">
      <c r="A595" t="s">
        <v>4765</v>
      </c>
      <c r="B595" t="s">
        <v>5639</v>
      </c>
      <c r="C595" t="s">
        <v>5627</v>
      </c>
      <c r="D595" t="s">
        <v>6879</v>
      </c>
      <c r="E595" t="s">
        <v>6880</v>
      </c>
    </row>
    <row r="596" spans="1:5" x14ac:dyDescent="0.3">
      <c r="A596" t="s">
        <v>911</v>
      </c>
      <c r="B596" t="s">
        <v>5673</v>
      </c>
      <c r="C596" t="s">
        <v>5627</v>
      </c>
      <c r="D596" t="s">
        <v>6881</v>
      </c>
      <c r="E596" t="s">
        <v>6882</v>
      </c>
    </row>
    <row r="597" spans="1:5" x14ac:dyDescent="0.3">
      <c r="A597" t="s">
        <v>956</v>
      </c>
      <c r="B597" t="s">
        <v>5598</v>
      </c>
      <c r="C597" t="s">
        <v>5604</v>
      </c>
      <c r="D597" t="s">
        <v>6883</v>
      </c>
      <c r="E597" t="s">
        <v>6884</v>
      </c>
    </row>
    <row r="598" spans="1:5" x14ac:dyDescent="0.3">
      <c r="A598" t="s">
        <v>4462</v>
      </c>
      <c r="B598" t="s">
        <v>5639</v>
      </c>
      <c r="C598" t="s">
        <v>5655</v>
      </c>
      <c r="D598" t="s">
        <v>6885</v>
      </c>
      <c r="E598" t="s">
        <v>6886</v>
      </c>
    </row>
    <row r="599" spans="1:5" x14ac:dyDescent="0.3">
      <c r="A599" t="s">
        <v>509</v>
      </c>
      <c r="B599" t="s">
        <v>5603</v>
      </c>
      <c r="C599" t="s">
        <v>5611</v>
      </c>
      <c r="D599" t="s">
        <v>6887</v>
      </c>
      <c r="E599" t="s">
        <v>6888</v>
      </c>
    </row>
    <row r="600" spans="1:5" x14ac:dyDescent="0.3">
      <c r="A600" t="s">
        <v>1899</v>
      </c>
      <c r="B600" t="s">
        <v>5617</v>
      </c>
      <c r="C600" t="s">
        <v>5611</v>
      </c>
      <c r="D600" t="s">
        <v>6889</v>
      </c>
      <c r="E600" t="s">
        <v>6890</v>
      </c>
    </row>
    <row r="601" spans="1:5" x14ac:dyDescent="0.3">
      <c r="A601" t="s">
        <v>2936</v>
      </c>
      <c r="B601" t="s">
        <v>5614</v>
      </c>
      <c r="C601" t="s">
        <v>5618</v>
      </c>
      <c r="D601" t="s">
        <v>6891</v>
      </c>
      <c r="E601" t="s">
        <v>6892</v>
      </c>
    </row>
    <row r="602" spans="1:5" x14ac:dyDescent="0.3">
      <c r="A602" t="s">
        <v>6893</v>
      </c>
      <c r="B602" t="s">
        <v>5603</v>
      </c>
      <c r="C602" t="s">
        <v>5608</v>
      </c>
      <c r="D602" t="s">
        <v>6894</v>
      </c>
      <c r="E602" t="s">
        <v>6895</v>
      </c>
    </row>
    <row r="603" spans="1:5" x14ac:dyDescent="0.3">
      <c r="A603" t="s">
        <v>2154</v>
      </c>
      <c r="B603" t="s">
        <v>5603</v>
      </c>
      <c r="C603" t="s">
        <v>5608</v>
      </c>
      <c r="D603" t="s">
        <v>6896</v>
      </c>
      <c r="E603" t="s">
        <v>6897</v>
      </c>
    </row>
    <row r="604" spans="1:5" x14ac:dyDescent="0.3">
      <c r="A604" t="s">
        <v>3120</v>
      </c>
      <c r="B604" t="s">
        <v>5685</v>
      </c>
      <c r="C604" t="s">
        <v>5655</v>
      </c>
      <c r="D604" t="s">
        <v>6898</v>
      </c>
      <c r="E604" t="s">
        <v>6899</v>
      </c>
    </row>
    <row r="605" spans="1:5" x14ac:dyDescent="0.3">
      <c r="A605" t="s">
        <v>6900</v>
      </c>
      <c r="B605" t="s">
        <v>5614</v>
      </c>
      <c r="C605" t="s">
        <v>5599</v>
      </c>
      <c r="D605" t="s">
        <v>6901</v>
      </c>
      <c r="E605" t="s">
        <v>6902</v>
      </c>
    </row>
    <row r="606" spans="1:5" x14ac:dyDescent="0.3">
      <c r="A606" t="s">
        <v>4884</v>
      </c>
      <c r="B606" t="s">
        <v>5639</v>
      </c>
      <c r="C606" t="s">
        <v>5599</v>
      </c>
      <c r="D606" t="s">
        <v>6903</v>
      </c>
      <c r="E606" t="s">
        <v>6904</v>
      </c>
    </row>
    <row r="607" spans="1:5" x14ac:dyDescent="0.3">
      <c r="A607" t="s">
        <v>354</v>
      </c>
      <c r="B607" t="s">
        <v>5624</v>
      </c>
      <c r="C607" t="s">
        <v>5604</v>
      </c>
      <c r="D607" t="s">
        <v>6905</v>
      </c>
      <c r="E607" t="s">
        <v>6906</v>
      </c>
    </row>
    <row r="608" spans="1:5" x14ac:dyDescent="0.3">
      <c r="A608" t="s">
        <v>6907</v>
      </c>
      <c r="B608" t="s">
        <v>5614</v>
      </c>
      <c r="C608" t="s">
        <v>5599</v>
      </c>
      <c r="D608" t="s">
        <v>6908</v>
      </c>
      <c r="E608" t="s">
        <v>6909</v>
      </c>
    </row>
    <row r="609" spans="1:5" x14ac:dyDescent="0.3">
      <c r="A609" t="s">
        <v>466</v>
      </c>
      <c r="B609" t="s">
        <v>5639</v>
      </c>
      <c r="C609" t="s">
        <v>5611</v>
      </c>
      <c r="D609" t="s">
        <v>6910</v>
      </c>
      <c r="E609" t="s">
        <v>6911</v>
      </c>
    </row>
    <row r="610" spans="1:5" x14ac:dyDescent="0.3">
      <c r="A610" t="s">
        <v>934</v>
      </c>
      <c r="B610" t="s">
        <v>5617</v>
      </c>
      <c r="C610" t="s">
        <v>5608</v>
      </c>
      <c r="D610" t="s">
        <v>6912</v>
      </c>
      <c r="E610" t="s">
        <v>6913</v>
      </c>
    </row>
    <row r="611" spans="1:5" x14ac:dyDescent="0.3">
      <c r="A611" t="s">
        <v>591</v>
      </c>
      <c r="B611" t="s">
        <v>5614</v>
      </c>
      <c r="C611" t="s">
        <v>5618</v>
      </c>
      <c r="D611" t="s">
        <v>6914</v>
      </c>
      <c r="E611" t="s">
        <v>6915</v>
      </c>
    </row>
    <row r="612" spans="1:5" x14ac:dyDescent="0.3">
      <c r="A612" t="s">
        <v>1791</v>
      </c>
      <c r="B612" t="s">
        <v>5603</v>
      </c>
      <c r="C612" t="s">
        <v>5627</v>
      </c>
      <c r="D612" t="s">
        <v>6916</v>
      </c>
      <c r="E612" t="s">
        <v>6917</v>
      </c>
    </row>
    <row r="613" spans="1:5" x14ac:dyDescent="0.3">
      <c r="A613" t="s">
        <v>2853</v>
      </c>
      <c r="B613" t="s">
        <v>5624</v>
      </c>
      <c r="C613" t="s">
        <v>5611</v>
      </c>
      <c r="D613" t="s">
        <v>6918</v>
      </c>
      <c r="E613" t="s">
        <v>6919</v>
      </c>
    </row>
    <row r="614" spans="1:5" x14ac:dyDescent="0.3">
      <c r="A614" t="s">
        <v>5253</v>
      </c>
      <c r="B614" t="s">
        <v>5617</v>
      </c>
      <c r="C614" t="s">
        <v>5627</v>
      </c>
      <c r="D614" t="s">
        <v>6920</v>
      </c>
      <c r="E614" t="s">
        <v>6921</v>
      </c>
    </row>
    <row r="615" spans="1:5" x14ac:dyDescent="0.3">
      <c r="A615" t="s">
        <v>2126</v>
      </c>
      <c r="B615" t="s">
        <v>5614</v>
      </c>
      <c r="C615" t="s">
        <v>5608</v>
      </c>
      <c r="D615" t="s">
        <v>6922</v>
      </c>
      <c r="E615" t="s">
        <v>6923</v>
      </c>
    </row>
    <row r="616" spans="1:5" x14ac:dyDescent="0.3">
      <c r="A616" t="s">
        <v>1287</v>
      </c>
      <c r="B616" t="s">
        <v>5607</v>
      </c>
      <c r="C616" t="s">
        <v>5618</v>
      </c>
      <c r="D616" t="s">
        <v>6924</v>
      </c>
      <c r="E616" t="s">
        <v>6925</v>
      </c>
    </row>
    <row r="617" spans="1:5" x14ac:dyDescent="0.3">
      <c r="A617" t="s">
        <v>5235</v>
      </c>
      <c r="B617" t="s">
        <v>5607</v>
      </c>
      <c r="C617" t="s">
        <v>5618</v>
      </c>
      <c r="D617" t="s">
        <v>6926</v>
      </c>
      <c r="E617" t="s">
        <v>6927</v>
      </c>
    </row>
    <row r="618" spans="1:5" x14ac:dyDescent="0.3">
      <c r="A618" t="s">
        <v>3309</v>
      </c>
      <c r="B618" t="s">
        <v>5639</v>
      </c>
      <c r="C618" t="s">
        <v>5655</v>
      </c>
      <c r="D618" t="s">
        <v>6928</v>
      </c>
      <c r="E618" t="s">
        <v>6929</v>
      </c>
    </row>
    <row r="619" spans="1:5" x14ac:dyDescent="0.3">
      <c r="A619" t="s">
        <v>1780</v>
      </c>
      <c r="B619" t="s">
        <v>5624</v>
      </c>
      <c r="C619" t="s">
        <v>5655</v>
      </c>
      <c r="D619" t="s">
        <v>6930</v>
      </c>
      <c r="E619" t="s">
        <v>6931</v>
      </c>
    </row>
    <row r="620" spans="1:5" x14ac:dyDescent="0.3">
      <c r="A620" t="s">
        <v>1892</v>
      </c>
      <c r="B620" t="s">
        <v>5624</v>
      </c>
      <c r="C620" t="s">
        <v>5703</v>
      </c>
      <c r="D620" t="s">
        <v>6932</v>
      </c>
      <c r="E620" t="s">
        <v>6933</v>
      </c>
    </row>
    <row r="621" spans="1:5" x14ac:dyDescent="0.3">
      <c r="A621" t="s">
        <v>4659</v>
      </c>
      <c r="B621" t="s">
        <v>5624</v>
      </c>
      <c r="C621" t="s">
        <v>5632</v>
      </c>
      <c r="D621" t="s">
        <v>6934</v>
      </c>
      <c r="E621" t="s">
        <v>6935</v>
      </c>
    </row>
    <row r="622" spans="1:5" x14ac:dyDescent="0.3">
      <c r="A622" t="s">
        <v>3819</v>
      </c>
      <c r="B622" t="s">
        <v>5598</v>
      </c>
      <c r="C622" t="s">
        <v>5618</v>
      </c>
      <c r="D622" t="s">
        <v>6936</v>
      </c>
      <c r="E622" t="s">
        <v>6937</v>
      </c>
    </row>
    <row r="623" spans="1:5" x14ac:dyDescent="0.3">
      <c r="A623" t="s">
        <v>5435</v>
      </c>
      <c r="B623" t="s">
        <v>5621</v>
      </c>
      <c r="C623" t="s">
        <v>5608</v>
      </c>
      <c r="D623" t="s">
        <v>6938</v>
      </c>
      <c r="E623" t="s">
        <v>6939</v>
      </c>
    </row>
    <row r="624" spans="1:5" x14ac:dyDescent="0.3">
      <c r="A624" t="s">
        <v>2357</v>
      </c>
      <c r="B624" t="s">
        <v>5607</v>
      </c>
      <c r="C624" t="s">
        <v>5703</v>
      </c>
      <c r="D624" t="s">
        <v>6940</v>
      </c>
      <c r="E624" t="s">
        <v>6941</v>
      </c>
    </row>
    <row r="625" spans="1:5" x14ac:dyDescent="0.3">
      <c r="A625" t="s">
        <v>597</v>
      </c>
      <c r="B625" t="s">
        <v>5603</v>
      </c>
      <c r="C625" t="s">
        <v>5655</v>
      </c>
      <c r="D625" t="s">
        <v>6942</v>
      </c>
      <c r="E625" t="s">
        <v>6943</v>
      </c>
    </row>
    <row r="626" spans="1:5" x14ac:dyDescent="0.3">
      <c r="A626" t="s">
        <v>6944</v>
      </c>
      <c r="B626" t="s">
        <v>5614</v>
      </c>
      <c r="C626" t="s">
        <v>5611</v>
      </c>
      <c r="D626" t="s">
        <v>6945</v>
      </c>
      <c r="E626" t="s">
        <v>6946</v>
      </c>
    </row>
    <row r="627" spans="1:5" x14ac:dyDescent="0.3">
      <c r="A627" t="s">
        <v>1566</v>
      </c>
      <c r="B627" t="s">
        <v>5603</v>
      </c>
      <c r="C627" t="s">
        <v>5655</v>
      </c>
      <c r="D627" t="s">
        <v>6947</v>
      </c>
      <c r="E627" t="s">
        <v>6948</v>
      </c>
    </row>
    <row r="628" spans="1:5" x14ac:dyDescent="0.3">
      <c r="A628" t="s">
        <v>3799</v>
      </c>
      <c r="B628" t="s">
        <v>5621</v>
      </c>
      <c r="C628" t="s">
        <v>5703</v>
      </c>
      <c r="D628" t="s">
        <v>6949</v>
      </c>
      <c r="E628" t="s">
        <v>6950</v>
      </c>
    </row>
    <row r="629" spans="1:5" x14ac:dyDescent="0.3">
      <c r="A629" t="s">
        <v>2271</v>
      </c>
      <c r="B629" t="s">
        <v>5614</v>
      </c>
      <c r="C629" t="s">
        <v>5678</v>
      </c>
      <c r="D629" t="s">
        <v>6951</v>
      </c>
      <c r="E629" t="s">
        <v>6952</v>
      </c>
    </row>
    <row r="630" spans="1:5" x14ac:dyDescent="0.3">
      <c r="A630" t="s">
        <v>2005</v>
      </c>
      <c r="B630" t="s">
        <v>5685</v>
      </c>
      <c r="C630" t="s">
        <v>5678</v>
      </c>
      <c r="D630" t="s">
        <v>6953</v>
      </c>
      <c r="E630" t="s">
        <v>6954</v>
      </c>
    </row>
    <row r="631" spans="1:5" x14ac:dyDescent="0.3">
      <c r="A631" t="s">
        <v>926</v>
      </c>
      <c r="B631" t="s">
        <v>5639</v>
      </c>
      <c r="C631" t="s">
        <v>5655</v>
      </c>
      <c r="D631" t="s">
        <v>6955</v>
      </c>
      <c r="E631" t="s">
        <v>6956</v>
      </c>
    </row>
    <row r="632" spans="1:5" x14ac:dyDescent="0.3">
      <c r="A632" t="s">
        <v>4289</v>
      </c>
      <c r="B632" t="s">
        <v>5617</v>
      </c>
      <c r="C632" t="s">
        <v>5608</v>
      </c>
      <c r="D632" t="s">
        <v>6957</v>
      </c>
      <c r="E632" t="s">
        <v>6958</v>
      </c>
    </row>
    <row r="633" spans="1:5" x14ac:dyDescent="0.3">
      <c r="A633" t="s">
        <v>3974</v>
      </c>
      <c r="B633" t="s">
        <v>5617</v>
      </c>
      <c r="C633" t="s">
        <v>5599</v>
      </c>
      <c r="D633" t="s">
        <v>6959</v>
      </c>
      <c r="E633" t="s">
        <v>6960</v>
      </c>
    </row>
    <row r="634" spans="1:5" x14ac:dyDescent="0.3">
      <c r="A634" t="s">
        <v>4136</v>
      </c>
      <c r="B634" t="s">
        <v>5639</v>
      </c>
      <c r="C634" t="s">
        <v>5678</v>
      </c>
      <c r="D634" t="s">
        <v>6961</v>
      </c>
      <c r="E634" t="s">
        <v>6962</v>
      </c>
    </row>
    <row r="635" spans="1:5" x14ac:dyDescent="0.3">
      <c r="A635" t="s">
        <v>6963</v>
      </c>
      <c r="B635" t="s">
        <v>5673</v>
      </c>
      <c r="C635" t="s">
        <v>5627</v>
      </c>
      <c r="D635" t="s">
        <v>6964</v>
      </c>
      <c r="E635" t="s">
        <v>6965</v>
      </c>
    </row>
    <row r="636" spans="1:5" x14ac:dyDescent="0.3">
      <c r="A636" t="s">
        <v>3523</v>
      </c>
      <c r="B636" t="s">
        <v>5673</v>
      </c>
      <c r="C636" t="s">
        <v>5655</v>
      </c>
      <c r="D636" t="s">
        <v>6966</v>
      </c>
      <c r="E636" t="s">
        <v>6967</v>
      </c>
    </row>
    <row r="637" spans="1:5" x14ac:dyDescent="0.3">
      <c r="A637" t="s">
        <v>2281</v>
      </c>
      <c r="B637" t="s">
        <v>5624</v>
      </c>
      <c r="C637" t="s">
        <v>5618</v>
      </c>
      <c r="D637" t="s">
        <v>6968</v>
      </c>
      <c r="E637" t="s">
        <v>6969</v>
      </c>
    </row>
    <row r="638" spans="1:5" x14ac:dyDescent="0.3">
      <c r="A638" t="s">
        <v>4570</v>
      </c>
      <c r="B638" t="s">
        <v>5621</v>
      </c>
      <c r="C638" t="s">
        <v>5604</v>
      </c>
      <c r="D638" t="s">
        <v>6970</v>
      </c>
      <c r="E638" t="s">
        <v>6971</v>
      </c>
    </row>
    <row r="639" spans="1:5" x14ac:dyDescent="0.3">
      <c r="A639" t="s">
        <v>1462</v>
      </c>
      <c r="B639" t="s">
        <v>5639</v>
      </c>
      <c r="C639" t="s">
        <v>5703</v>
      </c>
      <c r="D639" t="s">
        <v>6972</v>
      </c>
      <c r="E639" t="s">
        <v>6973</v>
      </c>
    </row>
    <row r="640" spans="1:5" x14ac:dyDescent="0.3">
      <c r="A640" t="s">
        <v>2055</v>
      </c>
      <c r="B640" t="s">
        <v>5621</v>
      </c>
      <c r="C640" t="s">
        <v>5608</v>
      </c>
      <c r="D640" t="s">
        <v>6974</v>
      </c>
      <c r="E640" t="s">
        <v>6975</v>
      </c>
    </row>
    <row r="641" spans="1:5" x14ac:dyDescent="0.3">
      <c r="A641" t="s">
        <v>6976</v>
      </c>
      <c r="B641" t="s">
        <v>5598</v>
      </c>
      <c r="C641" t="s">
        <v>5618</v>
      </c>
      <c r="D641" t="s">
        <v>6977</v>
      </c>
      <c r="E641" t="s">
        <v>6978</v>
      </c>
    </row>
    <row r="642" spans="1:5" x14ac:dyDescent="0.3">
      <c r="A642" t="s">
        <v>3165</v>
      </c>
      <c r="B642" t="s">
        <v>5614</v>
      </c>
      <c r="C642" t="s">
        <v>5678</v>
      </c>
      <c r="D642" t="s">
        <v>6979</v>
      </c>
      <c r="E642" t="s">
        <v>6980</v>
      </c>
    </row>
    <row r="643" spans="1:5" x14ac:dyDescent="0.3">
      <c r="A643" t="s">
        <v>2208</v>
      </c>
      <c r="B643" t="s">
        <v>5598</v>
      </c>
      <c r="C643" t="s">
        <v>5611</v>
      </c>
      <c r="D643" t="s">
        <v>6981</v>
      </c>
      <c r="E643" t="s">
        <v>6982</v>
      </c>
    </row>
    <row r="644" spans="1:5" x14ac:dyDescent="0.3">
      <c r="A644" t="s">
        <v>2808</v>
      </c>
      <c r="B644" t="s">
        <v>5673</v>
      </c>
      <c r="C644" t="s">
        <v>5618</v>
      </c>
      <c r="D644" t="s">
        <v>6983</v>
      </c>
      <c r="E644" t="s">
        <v>6984</v>
      </c>
    </row>
    <row r="645" spans="1:5" x14ac:dyDescent="0.3">
      <c r="A645" t="s">
        <v>441</v>
      </c>
      <c r="B645" t="s">
        <v>5673</v>
      </c>
      <c r="C645" t="s">
        <v>5627</v>
      </c>
      <c r="D645" t="s">
        <v>6985</v>
      </c>
      <c r="E645" t="s">
        <v>6986</v>
      </c>
    </row>
    <row r="646" spans="1:5" x14ac:dyDescent="0.3">
      <c r="A646" t="s">
        <v>1223</v>
      </c>
      <c r="B646" t="s">
        <v>5624</v>
      </c>
      <c r="C646" t="s">
        <v>5608</v>
      </c>
      <c r="D646" t="s">
        <v>6987</v>
      </c>
      <c r="E646" t="s">
        <v>6988</v>
      </c>
    </row>
    <row r="647" spans="1:5" x14ac:dyDescent="0.3">
      <c r="A647" t="s">
        <v>1068</v>
      </c>
      <c r="B647" t="s">
        <v>5673</v>
      </c>
      <c r="C647" t="s">
        <v>5599</v>
      </c>
      <c r="D647" t="s">
        <v>6989</v>
      </c>
      <c r="E647" t="s">
        <v>6990</v>
      </c>
    </row>
    <row r="648" spans="1:5" x14ac:dyDescent="0.3">
      <c r="A648" t="s">
        <v>3162</v>
      </c>
      <c r="B648" t="s">
        <v>5617</v>
      </c>
      <c r="C648" t="s">
        <v>5604</v>
      </c>
      <c r="D648" t="s">
        <v>6991</v>
      </c>
      <c r="E648" t="s">
        <v>6992</v>
      </c>
    </row>
    <row r="649" spans="1:5" x14ac:dyDescent="0.3">
      <c r="A649" t="s">
        <v>1609</v>
      </c>
      <c r="B649" t="s">
        <v>5621</v>
      </c>
      <c r="C649" t="s">
        <v>5703</v>
      </c>
      <c r="D649" t="s">
        <v>6993</v>
      </c>
      <c r="E649" t="s">
        <v>6994</v>
      </c>
    </row>
    <row r="650" spans="1:5" x14ac:dyDescent="0.3">
      <c r="A650" t="s">
        <v>4000</v>
      </c>
      <c r="B650" t="s">
        <v>5607</v>
      </c>
      <c r="C650" t="s">
        <v>5604</v>
      </c>
      <c r="D650" t="s">
        <v>6995</v>
      </c>
      <c r="E650" t="s">
        <v>6996</v>
      </c>
    </row>
    <row r="651" spans="1:5" x14ac:dyDescent="0.3">
      <c r="A651" t="s">
        <v>557</v>
      </c>
      <c r="B651" t="s">
        <v>5673</v>
      </c>
      <c r="C651" t="s">
        <v>5678</v>
      </c>
      <c r="D651" t="s">
        <v>6997</v>
      </c>
      <c r="E651" t="s">
        <v>6998</v>
      </c>
    </row>
    <row r="652" spans="1:5" x14ac:dyDescent="0.3">
      <c r="A652" t="s">
        <v>828</v>
      </c>
      <c r="B652" t="s">
        <v>5617</v>
      </c>
      <c r="C652" t="s">
        <v>5604</v>
      </c>
      <c r="D652" t="s">
        <v>6999</v>
      </c>
      <c r="E652" t="s">
        <v>7000</v>
      </c>
    </row>
    <row r="653" spans="1:5" x14ac:dyDescent="0.3">
      <c r="A653" t="s">
        <v>2366</v>
      </c>
      <c r="B653" t="s">
        <v>5685</v>
      </c>
      <c r="C653" t="s">
        <v>5618</v>
      </c>
      <c r="D653" t="s">
        <v>7001</v>
      </c>
      <c r="E653" t="s">
        <v>7002</v>
      </c>
    </row>
    <row r="654" spans="1:5" x14ac:dyDescent="0.3">
      <c r="A654" t="s">
        <v>4273</v>
      </c>
      <c r="B654" t="s">
        <v>5607</v>
      </c>
      <c r="C654" t="s">
        <v>5703</v>
      </c>
      <c r="D654" t="s">
        <v>7003</v>
      </c>
      <c r="E654" t="s">
        <v>7004</v>
      </c>
    </row>
    <row r="655" spans="1:5" x14ac:dyDescent="0.3">
      <c r="A655" t="s">
        <v>2626</v>
      </c>
      <c r="B655" t="s">
        <v>5621</v>
      </c>
      <c r="C655" t="s">
        <v>5618</v>
      </c>
      <c r="D655" t="s">
        <v>7005</v>
      </c>
      <c r="E655" t="s">
        <v>7006</v>
      </c>
    </row>
    <row r="656" spans="1:5" x14ac:dyDescent="0.3">
      <c r="A656" t="s">
        <v>1991</v>
      </c>
      <c r="B656" t="s">
        <v>5624</v>
      </c>
      <c r="C656" t="s">
        <v>5604</v>
      </c>
      <c r="D656" t="s">
        <v>7007</v>
      </c>
      <c r="E656" t="s">
        <v>7008</v>
      </c>
    </row>
    <row r="657" spans="1:5" x14ac:dyDescent="0.3">
      <c r="A657" t="s">
        <v>1435</v>
      </c>
      <c r="B657" t="s">
        <v>5673</v>
      </c>
      <c r="C657" t="s">
        <v>5632</v>
      </c>
      <c r="D657" t="s">
        <v>7009</v>
      </c>
      <c r="E657" t="s">
        <v>7010</v>
      </c>
    </row>
    <row r="658" spans="1:5" x14ac:dyDescent="0.3">
      <c r="A658" t="s">
        <v>3306</v>
      </c>
      <c r="B658" t="s">
        <v>5607</v>
      </c>
      <c r="C658" t="s">
        <v>5611</v>
      </c>
      <c r="D658" t="s">
        <v>7011</v>
      </c>
      <c r="E658" t="s">
        <v>7012</v>
      </c>
    </row>
    <row r="659" spans="1:5" x14ac:dyDescent="0.3">
      <c r="A659" t="s">
        <v>168</v>
      </c>
      <c r="B659" t="s">
        <v>5673</v>
      </c>
      <c r="C659" t="s">
        <v>5703</v>
      </c>
      <c r="D659" t="s">
        <v>7013</v>
      </c>
      <c r="E659" t="s">
        <v>7014</v>
      </c>
    </row>
    <row r="660" spans="1:5" x14ac:dyDescent="0.3">
      <c r="A660" t="s">
        <v>1640</v>
      </c>
      <c r="B660" t="s">
        <v>5607</v>
      </c>
      <c r="C660" t="s">
        <v>5678</v>
      </c>
      <c r="D660" t="s">
        <v>7015</v>
      </c>
      <c r="E660" t="s">
        <v>7016</v>
      </c>
    </row>
    <row r="661" spans="1:5" x14ac:dyDescent="0.3">
      <c r="A661" t="s">
        <v>2143</v>
      </c>
      <c r="B661" t="s">
        <v>5639</v>
      </c>
      <c r="C661" t="s">
        <v>5608</v>
      </c>
      <c r="D661" t="s">
        <v>7017</v>
      </c>
      <c r="E661" t="s">
        <v>7018</v>
      </c>
    </row>
    <row r="662" spans="1:5" x14ac:dyDescent="0.3">
      <c r="A662" t="s">
        <v>1679</v>
      </c>
      <c r="B662" t="s">
        <v>5614</v>
      </c>
      <c r="C662" t="s">
        <v>5608</v>
      </c>
      <c r="D662" t="s">
        <v>7019</v>
      </c>
      <c r="E662" t="s">
        <v>7020</v>
      </c>
    </row>
    <row r="663" spans="1:5" x14ac:dyDescent="0.3">
      <c r="A663" t="s">
        <v>806</v>
      </c>
      <c r="B663" t="s">
        <v>5673</v>
      </c>
      <c r="C663" t="s">
        <v>5608</v>
      </c>
      <c r="D663" t="s">
        <v>7021</v>
      </c>
      <c r="E663" t="s">
        <v>7022</v>
      </c>
    </row>
    <row r="664" spans="1:5" x14ac:dyDescent="0.3">
      <c r="A664" t="s">
        <v>5169</v>
      </c>
      <c r="B664" t="s">
        <v>5685</v>
      </c>
      <c r="C664" t="s">
        <v>5599</v>
      </c>
      <c r="D664" t="s">
        <v>7023</v>
      </c>
      <c r="E664" t="s">
        <v>7024</v>
      </c>
    </row>
    <row r="665" spans="1:5" x14ac:dyDescent="0.3">
      <c r="A665" t="s">
        <v>1573</v>
      </c>
      <c r="B665" t="s">
        <v>5685</v>
      </c>
      <c r="C665" t="s">
        <v>5604</v>
      </c>
      <c r="D665" t="s">
        <v>7025</v>
      </c>
      <c r="E665" t="s">
        <v>7026</v>
      </c>
    </row>
    <row r="666" spans="1:5" x14ac:dyDescent="0.3">
      <c r="A666" t="s">
        <v>7027</v>
      </c>
      <c r="B666" t="s">
        <v>5673</v>
      </c>
      <c r="C666" t="s">
        <v>5632</v>
      </c>
      <c r="D666" t="s">
        <v>7028</v>
      </c>
      <c r="E666" t="s">
        <v>7029</v>
      </c>
    </row>
    <row r="667" spans="1:5" x14ac:dyDescent="0.3">
      <c r="A667" t="s">
        <v>2429</v>
      </c>
      <c r="B667" t="s">
        <v>5603</v>
      </c>
      <c r="C667" t="s">
        <v>5604</v>
      </c>
      <c r="D667" t="s">
        <v>7030</v>
      </c>
      <c r="E667" t="s">
        <v>7031</v>
      </c>
    </row>
    <row r="668" spans="1:5" x14ac:dyDescent="0.3">
      <c r="A668" t="s">
        <v>4701</v>
      </c>
      <c r="B668" t="s">
        <v>5624</v>
      </c>
      <c r="C668" t="s">
        <v>5703</v>
      </c>
      <c r="D668" t="s">
        <v>7032</v>
      </c>
      <c r="E668" t="s">
        <v>7033</v>
      </c>
    </row>
    <row r="669" spans="1:5" x14ac:dyDescent="0.3">
      <c r="A669" t="s">
        <v>3266</v>
      </c>
      <c r="B669" t="s">
        <v>5614</v>
      </c>
      <c r="C669" t="s">
        <v>5608</v>
      </c>
      <c r="D669" t="s">
        <v>7034</v>
      </c>
      <c r="E669" t="s">
        <v>7035</v>
      </c>
    </row>
    <row r="670" spans="1:5" x14ac:dyDescent="0.3">
      <c r="A670" t="s">
        <v>5262</v>
      </c>
      <c r="B670" t="s">
        <v>5614</v>
      </c>
      <c r="C670" t="s">
        <v>5703</v>
      </c>
      <c r="D670" t="s">
        <v>7036</v>
      </c>
      <c r="E670" t="s">
        <v>7037</v>
      </c>
    </row>
    <row r="671" spans="1:5" x14ac:dyDescent="0.3">
      <c r="A671" t="s">
        <v>2712</v>
      </c>
      <c r="B671" t="s">
        <v>5639</v>
      </c>
      <c r="C671" t="s">
        <v>5618</v>
      </c>
      <c r="D671" t="s">
        <v>7038</v>
      </c>
      <c r="E671" t="s">
        <v>7039</v>
      </c>
    </row>
    <row r="672" spans="1:5" x14ac:dyDescent="0.3">
      <c r="A672" t="s">
        <v>2087</v>
      </c>
      <c r="B672" t="s">
        <v>5621</v>
      </c>
      <c r="C672" t="s">
        <v>5608</v>
      </c>
      <c r="D672" t="s">
        <v>7040</v>
      </c>
      <c r="E672" t="s">
        <v>7041</v>
      </c>
    </row>
    <row r="673" spans="1:5" x14ac:dyDescent="0.3">
      <c r="A673" t="s">
        <v>3390</v>
      </c>
      <c r="B673" t="s">
        <v>5624</v>
      </c>
      <c r="C673" t="s">
        <v>5627</v>
      </c>
      <c r="D673" t="s">
        <v>7042</v>
      </c>
      <c r="E673" t="s">
        <v>7043</v>
      </c>
    </row>
    <row r="674" spans="1:5" x14ac:dyDescent="0.3">
      <c r="A674" t="s">
        <v>570</v>
      </c>
      <c r="B674" t="s">
        <v>5624</v>
      </c>
      <c r="C674" t="s">
        <v>5599</v>
      </c>
      <c r="D674" t="s">
        <v>7044</v>
      </c>
      <c r="E674" t="s">
        <v>7045</v>
      </c>
    </row>
    <row r="675" spans="1:5" x14ac:dyDescent="0.3">
      <c r="A675" t="s">
        <v>944</v>
      </c>
      <c r="B675" t="s">
        <v>5617</v>
      </c>
      <c r="C675" t="s">
        <v>5678</v>
      </c>
      <c r="D675" t="s">
        <v>7046</v>
      </c>
      <c r="E675" t="s">
        <v>7047</v>
      </c>
    </row>
    <row r="676" spans="1:5" x14ac:dyDescent="0.3">
      <c r="A676" t="s">
        <v>2632</v>
      </c>
      <c r="B676" t="s">
        <v>5607</v>
      </c>
      <c r="C676" t="s">
        <v>5608</v>
      </c>
      <c r="D676" t="s">
        <v>7048</v>
      </c>
      <c r="E676" t="s">
        <v>7049</v>
      </c>
    </row>
    <row r="677" spans="1:5" x14ac:dyDescent="0.3">
      <c r="A677" t="s">
        <v>7050</v>
      </c>
      <c r="B677" t="s">
        <v>5621</v>
      </c>
      <c r="C677" t="s">
        <v>5627</v>
      </c>
      <c r="D677" t="s">
        <v>7051</v>
      </c>
      <c r="E677" t="s">
        <v>7052</v>
      </c>
    </row>
    <row r="678" spans="1:5" x14ac:dyDescent="0.3">
      <c r="A678" t="s">
        <v>7053</v>
      </c>
      <c r="B678" t="s">
        <v>5617</v>
      </c>
      <c r="C678" t="s">
        <v>5611</v>
      </c>
      <c r="D678" t="s">
        <v>7054</v>
      </c>
      <c r="E678" t="s">
        <v>7055</v>
      </c>
    </row>
    <row r="679" spans="1:5" x14ac:dyDescent="0.3">
      <c r="A679" t="s">
        <v>4634</v>
      </c>
      <c r="B679" t="s">
        <v>5614</v>
      </c>
      <c r="C679" t="s">
        <v>5599</v>
      </c>
      <c r="D679" t="s">
        <v>7056</v>
      </c>
      <c r="E679" t="s">
        <v>7057</v>
      </c>
    </row>
    <row r="680" spans="1:5" x14ac:dyDescent="0.3">
      <c r="A680" t="s">
        <v>871</v>
      </c>
      <c r="B680" t="s">
        <v>5598</v>
      </c>
      <c r="C680" t="s">
        <v>5655</v>
      </c>
      <c r="D680" t="s">
        <v>7058</v>
      </c>
      <c r="E680" t="s">
        <v>7059</v>
      </c>
    </row>
    <row r="681" spans="1:5" x14ac:dyDescent="0.3">
      <c r="A681" t="s">
        <v>875</v>
      </c>
      <c r="B681" t="s">
        <v>5614</v>
      </c>
      <c r="C681" t="s">
        <v>5627</v>
      </c>
      <c r="D681" t="s">
        <v>7060</v>
      </c>
      <c r="E681" t="s">
        <v>7061</v>
      </c>
    </row>
    <row r="682" spans="1:5" x14ac:dyDescent="0.3">
      <c r="A682" t="s">
        <v>2575</v>
      </c>
      <c r="B682" t="s">
        <v>5614</v>
      </c>
      <c r="C682" t="s">
        <v>5627</v>
      </c>
      <c r="D682" t="s">
        <v>7062</v>
      </c>
      <c r="E682" t="s">
        <v>7063</v>
      </c>
    </row>
    <row r="683" spans="1:5" x14ac:dyDescent="0.3">
      <c r="A683" t="s">
        <v>4378</v>
      </c>
      <c r="B683" t="s">
        <v>5598</v>
      </c>
      <c r="C683" t="s">
        <v>5608</v>
      </c>
      <c r="D683" t="s">
        <v>7064</v>
      </c>
      <c r="E683" t="s">
        <v>7065</v>
      </c>
    </row>
    <row r="684" spans="1:5" x14ac:dyDescent="0.3">
      <c r="A684" t="s">
        <v>1773</v>
      </c>
      <c r="B684" t="s">
        <v>5685</v>
      </c>
      <c r="C684" t="s">
        <v>5611</v>
      </c>
      <c r="D684" t="s">
        <v>7066</v>
      </c>
      <c r="E684" t="s">
        <v>7067</v>
      </c>
    </row>
    <row r="685" spans="1:5" x14ac:dyDescent="0.3">
      <c r="A685" t="s">
        <v>1306</v>
      </c>
      <c r="B685" t="s">
        <v>5598</v>
      </c>
      <c r="C685" t="s">
        <v>5608</v>
      </c>
      <c r="D685" t="s">
        <v>7068</v>
      </c>
      <c r="E685" t="s">
        <v>7069</v>
      </c>
    </row>
    <row r="686" spans="1:5" x14ac:dyDescent="0.3">
      <c r="A686" t="s">
        <v>3152</v>
      </c>
      <c r="B686" t="s">
        <v>5685</v>
      </c>
      <c r="C686" t="s">
        <v>5611</v>
      </c>
      <c r="D686" t="s">
        <v>7070</v>
      </c>
      <c r="E686" t="s">
        <v>7071</v>
      </c>
    </row>
    <row r="687" spans="1:5" x14ac:dyDescent="0.3">
      <c r="A687" t="s">
        <v>1342</v>
      </c>
      <c r="B687" t="s">
        <v>5617</v>
      </c>
      <c r="C687" t="s">
        <v>5655</v>
      </c>
      <c r="D687" t="s">
        <v>7072</v>
      </c>
      <c r="E687" t="s">
        <v>7073</v>
      </c>
    </row>
    <row r="688" spans="1:5" x14ac:dyDescent="0.3">
      <c r="A688" t="s">
        <v>1153</v>
      </c>
      <c r="B688" t="s">
        <v>5624</v>
      </c>
      <c r="C688" t="s">
        <v>5678</v>
      </c>
      <c r="D688" t="s">
        <v>7074</v>
      </c>
      <c r="E688" t="s">
        <v>7075</v>
      </c>
    </row>
    <row r="689" spans="1:5" x14ac:dyDescent="0.3">
      <c r="A689" t="s">
        <v>3127</v>
      </c>
      <c r="B689" t="s">
        <v>5617</v>
      </c>
      <c r="C689" t="s">
        <v>5608</v>
      </c>
      <c r="D689" t="s">
        <v>7076</v>
      </c>
      <c r="E689" t="s">
        <v>7077</v>
      </c>
    </row>
    <row r="690" spans="1:5" x14ac:dyDescent="0.3">
      <c r="A690" t="s">
        <v>7078</v>
      </c>
      <c r="B690" t="s">
        <v>5624</v>
      </c>
      <c r="C690" t="s">
        <v>5611</v>
      </c>
      <c r="D690" t="s">
        <v>7079</v>
      </c>
      <c r="E690" t="s">
        <v>7080</v>
      </c>
    </row>
    <row r="691" spans="1:5" x14ac:dyDescent="0.3">
      <c r="A691" t="s">
        <v>3393</v>
      </c>
      <c r="B691" t="s">
        <v>5639</v>
      </c>
      <c r="C691" t="s">
        <v>5611</v>
      </c>
      <c r="D691" t="s">
        <v>7081</v>
      </c>
      <c r="E691" t="s">
        <v>7082</v>
      </c>
    </row>
    <row r="692" spans="1:5" x14ac:dyDescent="0.3">
      <c r="A692" t="s">
        <v>679</v>
      </c>
      <c r="B692" t="s">
        <v>5685</v>
      </c>
      <c r="C692" t="s">
        <v>5608</v>
      </c>
      <c r="D692" t="s">
        <v>7083</v>
      </c>
      <c r="E692" t="s">
        <v>7084</v>
      </c>
    </row>
    <row r="693" spans="1:5" x14ac:dyDescent="0.3">
      <c r="A693" t="s">
        <v>1528</v>
      </c>
      <c r="B693" t="s">
        <v>5603</v>
      </c>
      <c r="C693" t="s">
        <v>5678</v>
      </c>
      <c r="D693" t="s">
        <v>7085</v>
      </c>
      <c r="E693" t="s">
        <v>7086</v>
      </c>
    </row>
    <row r="694" spans="1:5" x14ac:dyDescent="0.3">
      <c r="A694" t="s">
        <v>7087</v>
      </c>
      <c r="B694" t="s">
        <v>5598</v>
      </c>
      <c r="C694" t="s">
        <v>5703</v>
      </c>
      <c r="D694" t="s">
        <v>7088</v>
      </c>
      <c r="E694" t="s">
        <v>7089</v>
      </c>
    </row>
    <row r="695" spans="1:5" x14ac:dyDescent="0.3">
      <c r="A695" t="s">
        <v>396</v>
      </c>
      <c r="B695" t="s">
        <v>5624</v>
      </c>
      <c r="C695" t="s">
        <v>5599</v>
      </c>
      <c r="D695" t="s">
        <v>7090</v>
      </c>
      <c r="E695" t="s">
        <v>7091</v>
      </c>
    </row>
    <row r="696" spans="1:5" x14ac:dyDescent="0.3">
      <c r="A696" t="s">
        <v>3722</v>
      </c>
      <c r="B696" t="s">
        <v>5673</v>
      </c>
      <c r="C696" t="s">
        <v>5627</v>
      </c>
      <c r="D696" t="s">
        <v>7092</v>
      </c>
      <c r="E696" t="s">
        <v>7093</v>
      </c>
    </row>
    <row r="697" spans="1:5" x14ac:dyDescent="0.3">
      <c r="A697" t="s">
        <v>5385</v>
      </c>
      <c r="B697" t="s">
        <v>5598</v>
      </c>
      <c r="C697" t="s">
        <v>5604</v>
      </c>
      <c r="D697" t="s">
        <v>7094</v>
      </c>
      <c r="E697" t="s">
        <v>7095</v>
      </c>
    </row>
    <row r="698" spans="1:5" x14ac:dyDescent="0.3">
      <c r="A698" t="s">
        <v>527</v>
      </c>
      <c r="B698" t="s">
        <v>5607</v>
      </c>
      <c r="C698" t="s">
        <v>5599</v>
      </c>
      <c r="D698" t="s">
        <v>7096</v>
      </c>
      <c r="E698" t="s">
        <v>7097</v>
      </c>
    </row>
    <row r="699" spans="1:5" x14ac:dyDescent="0.3">
      <c r="A699" t="s">
        <v>7098</v>
      </c>
      <c r="B699" t="s">
        <v>5607</v>
      </c>
      <c r="C699" t="s">
        <v>5618</v>
      </c>
      <c r="D699" t="s">
        <v>7099</v>
      </c>
      <c r="E699" t="s">
        <v>7100</v>
      </c>
    </row>
    <row r="700" spans="1:5" x14ac:dyDescent="0.3">
      <c r="A700" t="s">
        <v>1507</v>
      </c>
      <c r="B700" t="s">
        <v>5607</v>
      </c>
      <c r="C700" t="s">
        <v>5678</v>
      </c>
      <c r="D700" t="s">
        <v>7101</v>
      </c>
      <c r="E700" t="s">
        <v>7102</v>
      </c>
    </row>
    <row r="701" spans="1:5" x14ac:dyDescent="0.3">
      <c r="A701" t="s">
        <v>7103</v>
      </c>
      <c r="B701" t="s">
        <v>5685</v>
      </c>
      <c r="C701" t="s">
        <v>5599</v>
      </c>
      <c r="D701" t="s">
        <v>7104</v>
      </c>
      <c r="E701" t="s">
        <v>7105</v>
      </c>
    </row>
    <row r="702" spans="1:5" x14ac:dyDescent="0.3">
      <c r="A702" t="s">
        <v>3536</v>
      </c>
      <c r="B702" t="s">
        <v>5614</v>
      </c>
      <c r="C702" t="s">
        <v>5618</v>
      </c>
      <c r="D702" t="s">
        <v>7106</v>
      </c>
      <c r="E702" t="s">
        <v>7107</v>
      </c>
    </row>
    <row r="703" spans="1:5" x14ac:dyDescent="0.3">
      <c r="A703" t="s">
        <v>4003</v>
      </c>
      <c r="B703" t="s">
        <v>5639</v>
      </c>
      <c r="C703" t="s">
        <v>5632</v>
      </c>
      <c r="D703" t="s">
        <v>7108</v>
      </c>
      <c r="E703" t="s">
        <v>7109</v>
      </c>
    </row>
    <row r="704" spans="1:5" x14ac:dyDescent="0.3">
      <c r="A704" t="s">
        <v>7110</v>
      </c>
      <c r="B704" t="s">
        <v>5614</v>
      </c>
      <c r="C704" t="s">
        <v>5627</v>
      </c>
      <c r="D704" t="s">
        <v>7111</v>
      </c>
      <c r="E704" t="s">
        <v>7112</v>
      </c>
    </row>
    <row r="705" spans="1:5" x14ac:dyDescent="0.3">
      <c r="A705" t="s">
        <v>3545</v>
      </c>
      <c r="B705" t="s">
        <v>5621</v>
      </c>
      <c r="C705" t="s">
        <v>5627</v>
      </c>
      <c r="D705" t="s">
        <v>7113</v>
      </c>
      <c r="E705" t="s">
        <v>7114</v>
      </c>
    </row>
    <row r="706" spans="1:5" x14ac:dyDescent="0.3">
      <c r="A706" t="s">
        <v>7115</v>
      </c>
      <c r="B706" t="s">
        <v>5685</v>
      </c>
      <c r="C706" t="s">
        <v>5604</v>
      </c>
      <c r="D706" t="s">
        <v>7116</v>
      </c>
      <c r="E706" t="s">
        <v>7117</v>
      </c>
    </row>
    <row r="707" spans="1:5" x14ac:dyDescent="0.3">
      <c r="A707" t="s">
        <v>1183</v>
      </c>
      <c r="B707" t="s">
        <v>5685</v>
      </c>
      <c r="C707" t="s">
        <v>5703</v>
      </c>
      <c r="D707" t="s">
        <v>7118</v>
      </c>
      <c r="E707" t="s">
        <v>7119</v>
      </c>
    </row>
    <row r="708" spans="1:5" x14ac:dyDescent="0.3">
      <c r="A708" t="s">
        <v>2673</v>
      </c>
      <c r="B708" t="s">
        <v>5621</v>
      </c>
      <c r="C708" t="s">
        <v>5627</v>
      </c>
      <c r="D708" t="s">
        <v>7120</v>
      </c>
      <c r="E708" t="s">
        <v>7121</v>
      </c>
    </row>
    <row r="709" spans="1:5" x14ac:dyDescent="0.3">
      <c r="A709" t="s">
        <v>7122</v>
      </c>
      <c r="B709" t="s">
        <v>5617</v>
      </c>
      <c r="C709" t="s">
        <v>5618</v>
      </c>
      <c r="D709" t="s">
        <v>7123</v>
      </c>
      <c r="E709" t="s">
        <v>7124</v>
      </c>
    </row>
    <row r="710" spans="1:5" x14ac:dyDescent="0.3">
      <c r="A710" t="s">
        <v>2426</v>
      </c>
      <c r="B710" t="s">
        <v>5614</v>
      </c>
      <c r="C710" t="s">
        <v>5627</v>
      </c>
      <c r="D710" t="s">
        <v>7125</v>
      </c>
      <c r="E710" t="s">
        <v>7126</v>
      </c>
    </row>
    <row r="711" spans="1:5" x14ac:dyDescent="0.3">
      <c r="A711" t="s">
        <v>1818</v>
      </c>
      <c r="B711" t="s">
        <v>5607</v>
      </c>
      <c r="C711" t="s">
        <v>5627</v>
      </c>
      <c r="D711" t="s">
        <v>7127</v>
      </c>
      <c r="E711" t="s">
        <v>7128</v>
      </c>
    </row>
    <row r="712" spans="1:5" x14ac:dyDescent="0.3">
      <c r="A712" t="s">
        <v>640</v>
      </c>
      <c r="B712" t="s">
        <v>5603</v>
      </c>
      <c r="C712" t="s">
        <v>5678</v>
      </c>
      <c r="D712" t="s">
        <v>7129</v>
      </c>
      <c r="E712" t="s">
        <v>7130</v>
      </c>
    </row>
    <row r="713" spans="1:5" x14ac:dyDescent="0.3">
      <c r="A713" t="s">
        <v>1430</v>
      </c>
      <c r="B713" t="s">
        <v>5685</v>
      </c>
      <c r="C713" t="s">
        <v>5703</v>
      </c>
      <c r="D713" t="s">
        <v>7131</v>
      </c>
      <c r="E713" t="s">
        <v>7132</v>
      </c>
    </row>
    <row r="714" spans="1:5" x14ac:dyDescent="0.3">
      <c r="A714" t="s">
        <v>242</v>
      </c>
      <c r="B714" t="s">
        <v>5673</v>
      </c>
      <c r="C714" t="s">
        <v>5608</v>
      </c>
      <c r="D714" t="s">
        <v>7133</v>
      </c>
      <c r="E714" t="s">
        <v>7134</v>
      </c>
    </row>
    <row r="715" spans="1:5" x14ac:dyDescent="0.3">
      <c r="A715" t="s">
        <v>2292</v>
      </c>
      <c r="B715" t="s">
        <v>5624</v>
      </c>
      <c r="C715" t="s">
        <v>5678</v>
      </c>
      <c r="D715" t="s">
        <v>7135</v>
      </c>
      <c r="E715" t="s">
        <v>7136</v>
      </c>
    </row>
    <row r="716" spans="1:5" x14ac:dyDescent="0.3">
      <c r="A716" t="s">
        <v>2011</v>
      </c>
      <c r="B716" t="s">
        <v>5621</v>
      </c>
      <c r="C716" t="s">
        <v>5678</v>
      </c>
      <c r="D716" t="s">
        <v>7137</v>
      </c>
      <c r="E716" t="s">
        <v>7138</v>
      </c>
    </row>
    <row r="717" spans="1:5" x14ac:dyDescent="0.3">
      <c r="A717" t="s">
        <v>4145</v>
      </c>
      <c r="B717" t="s">
        <v>5685</v>
      </c>
      <c r="C717" t="s">
        <v>5703</v>
      </c>
      <c r="D717" t="s">
        <v>7139</v>
      </c>
      <c r="E717" t="s">
        <v>7140</v>
      </c>
    </row>
    <row r="718" spans="1:5" x14ac:dyDescent="0.3">
      <c r="A718" t="s">
        <v>637</v>
      </c>
      <c r="B718" t="s">
        <v>5624</v>
      </c>
      <c r="C718" t="s">
        <v>5678</v>
      </c>
      <c r="D718" t="s">
        <v>7141</v>
      </c>
      <c r="E718" t="s">
        <v>7142</v>
      </c>
    </row>
    <row r="719" spans="1:5" x14ac:dyDescent="0.3">
      <c r="A719" t="s">
        <v>7143</v>
      </c>
      <c r="B719" t="s">
        <v>5673</v>
      </c>
      <c r="C719" t="s">
        <v>5627</v>
      </c>
      <c r="D719" t="s">
        <v>7144</v>
      </c>
      <c r="E719" t="s">
        <v>7145</v>
      </c>
    </row>
    <row r="720" spans="1:5" x14ac:dyDescent="0.3">
      <c r="A720" t="s">
        <v>2905</v>
      </c>
      <c r="B720" t="s">
        <v>5603</v>
      </c>
      <c r="C720" t="s">
        <v>5678</v>
      </c>
      <c r="D720" t="s">
        <v>7146</v>
      </c>
      <c r="E720" t="s">
        <v>7147</v>
      </c>
    </row>
    <row r="721" spans="1:5" x14ac:dyDescent="0.3">
      <c r="A721" t="s">
        <v>767</v>
      </c>
      <c r="B721" t="s">
        <v>5603</v>
      </c>
      <c r="C721" t="s">
        <v>5655</v>
      </c>
      <c r="D721" t="s">
        <v>7148</v>
      </c>
      <c r="E721" t="s">
        <v>7149</v>
      </c>
    </row>
    <row r="722" spans="1:5" x14ac:dyDescent="0.3">
      <c r="A722" t="s">
        <v>4239</v>
      </c>
      <c r="B722" t="s">
        <v>5624</v>
      </c>
      <c r="C722" t="s">
        <v>5604</v>
      </c>
      <c r="D722" t="s">
        <v>7150</v>
      </c>
      <c r="E722" t="s">
        <v>7151</v>
      </c>
    </row>
    <row r="723" spans="1:5" x14ac:dyDescent="0.3">
      <c r="A723" t="s">
        <v>1752</v>
      </c>
      <c r="B723" t="s">
        <v>5603</v>
      </c>
      <c r="C723" t="s">
        <v>5618</v>
      </c>
      <c r="D723" t="s">
        <v>7152</v>
      </c>
      <c r="E723" t="s">
        <v>7153</v>
      </c>
    </row>
    <row r="724" spans="1:5" x14ac:dyDescent="0.3">
      <c r="A724" t="s">
        <v>653</v>
      </c>
      <c r="B724" t="s">
        <v>5598</v>
      </c>
      <c r="C724" t="s">
        <v>5618</v>
      </c>
      <c r="D724" t="s">
        <v>7154</v>
      </c>
      <c r="E724" t="s">
        <v>7155</v>
      </c>
    </row>
    <row r="725" spans="1:5" x14ac:dyDescent="0.3">
      <c r="A725" t="s">
        <v>4915</v>
      </c>
      <c r="B725" t="s">
        <v>5614</v>
      </c>
      <c r="C725" t="s">
        <v>5618</v>
      </c>
      <c r="D725" t="s">
        <v>7156</v>
      </c>
      <c r="E725" t="s">
        <v>7157</v>
      </c>
    </row>
    <row r="726" spans="1:5" x14ac:dyDescent="0.3">
      <c r="A726" t="s">
        <v>1876</v>
      </c>
      <c r="B726" t="s">
        <v>5617</v>
      </c>
      <c r="C726" t="s">
        <v>5604</v>
      </c>
      <c r="D726" t="s">
        <v>7158</v>
      </c>
      <c r="E726" t="s">
        <v>7159</v>
      </c>
    </row>
    <row r="727" spans="1:5" x14ac:dyDescent="0.3">
      <c r="A727" t="s">
        <v>1978</v>
      </c>
      <c r="B727" t="s">
        <v>5685</v>
      </c>
      <c r="C727" t="s">
        <v>5599</v>
      </c>
      <c r="D727" t="s">
        <v>7160</v>
      </c>
      <c r="E727" t="s">
        <v>7161</v>
      </c>
    </row>
    <row r="728" spans="1:5" x14ac:dyDescent="0.3">
      <c r="A728" t="s">
        <v>2733</v>
      </c>
      <c r="B728" t="s">
        <v>5639</v>
      </c>
      <c r="C728" t="s">
        <v>5632</v>
      </c>
      <c r="D728" t="s">
        <v>7162</v>
      </c>
      <c r="E728" t="s">
        <v>7163</v>
      </c>
    </row>
    <row r="729" spans="1:5" x14ac:dyDescent="0.3">
      <c r="A729" t="s">
        <v>1409</v>
      </c>
      <c r="B729" t="s">
        <v>5639</v>
      </c>
      <c r="C729" t="s">
        <v>5632</v>
      </c>
      <c r="D729" t="s">
        <v>7164</v>
      </c>
      <c r="E729" t="s">
        <v>7165</v>
      </c>
    </row>
    <row r="730" spans="1:5" x14ac:dyDescent="0.3">
      <c r="A730" t="s">
        <v>1005</v>
      </c>
      <c r="B730" t="s">
        <v>5614</v>
      </c>
      <c r="C730" t="s">
        <v>5599</v>
      </c>
      <c r="D730" t="s">
        <v>7166</v>
      </c>
      <c r="E730" t="s">
        <v>7167</v>
      </c>
    </row>
    <row r="731" spans="1:5" x14ac:dyDescent="0.3">
      <c r="A731" t="s">
        <v>1631</v>
      </c>
      <c r="B731" t="s">
        <v>5614</v>
      </c>
      <c r="C731" t="s">
        <v>5608</v>
      </c>
      <c r="D731" t="s">
        <v>7168</v>
      </c>
      <c r="E731" t="s">
        <v>7169</v>
      </c>
    </row>
    <row r="732" spans="1:5" x14ac:dyDescent="0.3">
      <c r="A732" t="s">
        <v>2396</v>
      </c>
      <c r="B732" t="s">
        <v>5639</v>
      </c>
      <c r="C732" t="s">
        <v>5599</v>
      </c>
      <c r="D732" t="s">
        <v>7170</v>
      </c>
      <c r="E732" t="s">
        <v>7171</v>
      </c>
    </row>
    <row r="733" spans="1:5" x14ac:dyDescent="0.3">
      <c r="A733" t="s">
        <v>3422</v>
      </c>
      <c r="B733" t="s">
        <v>5614</v>
      </c>
      <c r="C733" t="s">
        <v>5703</v>
      </c>
      <c r="D733" t="s">
        <v>7172</v>
      </c>
      <c r="E733" t="s">
        <v>7173</v>
      </c>
    </row>
    <row r="734" spans="1:5" x14ac:dyDescent="0.3">
      <c r="A734" t="s">
        <v>2389</v>
      </c>
      <c r="B734" t="s">
        <v>5621</v>
      </c>
      <c r="C734" t="s">
        <v>5618</v>
      </c>
      <c r="D734" t="s">
        <v>7174</v>
      </c>
      <c r="E734" t="s">
        <v>7175</v>
      </c>
    </row>
    <row r="735" spans="1:5" x14ac:dyDescent="0.3">
      <c r="A735" t="s">
        <v>3552</v>
      </c>
      <c r="B735" t="s">
        <v>5621</v>
      </c>
      <c r="C735" t="s">
        <v>5604</v>
      </c>
      <c r="D735" t="s">
        <v>7176</v>
      </c>
      <c r="E735" t="s">
        <v>7177</v>
      </c>
    </row>
    <row r="736" spans="1:5" x14ac:dyDescent="0.3">
      <c r="A736" t="s">
        <v>7178</v>
      </c>
      <c r="B736" t="s">
        <v>5673</v>
      </c>
      <c r="C736" t="s">
        <v>5627</v>
      </c>
      <c r="D736" t="s">
        <v>7179</v>
      </c>
      <c r="E736" t="s">
        <v>7180</v>
      </c>
    </row>
    <row r="737" spans="1:5" x14ac:dyDescent="0.3">
      <c r="A737" t="s">
        <v>3644</v>
      </c>
      <c r="B737" t="s">
        <v>5617</v>
      </c>
      <c r="C737" t="s">
        <v>5604</v>
      </c>
      <c r="D737" t="s">
        <v>7181</v>
      </c>
      <c r="E737" t="s">
        <v>7182</v>
      </c>
    </row>
    <row r="738" spans="1:5" x14ac:dyDescent="0.3">
      <c r="A738" t="s">
        <v>488</v>
      </c>
      <c r="B738" t="s">
        <v>5614</v>
      </c>
      <c r="C738" t="s">
        <v>5608</v>
      </c>
      <c r="D738" t="s">
        <v>7183</v>
      </c>
      <c r="E738" t="s">
        <v>7184</v>
      </c>
    </row>
    <row r="739" spans="1:5" x14ac:dyDescent="0.3">
      <c r="A739" t="s">
        <v>1613</v>
      </c>
      <c r="B739" t="s">
        <v>5685</v>
      </c>
      <c r="C739" t="s">
        <v>5632</v>
      </c>
      <c r="D739" t="s">
        <v>7185</v>
      </c>
      <c r="E739" t="s">
        <v>7186</v>
      </c>
    </row>
    <row r="740" spans="1:5" x14ac:dyDescent="0.3">
      <c r="A740" t="s">
        <v>2034</v>
      </c>
      <c r="B740" t="s">
        <v>5598</v>
      </c>
      <c r="C740" t="s">
        <v>5678</v>
      </c>
      <c r="D740" t="s">
        <v>7187</v>
      </c>
      <c r="E740" t="s">
        <v>7188</v>
      </c>
    </row>
    <row r="741" spans="1:5" x14ac:dyDescent="0.3">
      <c r="A741" t="s">
        <v>2481</v>
      </c>
      <c r="B741" t="s">
        <v>5607</v>
      </c>
      <c r="C741" t="s">
        <v>5655</v>
      </c>
      <c r="D741" t="s">
        <v>7189</v>
      </c>
      <c r="E741" t="s">
        <v>7190</v>
      </c>
    </row>
    <row r="742" spans="1:5" x14ac:dyDescent="0.3">
      <c r="A742" t="s">
        <v>3083</v>
      </c>
      <c r="B742" t="s">
        <v>5639</v>
      </c>
      <c r="C742" t="s">
        <v>5608</v>
      </c>
      <c r="D742" t="s">
        <v>7191</v>
      </c>
      <c r="E742" t="s">
        <v>7192</v>
      </c>
    </row>
    <row r="743" spans="1:5" x14ac:dyDescent="0.3">
      <c r="A743" t="s">
        <v>1278</v>
      </c>
      <c r="B743" t="s">
        <v>5614</v>
      </c>
      <c r="C743" t="s">
        <v>5655</v>
      </c>
      <c r="D743" t="s">
        <v>7193</v>
      </c>
      <c r="E743" t="s">
        <v>7194</v>
      </c>
    </row>
    <row r="744" spans="1:5" x14ac:dyDescent="0.3">
      <c r="A744" t="s">
        <v>3764</v>
      </c>
      <c r="B744" t="s">
        <v>5607</v>
      </c>
      <c r="C744" t="s">
        <v>5632</v>
      </c>
      <c r="D744" t="s">
        <v>7195</v>
      </c>
      <c r="E744" t="s">
        <v>7196</v>
      </c>
    </row>
    <row r="745" spans="1:5" x14ac:dyDescent="0.3">
      <c r="A745" t="s">
        <v>188</v>
      </c>
      <c r="B745" t="s">
        <v>5598</v>
      </c>
      <c r="C745" t="s">
        <v>5611</v>
      </c>
      <c r="D745" t="s">
        <v>7197</v>
      </c>
      <c r="E745" t="s">
        <v>7198</v>
      </c>
    </row>
    <row r="746" spans="1:5" x14ac:dyDescent="0.3">
      <c r="A746" t="s">
        <v>2449</v>
      </c>
      <c r="B746" t="s">
        <v>5673</v>
      </c>
      <c r="C746" t="s">
        <v>5599</v>
      </c>
      <c r="D746" t="s">
        <v>7199</v>
      </c>
      <c r="E746" t="s">
        <v>7200</v>
      </c>
    </row>
    <row r="747" spans="1:5" x14ac:dyDescent="0.3">
      <c r="A747" t="s">
        <v>7201</v>
      </c>
      <c r="B747" t="s">
        <v>5621</v>
      </c>
      <c r="C747" t="s">
        <v>5599</v>
      </c>
      <c r="D747" t="s">
        <v>7202</v>
      </c>
      <c r="E747" t="s">
        <v>7203</v>
      </c>
    </row>
    <row r="748" spans="1:5" x14ac:dyDescent="0.3">
      <c r="A748" t="s">
        <v>5023</v>
      </c>
      <c r="B748" t="s">
        <v>5621</v>
      </c>
      <c r="C748" t="s">
        <v>5611</v>
      </c>
      <c r="D748" t="s">
        <v>7204</v>
      </c>
      <c r="E748" t="s">
        <v>7205</v>
      </c>
    </row>
    <row r="749" spans="1:5" x14ac:dyDescent="0.3">
      <c r="A749" t="s">
        <v>953</v>
      </c>
      <c r="B749" t="s">
        <v>5598</v>
      </c>
      <c r="C749" t="s">
        <v>5678</v>
      </c>
      <c r="D749" t="s">
        <v>7206</v>
      </c>
      <c r="E749" t="s">
        <v>7207</v>
      </c>
    </row>
    <row r="750" spans="1:5" x14ac:dyDescent="0.3">
      <c r="A750" t="s">
        <v>7208</v>
      </c>
      <c r="B750" t="s">
        <v>5607</v>
      </c>
      <c r="C750" t="s">
        <v>5632</v>
      </c>
      <c r="D750" t="s">
        <v>7209</v>
      </c>
      <c r="E750" t="s">
        <v>7210</v>
      </c>
    </row>
    <row r="751" spans="1:5" x14ac:dyDescent="0.3">
      <c r="A751" t="s">
        <v>493</v>
      </c>
      <c r="B751" t="s">
        <v>5624</v>
      </c>
      <c r="C751" t="s">
        <v>5599</v>
      </c>
      <c r="D751" t="s">
        <v>7211</v>
      </c>
      <c r="E751" t="s">
        <v>7212</v>
      </c>
    </row>
    <row r="752" spans="1:5" x14ac:dyDescent="0.3">
      <c r="A752" t="s">
        <v>1157</v>
      </c>
      <c r="B752" t="s">
        <v>5673</v>
      </c>
      <c r="C752" t="s">
        <v>5618</v>
      </c>
      <c r="D752" t="s">
        <v>7213</v>
      </c>
      <c r="E752" t="s">
        <v>7214</v>
      </c>
    </row>
    <row r="753" spans="1:5" x14ac:dyDescent="0.3">
      <c r="A753" t="s">
        <v>4142</v>
      </c>
      <c r="B753" t="s">
        <v>5607</v>
      </c>
      <c r="C753" t="s">
        <v>5604</v>
      </c>
      <c r="D753" t="s">
        <v>7215</v>
      </c>
      <c r="E753" t="s">
        <v>7216</v>
      </c>
    </row>
    <row r="754" spans="1:5" x14ac:dyDescent="0.3">
      <c r="A754" t="s">
        <v>175</v>
      </c>
      <c r="B754" t="s">
        <v>5639</v>
      </c>
      <c r="C754" t="s">
        <v>5608</v>
      </c>
      <c r="D754" t="s">
        <v>7217</v>
      </c>
      <c r="E754" t="s">
        <v>7218</v>
      </c>
    </row>
    <row r="755" spans="1:5" x14ac:dyDescent="0.3">
      <c r="A755" t="s">
        <v>3130</v>
      </c>
      <c r="B755" t="s">
        <v>5621</v>
      </c>
      <c r="C755" t="s">
        <v>5703</v>
      </c>
      <c r="D755" t="s">
        <v>7219</v>
      </c>
      <c r="E755" t="s">
        <v>7220</v>
      </c>
    </row>
    <row r="756" spans="1:5" x14ac:dyDescent="0.3">
      <c r="A756" t="s">
        <v>7221</v>
      </c>
      <c r="B756" t="s">
        <v>5673</v>
      </c>
      <c r="C756" t="s">
        <v>5604</v>
      </c>
      <c r="D756" t="s">
        <v>7222</v>
      </c>
      <c r="E756" t="s">
        <v>7223</v>
      </c>
    </row>
    <row r="757" spans="1:5" x14ac:dyDescent="0.3">
      <c r="A757" t="s">
        <v>366</v>
      </c>
      <c r="B757" t="s">
        <v>5617</v>
      </c>
      <c r="C757" t="s">
        <v>5618</v>
      </c>
      <c r="D757" t="s">
        <v>7224</v>
      </c>
      <c r="E757" t="s">
        <v>7225</v>
      </c>
    </row>
    <row r="758" spans="1:5" x14ac:dyDescent="0.3">
      <c r="A758" t="s">
        <v>3281</v>
      </c>
      <c r="B758" t="s">
        <v>5617</v>
      </c>
      <c r="C758" t="s">
        <v>5703</v>
      </c>
      <c r="D758" t="s">
        <v>7226</v>
      </c>
      <c r="E758" t="s">
        <v>7227</v>
      </c>
    </row>
    <row r="759" spans="1:5" x14ac:dyDescent="0.3">
      <c r="A759" t="s">
        <v>457</v>
      </c>
      <c r="B759" t="s">
        <v>5621</v>
      </c>
      <c r="C759" t="s">
        <v>5599</v>
      </c>
      <c r="D759" t="s">
        <v>7228</v>
      </c>
      <c r="E759" t="s">
        <v>7229</v>
      </c>
    </row>
    <row r="760" spans="1:5" x14ac:dyDescent="0.3">
      <c r="A760" t="s">
        <v>4716</v>
      </c>
      <c r="B760" t="s">
        <v>5617</v>
      </c>
      <c r="C760" t="s">
        <v>5611</v>
      </c>
      <c r="D760" t="s">
        <v>7230</v>
      </c>
      <c r="E760" t="s">
        <v>7231</v>
      </c>
    </row>
    <row r="761" spans="1:5" x14ac:dyDescent="0.3">
      <c r="A761" t="s">
        <v>1930</v>
      </c>
      <c r="B761" t="s">
        <v>5614</v>
      </c>
      <c r="C761" t="s">
        <v>5611</v>
      </c>
      <c r="D761" t="s">
        <v>7232</v>
      </c>
      <c r="E761" t="s">
        <v>7233</v>
      </c>
    </row>
    <row r="762" spans="1:5" x14ac:dyDescent="0.3">
      <c r="A762" t="s">
        <v>3984</v>
      </c>
      <c r="B762" t="s">
        <v>5624</v>
      </c>
      <c r="C762" t="s">
        <v>5608</v>
      </c>
      <c r="D762" t="s">
        <v>7234</v>
      </c>
      <c r="E762" t="s">
        <v>7235</v>
      </c>
    </row>
    <row r="763" spans="1:5" x14ac:dyDescent="0.3">
      <c r="A763" t="s">
        <v>4115</v>
      </c>
      <c r="B763" t="s">
        <v>5624</v>
      </c>
      <c r="C763" t="s">
        <v>5599</v>
      </c>
      <c r="D763" t="s">
        <v>7236</v>
      </c>
      <c r="E763" t="s">
        <v>7237</v>
      </c>
    </row>
    <row r="764" spans="1:5" x14ac:dyDescent="0.3">
      <c r="A764" t="s">
        <v>3303</v>
      </c>
      <c r="B764" t="s">
        <v>5673</v>
      </c>
      <c r="C764" t="s">
        <v>5655</v>
      </c>
      <c r="D764" t="s">
        <v>7238</v>
      </c>
      <c r="E764" t="s">
        <v>7239</v>
      </c>
    </row>
    <row r="765" spans="1:5" x14ac:dyDescent="0.3">
      <c r="A765" t="s">
        <v>371</v>
      </c>
      <c r="B765" t="s">
        <v>5614</v>
      </c>
      <c r="C765" t="s">
        <v>5611</v>
      </c>
      <c r="D765" t="s">
        <v>7240</v>
      </c>
      <c r="E765" t="s">
        <v>7241</v>
      </c>
    </row>
    <row r="766" spans="1:5" x14ac:dyDescent="0.3">
      <c r="A766" t="s">
        <v>3228</v>
      </c>
      <c r="B766" t="s">
        <v>5621</v>
      </c>
      <c r="C766" t="s">
        <v>5655</v>
      </c>
      <c r="D766" t="s">
        <v>7242</v>
      </c>
      <c r="E766" t="s">
        <v>7243</v>
      </c>
    </row>
    <row r="767" spans="1:5" x14ac:dyDescent="0.3">
      <c r="A767" t="s">
        <v>1535</v>
      </c>
      <c r="B767" t="s">
        <v>5639</v>
      </c>
      <c r="C767" t="s">
        <v>5632</v>
      </c>
      <c r="D767" t="s">
        <v>7244</v>
      </c>
      <c r="E767" t="s">
        <v>7245</v>
      </c>
    </row>
    <row r="768" spans="1:5" x14ac:dyDescent="0.3">
      <c r="A768" t="s">
        <v>2826</v>
      </c>
      <c r="B768" t="s">
        <v>5624</v>
      </c>
      <c r="C768" t="s">
        <v>5632</v>
      </c>
      <c r="D768" t="s">
        <v>7246</v>
      </c>
      <c r="E768" t="s">
        <v>7247</v>
      </c>
    </row>
    <row r="769" spans="1:5" x14ac:dyDescent="0.3">
      <c r="A769" t="s">
        <v>747</v>
      </c>
      <c r="B769" t="s">
        <v>5617</v>
      </c>
      <c r="C769" t="s">
        <v>5703</v>
      </c>
      <c r="D769" t="s">
        <v>7248</v>
      </c>
      <c r="E769" t="s">
        <v>7249</v>
      </c>
    </row>
    <row r="770" spans="1:5" x14ac:dyDescent="0.3">
      <c r="A770" t="s">
        <v>1805</v>
      </c>
      <c r="B770" t="s">
        <v>5673</v>
      </c>
      <c r="C770" t="s">
        <v>5632</v>
      </c>
      <c r="D770" t="s">
        <v>7250</v>
      </c>
      <c r="E770" t="s">
        <v>7251</v>
      </c>
    </row>
    <row r="771" spans="1:5" x14ac:dyDescent="0.3">
      <c r="A771" t="s">
        <v>7252</v>
      </c>
      <c r="B771" t="s">
        <v>5607</v>
      </c>
      <c r="C771" t="s">
        <v>5632</v>
      </c>
      <c r="D771" t="s">
        <v>7253</v>
      </c>
      <c r="E771" t="s">
        <v>7254</v>
      </c>
    </row>
    <row r="772" spans="1:5" x14ac:dyDescent="0.3">
      <c r="A772" t="s">
        <v>2254</v>
      </c>
      <c r="B772" t="s">
        <v>5639</v>
      </c>
      <c r="C772" t="s">
        <v>5632</v>
      </c>
      <c r="D772" t="s">
        <v>7255</v>
      </c>
      <c r="E772" t="s">
        <v>7256</v>
      </c>
    </row>
    <row r="773" spans="1:5" x14ac:dyDescent="0.3">
      <c r="A773" t="s">
        <v>545</v>
      </c>
      <c r="B773" t="s">
        <v>5614</v>
      </c>
      <c r="C773" t="s">
        <v>5627</v>
      </c>
      <c r="D773" t="s">
        <v>7257</v>
      </c>
      <c r="E773" t="s">
        <v>7258</v>
      </c>
    </row>
    <row r="774" spans="1:5" x14ac:dyDescent="0.3">
      <c r="A774" t="s">
        <v>13</v>
      </c>
      <c r="B774" t="s">
        <v>5617</v>
      </c>
      <c r="C774" t="s">
        <v>5618</v>
      </c>
      <c r="D774" t="s">
        <v>7259</v>
      </c>
      <c r="E774" t="s">
        <v>7260</v>
      </c>
    </row>
    <row r="775" spans="1:5" x14ac:dyDescent="0.3">
      <c r="A775" t="s">
        <v>3719</v>
      </c>
      <c r="B775" t="s">
        <v>5617</v>
      </c>
      <c r="C775" t="s">
        <v>5678</v>
      </c>
      <c r="D775" t="s">
        <v>7261</v>
      </c>
      <c r="E775" t="s">
        <v>7262</v>
      </c>
    </row>
    <row r="776" spans="1:5" x14ac:dyDescent="0.3">
      <c r="A776" t="s">
        <v>7263</v>
      </c>
      <c r="B776" t="s">
        <v>5673</v>
      </c>
      <c r="C776" t="s">
        <v>5627</v>
      </c>
      <c r="D776" t="s">
        <v>7264</v>
      </c>
      <c r="E776" t="s">
        <v>7265</v>
      </c>
    </row>
    <row r="777" spans="1:5" x14ac:dyDescent="0.3">
      <c r="A777" t="s">
        <v>1988</v>
      </c>
      <c r="B777" t="s">
        <v>5598</v>
      </c>
      <c r="C777" t="s">
        <v>5632</v>
      </c>
      <c r="D777" t="s">
        <v>7266</v>
      </c>
      <c r="E777" t="s">
        <v>7267</v>
      </c>
    </row>
    <row r="778" spans="1:5" x14ac:dyDescent="0.3">
      <c r="A778" t="s">
        <v>1107</v>
      </c>
      <c r="B778" t="s">
        <v>5624</v>
      </c>
      <c r="C778" t="s">
        <v>5618</v>
      </c>
      <c r="D778" t="s">
        <v>7268</v>
      </c>
      <c r="E778" t="s">
        <v>7269</v>
      </c>
    </row>
    <row r="779" spans="1:5" x14ac:dyDescent="0.3">
      <c r="A779" t="s">
        <v>230</v>
      </c>
      <c r="B779" t="s">
        <v>5617</v>
      </c>
      <c r="C779" t="s">
        <v>5627</v>
      </c>
      <c r="D779" t="s">
        <v>7270</v>
      </c>
      <c r="E779" t="s">
        <v>7271</v>
      </c>
    </row>
    <row r="780" spans="1:5" x14ac:dyDescent="0.3">
      <c r="A780" t="s">
        <v>2894</v>
      </c>
      <c r="B780" t="s">
        <v>5614</v>
      </c>
      <c r="C780" t="s">
        <v>5608</v>
      </c>
      <c r="D780" t="s">
        <v>7272</v>
      </c>
      <c r="E780" t="s">
        <v>7273</v>
      </c>
    </row>
    <row r="781" spans="1:5" x14ac:dyDescent="0.3">
      <c r="A781" t="s">
        <v>320</v>
      </c>
      <c r="B781" t="s">
        <v>5617</v>
      </c>
      <c r="C781" t="s">
        <v>5632</v>
      </c>
      <c r="D781" t="s">
        <v>7274</v>
      </c>
      <c r="E781" t="s">
        <v>7275</v>
      </c>
    </row>
    <row r="782" spans="1:5" x14ac:dyDescent="0.3">
      <c r="A782" t="s">
        <v>2695</v>
      </c>
      <c r="B782" t="s">
        <v>5598</v>
      </c>
      <c r="C782" t="s">
        <v>5678</v>
      </c>
      <c r="D782" t="s">
        <v>7276</v>
      </c>
      <c r="E782" t="s">
        <v>7277</v>
      </c>
    </row>
    <row r="783" spans="1:5" x14ac:dyDescent="0.3">
      <c r="A783" t="s">
        <v>219</v>
      </c>
      <c r="B783" t="s">
        <v>5624</v>
      </c>
      <c r="C783" t="s">
        <v>5611</v>
      </c>
      <c r="D783" t="s">
        <v>7278</v>
      </c>
      <c r="E783" t="s">
        <v>7279</v>
      </c>
    </row>
    <row r="784" spans="1:5" x14ac:dyDescent="0.3">
      <c r="A784" t="s">
        <v>7280</v>
      </c>
      <c r="B784" t="s">
        <v>5598</v>
      </c>
      <c r="C784" t="s">
        <v>5611</v>
      </c>
      <c r="D784" t="s">
        <v>7281</v>
      </c>
      <c r="E784" t="s">
        <v>7282</v>
      </c>
    </row>
    <row r="785" spans="1:5" x14ac:dyDescent="0.3">
      <c r="A785" t="s">
        <v>4248</v>
      </c>
      <c r="B785" t="s">
        <v>5614</v>
      </c>
      <c r="C785" t="s">
        <v>5703</v>
      </c>
      <c r="D785" t="s">
        <v>7283</v>
      </c>
      <c r="E785" t="s">
        <v>7284</v>
      </c>
    </row>
    <row r="786" spans="1:5" x14ac:dyDescent="0.3">
      <c r="A786" t="s">
        <v>331</v>
      </c>
      <c r="B786" t="s">
        <v>5598</v>
      </c>
      <c r="C786" t="s">
        <v>5627</v>
      </c>
      <c r="D786" t="s">
        <v>7285</v>
      </c>
      <c r="E786" t="s">
        <v>7286</v>
      </c>
    </row>
    <row r="787" spans="1:5" x14ac:dyDescent="0.3">
      <c r="A787" t="s">
        <v>1088</v>
      </c>
      <c r="B787" t="s">
        <v>5598</v>
      </c>
      <c r="C787" t="s">
        <v>5655</v>
      </c>
      <c r="D787" t="s">
        <v>7287</v>
      </c>
      <c r="E787" t="s">
        <v>7288</v>
      </c>
    </row>
    <row r="788" spans="1:5" x14ac:dyDescent="0.3">
      <c r="A788" t="s">
        <v>7289</v>
      </c>
      <c r="B788" t="s">
        <v>5598</v>
      </c>
      <c r="C788" t="s">
        <v>5655</v>
      </c>
      <c r="D788" t="s">
        <v>7290</v>
      </c>
      <c r="E788" t="s">
        <v>7291</v>
      </c>
    </row>
    <row r="789" spans="1:5" x14ac:dyDescent="0.3">
      <c r="A789" t="s">
        <v>7292</v>
      </c>
      <c r="B789" t="s">
        <v>5607</v>
      </c>
      <c r="C789" t="s">
        <v>5632</v>
      </c>
      <c r="D789" t="s">
        <v>7293</v>
      </c>
      <c r="E789" t="s">
        <v>7294</v>
      </c>
    </row>
    <row r="790" spans="1:5" x14ac:dyDescent="0.3">
      <c r="A790" t="s">
        <v>2295</v>
      </c>
      <c r="B790" t="s">
        <v>5617</v>
      </c>
      <c r="C790" t="s">
        <v>5703</v>
      </c>
      <c r="D790" t="s">
        <v>7295</v>
      </c>
      <c r="E790" t="s">
        <v>7296</v>
      </c>
    </row>
    <row r="791" spans="1:5" x14ac:dyDescent="0.3">
      <c r="A791" t="s">
        <v>1080</v>
      </c>
      <c r="B791" t="s">
        <v>5614</v>
      </c>
      <c r="C791" t="s">
        <v>5678</v>
      </c>
      <c r="D791" t="s">
        <v>7297</v>
      </c>
      <c r="E791" t="s">
        <v>7298</v>
      </c>
    </row>
    <row r="792" spans="1:5" x14ac:dyDescent="0.3">
      <c r="A792" t="s">
        <v>2643</v>
      </c>
      <c r="B792" t="s">
        <v>5598</v>
      </c>
      <c r="C792" t="s">
        <v>5611</v>
      </c>
      <c r="D792" t="s">
        <v>7299</v>
      </c>
      <c r="E792" t="s">
        <v>7300</v>
      </c>
    </row>
    <row r="793" spans="1:5" x14ac:dyDescent="0.3">
      <c r="A793" t="s">
        <v>7301</v>
      </c>
      <c r="B793" t="s">
        <v>5624</v>
      </c>
      <c r="C793" t="s">
        <v>5611</v>
      </c>
      <c r="D793" t="s">
        <v>7302</v>
      </c>
      <c r="E793" t="s">
        <v>7303</v>
      </c>
    </row>
    <row r="794" spans="1:5" x14ac:dyDescent="0.3">
      <c r="A794" t="s">
        <v>7304</v>
      </c>
      <c r="B794" t="s">
        <v>5621</v>
      </c>
      <c r="C794" t="s">
        <v>5632</v>
      </c>
      <c r="D794" t="s">
        <v>7305</v>
      </c>
      <c r="E794" t="s">
        <v>7306</v>
      </c>
    </row>
    <row r="795" spans="1:5" x14ac:dyDescent="0.3">
      <c r="A795" t="s">
        <v>1010</v>
      </c>
      <c r="B795" t="s">
        <v>5673</v>
      </c>
      <c r="C795" t="s">
        <v>5655</v>
      </c>
      <c r="D795" t="s">
        <v>7307</v>
      </c>
      <c r="E795" t="s">
        <v>7308</v>
      </c>
    </row>
    <row r="796" spans="1:5" x14ac:dyDescent="0.3">
      <c r="A796" t="s">
        <v>2835</v>
      </c>
      <c r="B796" t="s">
        <v>5624</v>
      </c>
      <c r="C796" t="s">
        <v>5655</v>
      </c>
      <c r="D796" t="s">
        <v>7309</v>
      </c>
      <c r="E796" t="s">
        <v>7310</v>
      </c>
    </row>
    <row r="797" spans="1:5" x14ac:dyDescent="0.3">
      <c r="A797" t="s">
        <v>7311</v>
      </c>
      <c r="B797" t="s">
        <v>5624</v>
      </c>
      <c r="C797" t="s">
        <v>5599</v>
      </c>
      <c r="D797" t="s">
        <v>7312</v>
      </c>
      <c r="E797" t="s">
        <v>7313</v>
      </c>
    </row>
    <row r="798" spans="1:5" x14ac:dyDescent="0.3">
      <c r="A798" t="s">
        <v>2233</v>
      </c>
      <c r="B798" t="s">
        <v>5685</v>
      </c>
      <c r="C798" t="s">
        <v>5678</v>
      </c>
      <c r="D798" t="s">
        <v>7314</v>
      </c>
      <c r="E798" t="s">
        <v>7315</v>
      </c>
    </row>
    <row r="799" spans="1:5" x14ac:dyDescent="0.3">
      <c r="A799" t="s">
        <v>7316</v>
      </c>
      <c r="B799" t="s">
        <v>5673</v>
      </c>
      <c r="C799" t="s">
        <v>5611</v>
      </c>
      <c r="D799" t="s">
        <v>7317</v>
      </c>
      <c r="E799" t="s">
        <v>7318</v>
      </c>
    </row>
    <row r="800" spans="1:5" x14ac:dyDescent="0.3">
      <c r="A800" t="s">
        <v>2861</v>
      </c>
      <c r="B800" t="s">
        <v>5603</v>
      </c>
      <c r="C800" t="s">
        <v>5608</v>
      </c>
      <c r="D800" t="s">
        <v>7319</v>
      </c>
      <c r="E800" t="s">
        <v>7320</v>
      </c>
    </row>
    <row r="801" spans="1:5" x14ac:dyDescent="0.3">
      <c r="A801" t="s">
        <v>3639</v>
      </c>
      <c r="B801" t="s">
        <v>5598</v>
      </c>
      <c r="C801" t="s">
        <v>5599</v>
      </c>
      <c r="D801" t="s">
        <v>7321</v>
      </c>
      <c r="E801" t="s">
        <v>7322</v>
      </c>
    </row>
    <row r="802" spans="1:5" x14ac:dyDescent="0.3">
      <c r="A802" t="s">
        <v>1037</v>
      </c>
      <c r="B802" t="s">
        <v>5685</v>
      </c>
      <c r="C802" t="s">
        <v>5678</v>
      </c>
      <c r="D802" t="s">
        <v>7323</v>
      </c>
      <c r="E802" t="s">
        <v>7324</v>
      </c>
    </row>
    <row r="803" spans="1:5" x14ac:dyDescent="0.3">
      <c r="A803" t="s">
        <v>3886</v>
      </c>
      <c r="B803" t="s">
        <v>5639</v>
      </c>
      <c r="C803" t="s">
        <v>5655</v>
      </c>
      <c r="D803" t="s">
        <v>7325</v>
      </c>
      <c r="E803" t="s">
        <v>7326</v>
      </c>
    </row>
    <row r="804" spans="1:5" x14ac:dyDescent="0.3">
      <c r="A804" t="s">
        <v>1628</v>
      </c>
      <c r="B804" t="s">
        <v>5639</v>
      </c>
      <c r="C804" t="s">
        <v>5599</v>
      </c>
      <c r="D804" t="s">
        <v>7327</v>
      </c>
      <c r="E804" t="s">
        <v>7328</v>
      </c>
    </row>
    <row r="805" spans="1:5" x14ac:dyDescent="0.3">
      <c r="A805" t="s">
        <v>1913</v>
      </c>
      <c r="B805" t="s">
        <v>5621</v>
      </c>
      <c r="C805" t="s">
        <v>5703</v>
      </c>
      <c r="D805" t="s">
        <v>7329</v>
      </c>
      <c r="E805" t="s">
        <v>7330</v>
      </c>
    </row>
    <row r="806" spans="1:5" x14ac:dyDescent="0.3">
      <c r="A806" t="s">
        <v>4448</v>
      </c>
      <c r="B806" t="s">
        <v>5621</v>
      </c>
      <c r="C806" t="s">
        <v>5604</v>
      </c>
      <c r="D806" t="s">
        <v>7331</v>
      </c>
      <c r="E806" t="s">
        <v>7332</v>
      </c>
    </row>
    <row r="807" spans="1:5" x14ac:dyDescent="0.3">
      <c r="A807" t="s">
        <v>2901</v>
      </c>
      <c r="B807" t="s">
        <v>5639</v>
      </c>
      <c r="C807" t="s">
        <v>5608</v>
      </c>
      <c r="D807" t="s">
        <v>7333</v>
      </c>
      <c r="E807" t="s">
        <v>7334</v>
      </c>
    </row>
    <row r="808" spans="1:5" x14ac:dyDescent="0.3">
      <c r="A808" t="s">
        <v>1111</v>
      </c>
      <c r="B808" t="s">
        <v>5607</v>
      </c>
      <c r="C808" t="s">
        <v>5608</v>
      </c>
      <c r="D808" t="s">
        <v>7335</v>
      </c>
      <c r="E808" t="s">
        <v>7336</v>
      </c>
    </row>
    <row r="809" spans="1:5" x14ac:dyDescent="0.3">
      <c r="A809" t="s">
        <v>2493</v>
      </c>
      <c r="B809" t="s">
        <v>5673</v>
      </c>
      <c r="C809" t="s">
        <v>5632</v>
      </c>
      <c r="D809" t="s">
        <v>7337</v>
      </c>
      <c r="E809" t="s">
        <v>7338</v>
      </c>
    </row>
    <row r="810" spans="1:5" x14ac:dyDescent="0.3">
      <c r="A810" t="s">
        <v>2620</v>
      </c>
      <c r="B810" t="s">
        <v>5621</v>
      </c>
      <c r="C810" t="s">
        <v>5632</v>
      </c>
      <c r="D810" t="s">
        <v>7339</v>
      </c>
      <c r="E810" t="s">
        <v>7340</v>
      </c>
    </row>
    <row r="811" spans="1:5" x14ac:dyDescent="0.3">
      <c r="A811" t="s">
        <v>1094</v>
      </c>
      <c r="B811" t="s">
        <v>5624</v>
      </c>
      <c r="C811" t="s">
        <v>5632</v>
      </c>
      <c r="D811" t="s">
        <v>7341</v>
      </c>
      <c r="E811" t="s">
        <v>7342</v>
      </c>
    </row>
    <row r="812" spans="1:5" x14ac:dyDescent="0.3">
      <c r="A812" t="s">
        <v>2353</v>
      </c>
      <c r="B812" t="s">
        <v>5624</v>
      </c>
      <c r="C812" t="s">
        <v>5604</v>
      </c>
      <c r="D812" t="s">
        <v>7343</v>
      </c>
      <c r="E812" t="s">
        <v>7344</v>
      </c>
    </row>
    <row r="813" spans="1:5" x14ac:dyDescent="0.3">
      <c r="A813" t="s">
        <v>1602</v>
      </c>
      <c r="B813" t="s">
        <v>5639</v>
      </c>
      <c r="C813" t="s">
        <v>5627</v>
      </c>
      <c r="D813" t="s">
        <v>7345</v>
      </c>
      <c r="E813" t="s">
        <v>7346</v>
      </c>
    </row>
    <row r="814" spans="1:5" x14ac:dyDescent="0.3">
      <c r="A814" t="s">
        <v>4973</v>
      </c>
      <c r="B814" t="s">
        <v>5607</v>
      </c>
      <c r="C814" t="s">
        <v>5632</v>
      </c>
      <c r="D814" t="s">
        <v>7347</v>
      </c>
      <c r="E814" t="s">
        <v>7348</v>
      </c>
    </row>
    <row r="815" spans="1:5" x14ac:dyDescent="0.3">
      <c r="A815" t="s">
        <v>922</v>
      </c>
      <c r="B815" t="s">
        <v>5607</v>
      </c>
      <c r="C815" t="s">
        <v>5618</v>
      </c>
      <c r="D815" t="s">
        <v>7349</v>
      </c>
      <c r="E815" t="s">
        <v>7350</v>
      </c>
    </row>
    <row r="816" spans="1:5" x14ac:dyDescent="0.3">
      <c r="A816" t="s">
        <v>784</v>
      </c>
      <c r="B816" t="s">
        <v>5685</v>
      </c>
      <c r="C816" t="s">
        <v>5678</v>
      </c>
      <c r="D816" t="s">
        <v>7351</v>
      </c>
      <c r="E816" t="s">
        <v>7352</v>
      </c>
    </row>
    <row r="817" spans="1:5" x14ac:dyDescent="0.3">
      <c r="A817" t="s">
        <v>1889</v>
      </c>
      <c r="B817" t="s">
        <v>5598</v>
      </c>
      <c r="C817" t="s">
        <v>5599</v>
      </c>
      <c r="D817" t="s">
        <v>7353</v>
      </c>
      <c r="E817" t="s">
        <v>7354</v>
      </c>
    </row>
    <row r="818" spans="1:5" x14ac:dyDescent="0.3">
      <c r="A818" t="s">
        <v>3956</v>
      </c>
      <c r="B818" t="s">
        <v>5685</v>
      </c>
      <c r="C818" t="s">
        <v>5655</v>
      </c>
      <c r="D818" t="s">
        <v>7355</v>
      </c>
      <c r="E818" t="s">
        <v>7356</v>
      </c>
    </row>
    <row r="819" spans="1:5" x14ac:dyDescent="0.3">
      <c r="A819" t="s">
        <v>7357</v>
      </c>
      <c r="B819" t="s">
        <v>5685</v>
      </c>
      <c r="C819" t="s">
        <v>5599</v>
      </c>
      <c r="D819" t="s">
        <v>7358</v>
      </c>
      <c r="E819" t="s">
        <v>7359</v>
      </c>
    </row>
    <row r="820" spans="1:5" x14ac:dyDescent="0.3">
      <c r="A820" t="s">
        <v>3051</v>
      </c>
      <c r="B820" t="s">
        <v>5621</v>
      </c>
      <c r="C820" t="s">
        <v>5655</v>
      </c>
      <c r="D820" t="s">
        <v>7360</v>
      </c>
      <c r="E820" t="s">
        <v>7361</v>
      </c>
    </row>
    <row r="821" spans="1:5" x14ac:dyDescent="0.3">
      <c r="A821" t="s">
        <v>4625</v>
      </c>
      <c r="B821" t="s">
        <v>5614</v>
      </c>
      <c r="C821" t="s">
        <v>5655</v>
      </c>
      <c r="D821" t="s">
        <v>7362</v>
      </c>
      <c r="E821" t="s">
        <v>7363</v>
      </c>
    </row>
    <row r="822" spans="1:5" x14ac:dyDescent="0.3">
      <c r="A822" t="s">
        <v>1350</v>
      </c>
      <c r="B822" t="s">
        <v>5639</v>
      </c>
      <c r="C822" t="s">
        <v>5655</v>
      </c>
      <c r="D822" t="s">
        <v>7364</v>
      </c>
      <c r="E822" t="s">
        <v>7365</v>
      </c>
    </row>
    <row r="823" spans="1:5" x14ac:dyDescent="0.3">
      <c r="A823" t="s">
        <v>4693</v>
      </c>
      <c r="B823" t="s">
        <v>5685</v>
      </c>
      <c r="C823" t="s">
        <v>5604</v>
      </c>
      <c r="D823" t="s">
        <v>7366</v>
      </c>
      <c r="E823" t="s">
        <v>7367</v>
      </c>
    </row>
    <row r="824" spans="1:5" x14ac:dyDescent="0.3">
      <c r="A824" t="s">
        <v>628</v>
      </c>
      <c r="B824" t="s">
        <v>5598</v>
      </c>
      <c r="C824" t="s">
        <v>5655</v>
      </c>
      <c r="D824" t="s">
        <v>7368</v>
      </c>
      <c r="E824" t="s">
        <v>7369</v>
      </c>
    </row>
    <row r="825" spans="1:5" x14ac:dyDescent="0.3">
      <c r="A825" t="s">
        <v>7370</v>
      </c>
      <c r="B825" t="s">
        <v>5639</v>
      </c>
      <c r="C825" t="s">
        <v>5655</v>
      </c>
      <c r="D825" t="s">
        <v>7371</v>
      </c>
      <c r="E825" t="s">
        <v>7372</v>
      </c>
    </row>
    <row r="826" spans="1:5" x14ac:dyDescent="0.3">
      <c r="A826" t="s">
        <v>2288</v>
      </c>
      <c r="B826" t="s">
        <v>5624</v>
      </c>
      <c r="C826" t="s">
        <v>5627</v>
      </c>
      <c r="D826" t="s">
        <v>7373</v>
      </c>
      <c r="E826" t="s">
        <v>7374</v>
      </c>
    </row>
    <row r="827" spans="1:5" x14ac:dyDescent="0.3">
      <c r="A827" t="s">
        <v>4541</v>
      </c>
      <c r="B827" t="s">
        <v>5673</v>
      </c>
      <c r="C827" t="s">
        <v>5632</v>
      </c>
      <c r="D827" t="s">
        <v>7375</v>
      </c>
      <c r="E827" t="s">
        <v>7376</v>
      </c>
    </row>
    <row r="828" spans="1:5" x14ac:dyDescent="0.3">
      <c r="A828" t="s">
        <v>258</v>
      </c>
      <c r="B828" t="s">
        <v>5621</v>
      </c>
      <c r="C828" t="s">
        <v>5627</v>
      </c>
      <c r="D828" t="s">
        <v>7377</v>
      </c>
      <c r="E828" t="s">
        <v>7378</v>
      </c>
    </row>
    <row r="829" spans="1:5" x14ac:dyDescent="0.3">
      <c r="A829" t="s">
        <v>713</v>
      </c>
      <c r="B829" t="s">
        <v>5639</v>
      </c>
      <c r="C829" t="s">
        <v>5655</v>
      </c>
      <c r="D829" t="s">
        <v>7379</v>
      </c>
      <c r="E829" t="s">
        <v>7380</v>
      </c>
    </row>
    <row r="830" spans="1:5" x14ac:dyDescent="0.3">
      <c r="A830" t="s">
        <v>22</v>
      </c>
      <c r="B830" t="s">
        <v>5607</v>
      </c>
      <c r="C830" t="s">
        <v>5655</v>
      </c>
      <c r="D830" t="s">
        <v>7381</v>
      </c>
      <c r="E830" t="s">
        <v>7382</v>
      </c>
    </row>
    <row r="831" spans="1:5" x14ac:dyDescent="0.3">
      <c r="A831" t="s">
        <v>1228</v>
      </c>
      <c r="B831" t="s">
        <v>5624</v>
      </c>
      <c r="C831" t="s">
        <v>5678</v>
      </c>
      <c r="D831" t="s">
        <v>7383</v>
      </c>
      <c r="E831" t="s">
        <v>7384</v>
      </c>
    </row>
    <row r="832" spans="1:5" x14ac:dyDescent="0.3">
      <c r="A832" t="s">
        <v>3190</v>
      </c>
      <c r="B832" t="s">
        <v>5607</v>
      </c>
      <c r="C832" t="s">
        <v>5703</v>
      </c>
      <c r="D832" t="s">
        <v>7385</v>
      </c>
      <c r="E832" t="s">
        <v>7386</v>
      </c>
    </row>
    <row r="833" spans="1:5" x14ac:dyDescent="0.3">
      <c r="A833" t="s">
        <v>1563</v>
      </c>
      <c r="B833" t="s">
        <v>5624</v>
      </c>
      <c r="C833" t="s">
        <v>5678</v>
      </c>
      <c r="D833" t="s">
        <v>7387</v>
      </c>
      <c r="E833" t="s">
        <v>7388</v>
      </c>
    </row>
    <row r="834" spans="1:5" x14ac:dyDescent="0.3">
      <c r="A834" t="s">
        <v>7389</v>
      </c>
      <c r="B834" t="s">
        <v>5685</v>
      </c>
      <c r="C834" t="s">
        <v>5627</v>
      </c>
      <c r="D834" t="s">
        <v>7390</v>
      </c>
      <c r="E834" t="s">
        <v>7391</v>
      </c>
    </row>
    <row r="835" spans="1:5" x14ac:dyDescent="0.3">
      <c r="A835" t="s">
        <v>1488</v>
      </c>
      <c r="B835" t="s">
        <v>5614</v>
      </c>
      <c r="C835" t="s">
        <v>5632</v>
      </c>
      <c r="D835" t="s">
        <v>7392</v>
      </c>
      <c r="E835" t="s">
        <v>7393</v>
      </c>
    </row>
    <row r="836" spans="1:5" x14ac:dyDescent="0.3">
      <c r="A836" t="s">
        <v>2814</v>
      </c>
      <c r="B836" t="s">
        <v>5624</v>
      </c>
      <c r="C836" t="s">
        <v>5604</v>
      </c>
      <c r="D836" t="s">
        <v>7394</v>
      </c>
      <c r="E836" t="s">
        <v>7395</v>
      </c>
    </row>
    <row r="837" spans="1:5" x14ac:dyDescent="0.3">
      <c r="A837" t="s">
        <v>2105</v>
      </c>
      <c r="B837" t="s">
        <v>5603</v>
      </c>
      <c r="C837" t="s">
        <v>5618</v>
      </c>
      <c r="D837" t="s">
        <v>7396</v>
      </c>
      <c r="E837" t="s">
        <v>7397</v>
      </c>
    </row>
    <row r="838" spans="1:5" x14ac:dyDescent="0.3">
      <c r="A838" t="s">
        <v>977</v>
      </c>
      <c r="B838" t="s">
        <v>5617</v>
      </c>
      <c r="C838" t="s">
        <v>5611</v>
      </c>
      <c r="D838" t="s">
        <v>7398</v>
      </c>
      <c r="E838" t="s">
        <v>7399</v>
      </c>
    </row>
    <row r="839" spans="1:5" x14ac:dyDescent="0.3">
      <c r="A839" t="s">
        <v>91</v>
      </c>
      <c r="B839" t="s">
        <v>5598</v>
      </c>
      <c r="C839" t="s">
        <v>5627</v>
      </c>
      <c r="D839" t="s">
        <v>7400</v>
      </c>
      <c r="E839" t="s">
        <v>7401</v>
      </c>
    </row>
    <row r="840" spans="1:5" x14ac:dyDescent="0.3">
      <c r="A840" t="s">
        <v>1493</v>
      </c>
      <c r="B840" t="s">
        <v>5598</v>
      </c>
      <c r="C840" t="s">
        <v>5599</v>
      </c>
      <c r="D840" t="s">
        <v>7402</v>
      </c>
      <c r="E840" t="s">
        <v>7403</v>
      </c>
    </row>
    <row r="841" spans="1:5" x14ac:dyDescent="0.3">
      <c r="A841" t="s">
        <v>3497</v>
      </c>
      <c r="B841" t="s">
        <v>5624</v>
      </c>
      <c r="C841" t="s">
        <v>5618</v>
      </c>
      <c r="D841" t="s">
        <v>7404</v>
      </c>
      <c r="E841" t="s">
        <v>7405</v>
      </c>
    </row>
    <row r="842" spans="1:5" x14ac:dyDescent="0.3">
      <c r="A842" t="s">
        <v>5220</v>
      </c>
      <c r="B842" t="s">
        <v>5614</v>
      </c>
      <c r="C842" t="s">
        <v>5608</v>
      </c>
      <c r="D842" t="s">
        <v>7406</v>
      </c>
      <c r="E842" t="s">
        <v>7407</v>
      </c>
    </row>
    <row r="843" spans="1:5" x14ac:dyDescent="0.3">
      <c r="A843" t="s">
        <v>7408</v>
      </c>
      <c r="B843" t="s">
        <v>5624</v>
      </c>
      <c r="C843" t="s">
        <v>5627</v>
      </c>
      <c r="D843" t="s">
        <v>7409</v>
      </c>
      <c r="E843" t="s">
        <v>7410</v>
      </c>
    </row>
    <row r="844" spans="1:5" x14ac:dyDescent="0.3">
      <c r="A844" t="s">
        <v>130</v>
      </c>
      <c r="B844" t="s">
        <v>5607</v>
      </c>
      <c r="C844" t="s">
        <v>5618</v>
      </c>
      <c r="D844" t="s">
        <v>7411</v>
      </c>
      <c r="E844" t="s">
        <v>7412</v>
      </c>
    </row>
    <row r="845" spans="1:5" x14ac:dyDescent="0.3">
      <c r="A845" t="s">
        <v>5316</v>
      </c>
      <c r="B845" t="s">
        <v>5624</v>
      </c>
      <c r="C845" t="s">
        <v>5627</v>
      </c>
      <c r="D845" t="s">
        <v>7413</v>
      </c>
      <c r="E845" t="s">
        <v>7414</v>
      </c>
    </row>
    <row r="846" spans="1:5" x14ac:dyDescent="0.3">
      <c r="A846" t="s">
        <v>656</v>
      </c>
      <c r="B846" t="s">
        <v>5639</v>
      </c>
      <c r="C846" t="s">
        <v>5604</v>
      </c>
      <c r="D846" t="s">
        <v>7415</v>
      </c>
      <c r="E846" t="s">
        <v>7416</v>
      </c>
    </row>
    <row r="847" spans="1:5" x14ac:dyDescent="0.3">
      <c r="A847" t="s">
        <v>7417</v>
      </c>
      <c r="B847" t="s">
        <v>5624</v>
      </c>
      <c r="C847" t="s">
        <v>5604</v>
      </c>
      <c r="D847" t="s">
        <v>7418</v>
      </c>
      <c r="E847" t="s">
        <v>7419</v>
      </c>
    </row>
    <row r="848" spans="1:5" x14ac:dyDescent="0.3">
      <c r="A848" t="s">
        <v>4829</v>
      </c>
      <c r="B848" t="s">
        <v>5685</v>
      </c>
      <c r="C848" t="s">
        <v>5703</v>
      </c>
      <c r="D848" t="s">
        <v>7420</v>
      </c>
      <c r="E848" t="s">
        <v>7421</v>
      </c>
    </row>
    <row r="849" spans="1:5" x14ac:dyDescent="0.3">
      <c r="A849" t="s">
        <v>1426</v>
      </c>
      <c r="B849" t="s">
        <v>5621</v>
      </c>
      <c r="C849" t="s">
        <v>5703</v>
      </c>
      <c r="D849" t="s">
        <v>7422</v>
      </c>
      <c r="E849" t="s">
        <v>7423</v>
      </c>
    </row>
    <row r="850" spans="1:5" x14ac:dyDescent="0.3">
      <c r="A850" t="s">
        <v>253</v>
      </c>
      <c r="B850" t="s">
        <v>5685</v>
      </c>
      <c r="C850" t="s">
        <v>5599</v>
      </c>
      <c r="D850" t="s">
        <v>7424</v>
      </c>
      <c r="E850" t="s">
        <v>7425</v>
      </c>
    </row>
    <row r="851" spans="1:5" x14ac:dyDescent="0.3">
      <c r="A851" t="s">
        <v>7426</v>
      </c>
      <c r="B851" t="s">
        <v>5598</v>
      </c>
      <c r="C851" t="s">
        <v>5632</v>
      </c>
      <c r="D851" t="s">
        <v>7427</v>
      </c>
      <c r="E851" t="s">
        <v>7428</v>
      </c>
    </row>
    <row r="852" spans="1:5" x14ac:dyDescent="0.3">
      <c r="A852" t="s">
        <v>2775</v>
      </c>
      <c r="B852" t="s">
        <v>5621</v>
      </c>
      <c r="C852" t="s">
        <v>5678</v>
      </c>
      <c r="D852" t="s">
        <v>7429</v>
      </c>
      <c r="E852" t="s">
        <v>7430</v>
      </c>
    </row>
    <row r="853" spans="1:5" x14ac:dyDescent="0.3">
      <c r="A853" t="s">
        <v>1524</v>
      </c>
      <c r="B853" t="s">
        <v>5603</v>
      </c>
      <c r="C853" t="s">
        <v>5678</v>
      </c>
      <c r="D853" t="s">
        <v>7431</v>
      </c>
      <c r="E853" t="s">
        <v>7432</v>
      </c>
    </row>
    <row r="854" spans="1:5" x14ac:dyDescent="0.3">
      <c r="A854" t="s">
        <v>3419</v>
      </c>
      <c r="B854" t="s">
        <v>5614</v>
      </c>
      <c r="C854" t="s">
        <v>5703</v>
      </c>
      <c r="D854" t="s">
        <v>7433</v>
      </c>
      <c r="E854" t="s">
        <v>7434</v>
      </c>
    </row>
    <row r="855" spans="1:5" x14ac:dyDescent="0.3">
      <c r="A855" t="s">
        <v>1398</v>
      </c>
      <c r="B855" t="s">
        <v>5614</v>
      </c>
      <c r="C855" t="s">
        <v>5611</v>
      </c>
      <c r="D855" t="s">
        <v>7435</v>
      </c>
      <c r="E855" t="s">
        <v>7436</v>
      </c>
    </row>
    <row r="856" spans="1:5" x14ac:dyDescent="0.3">
      <c r="A856" t="s">
        <v>5102</v>
      </c>
      <c r="B856" t="s">
        <v>5685</v>
      </c>
      <c r="C856" t="s">
        <v>5678</v>
      </c>
      <c r="D856" t="s">
        <v>7437</v>
      </c>
      <c r="E856" t="s">
        <v>7438</v>
      </c>
    </row>
    <row r="857" spans="1:5" x14ac:dyDescent="0.3">
      <c r="A857" t="s">
        <v>675</v>
      </c>
      <c r="B857" t="s">
        <v>5603</v>
      </c>
      <c r="C857" t="s">
        <v>5703</v>
      </c>
      <c r="D857" t="s">
        <v>7439</v>
      </c>
      <c r="E857" t="s">
        <v>7440</v>
      </c>
    </row>
    <row r="858" spans="1:5" x14ac:dyDescent="0.3">
      <c r="A858" t="s">
        <v>3385</v>
      </c>
      <c r="B858" t="s">
        <v>5598</v>
      </c>
      <c r="C858" t="s">
        <v>5627</v>
      </c>
      <c r="D858" t="s">
        <v>7441</v>
      </c>
      <c r="E858" t="s">
        <v>7442</v>
      </c>
    </row>
    <row r="859" spans="1:5" x14ac:dyDescent="0.3">
      <c r="A859" t="s">
        <v>773</v>
      </c>
      <c r="B859" t="s">
        <v>5598</v>
      </c>
      <c r="C859" t="s">
        <v>5632</v>
      </c>
      <c r="D859" t="s">
        <v>7443</v>
      </c>
      <c r="E859" t="s">
        <v>7444</v>
      </c>
    </row>
    <row r="860" spans="1:5" x14ac:dyDescent="0.3">
      <c r="A860" t="s">
        <v>7445</v>
      </c>
      <c r="B860" t="s">
        <v>5598</v>
      </c>
      <c r="C860" t="s">
        <v>5655</v>
      </c>
      <c r="D860" t="s">
        <v>7446</v>
      </c>
      <c r="E860" t="s">
        <v>7447</v>
      </c>
    </row>
    <row r="861" spans="1:5" x14ac:dyDescent="0.3">
      <c r="A861" t="s">
        <v>3511</v>
      </c>
      <c r="B861" t="s">
        <v>5685</v>
      </c>
      <c r="C861" t="s">
        <v>5703</v>
      </c>
      <c r="D861" t="s">
        <v>7448</v>
      </c>
      <c r="E861" t="s">
        <v>7449</v>
      </c>
    </row>
    <row r="862" spans="1:5" x14ac:dyDescent="0.3">
      <c r="A862" t="s">
        <v>2848</v>
      </c>
      <c r="B862" t="s">
        <v>5603</v>
      </c>
      <c r="C862" t="s">
        <v>5678</v>
      </c>
      <c r="D862" t="s">
        <v>7450</v>
      </c>
      <c r="E862" t="s">
        <v>7451</v>
      </c>
    </row>
    <row r="863" spans="1:5" x14ac:dyDescent="0.3">
      <c r="A863" t="s">
        <v>2375</v>
      </c>
      <c r="B863" t="s">
        <v>5607</v>
      </c>
      <c r="C863" t="s">
        <v>5604</v>
      </c>
      <c r="D863" t="s">
        <v>7452</v>
      </c>
      <c r="E863" t="s">
        <v>7453</v>
      </c>
    </row>
    <row r="864" spans="1:5" x14ac:dyDescent="0.3">
      <c r="A864" t="s">
        <v>2578</v>
      </c>
      <c r="B864" t="s">
        <v>5673</v>
      </c>
      <c r="C864" t="s">
        <v>5678</v>
      </c>
      <c r="D864" t="s">
        <v>7454</v>
      </c>
      <c r="E864" t="s">
        <v>7455</v>
      </c>
    </row>
    <row r="865" spans="1:5" x14ac:dyDescent="0.3">
      <c r="A865" t="s">
        <v>280</v>
      </c>
      <c r="B865" t="s">
        <v>5621</v>
      </c>
      <c r="C865" t="s">
        <v>5678</v>
      </c>
      <c r="D865" t="s">
        <v>7456</v>
      </c>
      <c r="E865" t="s">
        <v>7457</v>
      </c>
    </row>
    <row r="866" spans="1:5" x14ac:dyDescent="0.3">
      <c r="A866" t="s">
        <v>3914</v>
      </c>
      <c r="B866" t="s">
        <v>5614</v>
      </c>
      <c r="C866" t="s">
        <v>5678</v>
      </c>
      <c r="D866" t="s">
        <v>7458</v>
      </c>
      <c r="E866" t="s">
        <v>7459</v>
      </c>
    </row>
    <row r="867" spans="1:5" x14ac:dyDescent="0.3">
      <c r="A867" t="s">
        <v>286</v>
      </c>
      <c r="B867" t="s">
        <v>5639</v>
      </c>
      <c r="C867" t="s">
        <v>5618</v>
      </c>
      <c r="D867" t="s">
        <v>7460</v>
      </c>
      <c r="E867" t="s">
        <v>7461</v>
      </c>
    </row>
    <row r="868" spans="1:5" x14ac:dyDescent="0.3">
      <c r="A868" t="s">
        <v>2665</v>
      </c>
      <c r="B868" t="s">
        <v>5685</v>
      </c>
      <c r="C868" t="s">
        <v>5599</v>
      </c>
      <c r="D868" t="s">
        <v>7462</v>
      </c>
      <c r="E868" t="s">
        <v>7463</v>
      </c>
    </row>
    <row r="869" spans="1:5" x14ac:dyDescent="0.3">
      <c r="A869" t="s">
        <v>5477</v>
      </c>
      <c r="B869" t="s">
        <v>5673</v>
      </c>
      <c r="C869" t="s">
        <v>5608</v>
      </c>
      <c r="D869" t="s">
        <v>7464</v>
      </c>
      <c r="E869" t="s">
        <v>7465</v>
      </c>
    </row>
    <row r="870" spans="1:5" x14ac:dyDescent="0.3">
      <c r="A870" t="s">
        <v>1127</v>
      </c>
      <c r="B870" t="s">
        <v>5673</v>
      </c>
      <c r="C870" t="s">
        <v>5618</v>
      </c>
      <c r="D870" t="s">
        <v>7466</v>
      </c>
      <c r="E870" t="s">
        <v>7467</v>
      </c>
    </row>
    <row r="871" spans="1:5" x14ac:dyDescent="0.3">
      <c r="A871" t="s">
        <v>2194</v>
      </c>
      <c r="B871" t="s">
        <v>5685</v>
      </c>
      <c r="C871" t="s">
        <v>5599</v>
      </c>
      <c r="D871" t="s">
        <v>7468</v>
      </c>
      <c r="E871" t="s">
        <v>7469</v>
      </c>
    </row>
    <row r="872" spans="1:5" x14ac:dyDescent="0.3">
      <c r="A872" t="s">
        <v>3256</v>
      </c>
      <c r="B872" t="s">
        <v>5607</v>
      </c>
      <c r="C872" t="s">
        <v>5655</v>
      </c>
      <c r="D872" t="s">
        <v>7470</v>
      </c>
      <c r="E872" t="s">
        <v>7471</v>
      </c>
    </row>
    <row r="873" spans="1:5" x14ac:dyDescent="0.3">
      <c r="A873" t="s">
        <v>295</v>
      </c>
      <c r="B873" t="s">
        <v>5621</v>
      </c>
      <c r="C873" t="s">
        <v>5703</v>
      </c>
      <c r="D873" t="s">
        <v>7472</v>
      </c>
      <c r="E873" t="s">
        <v>7473</v>
      </c>
    </row>
    <row r="874" spans="1:5" x14ac:dyDescent="0.3">
      <c r="A874" t="s">
        <v>2909</v>
      </c>
      <c r="B874" t="s">
        <v>5639</v>
      </c>
      <c r="C874" t="s">
        <v>5604</v>
      </c>
      <c r="D874" t="s">
        <v>7474</v>
      </c>
      <c r="E874" t="s">
        <v>7475</v>
      </c>
    </row>
    <row r="875" spans="1:5" x14ac:dyDescent="0.3">
      <c r="A875" t="s">
        <v>4641</v>
      </c>
      <c r="B875" t="s">
        <v>5614</v>
      </c>
      <c r="C875" t="s">
        <v>5604</v>
      </c>
      <c r="D875" t="s">
        <v>7476</v>
      </c>
      <c r="E875" t="s">
        <v>7477</v>
      </c>
    </row>
    <row r="876" spans="1:5" x14ac:dyDescent="0.3">
      <c r="A876" t="s">
        <v>5194</v>
      </c>
      <c r="B876" t="s">
        <v>5624</v>
      </c>
      <c r="C876" t="s">
        <v>5608</v>
      </c>
      <c r="D876" t="s">
        <v>7478</v>
      </c>
      <c r="E876" t="s">
        <v>7479</v>
      </c>
    </row>
    <row r="877" spans="1:5" x14ac:dyDescent="0.3">
      <c r="A877" t="s">
        <v>4471</v>
      </c>
      <c r="B877" t="s">
        <v>5685</v>
      </c>
      <c r="C877" t="s">
        <v>5604</v>
      </c>
      <c r="D877" t="s">
        <v>7480</v>
      </c>
      <c r="E877" t="s">
        <v>7481</v>
      </c>
    </row>
    <row r="878" spans="1:5" x14ac:dyDescent="0.3">
      <c r="A878" t="s">
        <v>7482</v>
      </c>
      <c r="B878" t="s">
        <v>5621</v>
      </c>
      <c r="C878" t="s">
        <v>5608</v>
      </c>
      <c r="D878" t="s">
        <v>7483</v>
      </c>
      <c r="E878" t="s">
        <v>7484</v>
      </c>
    </row>
    <row r="879" spans="1:5" x14ac:dyDescent="0.3">
      <c r="A879" t="s">
        <v>2526</v>
      </c>
      <c r="B879" t="s">
        <v>5603</v>
      </c>
      <c r="C879" t="s">
        <v>5627</v>
      </c>
      <c r="D879" t="s">
        <v>7485</v>
      </c>
      <c r="E879" t="s">
        <v>7486</v>
      </c>
    </row>
    <row r="880" spans="1:5" x14ac:dyDescent="0.3">
      <c r="A880" t="s">
        <v>1098</v>
      </c>
      <c r="B880" t="s">
        <v>5624</v>
      </c>
      <c r="C880" t="s">
        <v>5655</v>
      </c>
      <c r="D880" t="s">
        <v>7487</v>
      </c>
      <c r="E880" t="s">
        <v>7488</v>
      </c>
    </row>
    <row r="881" spans="1:5" x14ac:dyDescent="0.3">
      <c r="A881" t="s">
        <v>225</v>
      </c>
      <c r="B881" t="s">
        <v>5685</v>
      </c>
      <c r="C881" t="s">
        <v>5618</v>
      </c>
      <c r="D881" t="s">
        <v>7489</v>
      </c>
      <c r="E881" t="s">
        <v>7490</v>
      </c>
    </row>
    <row r="882" spans="1:5" x14ac:dyDescent="0.3">
      <c r="A882" t="s">
        <v>1137</v>
      </c>
      <c r="B882" t="s">
        <v>5685</v>
      </c>
      <c r="C882" t="s">
        <v>5703</v>
      </c>
      <c r="D882" t="s">
        <v>7491</v>
      </c>
      <c r="E882" t="s">
        <v>7492</v>
      </c>
    </row>
    <row r="883" spans="1:5" x14ac:dyDescent="0.3">
      <c r="A883" t="s">
        <v>1298</v>
      </c>
      <c r="B883" t="s">
        <v>5673</v>
      </c>
      <c r="C883" t="s">
        <v>5627</v>
      </c>
      <c r="D883" t="s">
        <v>7493</v>
      </c>
      <c r="E883" t="s">
        <v>7494</v>
      </c>
    </row>
    <row r="884" spans="1:5" x14ac:dyDescent="0.3">
      <c r="A884" t="s">
        <v>618</v>
      </c>
      <c r="B884" t="s">
        <v>5685</v>
      </c>
      <c r="C884" t="s">
        <v>5655</v>
      </c>
      <c r="D884" t="s">
        <v>7495</v>
      </c>
      <c r="E884" t="s">
        <v>7496</v>
      </c>
    </row>
    <row r="885" spans="1:5" x14ac:dyDescent="0.3">
      <c r="A885" t="s">
        <v>1417</v>
      </c>
      <c r="B885" t="s">
        <v>5673</v>
      </c>
      <c r="C885" t="s">
        <v>5618</v>
      </c>
      <c r="D885" t="s">
        <v>7497</v>
      </c>
      <c r="E885" t="s">
        <v>7498</v>
      </c>
    </row>
    <row r="886" spans="1:5" x14ac:dyDescent="0.3">
      <c r="A886" t="s">
        <v>2654</v>
      </c>
      <c r="B886" t="s">
        <v>5685</v>
      </c>
      <c r="C886" t="s">
        <v>5608</v>
      </c>
      <c r="D886" t="s">
        <v>7499</v>
      </c>
      <c r="E886" t="s">
        <v>7500</v>
      </c>
    </row>
    <row r="887" spans="1:5" x14ac:dyDescent="0.3">
      <c r="A887" t="s">
        <v>7501</v>
      </c>
      <c r="B887" t="s">
        <v>5685</v>
      </c>
      <c r="C887" t="s">
        <v>5678</v>
      </c>
      <c r="D887" t="s">
        <v>7502</v>
      </c>
      <c r="E887" t="s">
        <v>7503</v>
      </c>
    </row>
    <row r="888" spans="1:5" x14ac:dyDescent="0.3">
      <c r="A888" t="s">
        <v>5275</v>
      </c>
      <c r="B888" t="s">
        <v>5603</v>
      </c>
      <c r="C888" t="s">
        <v>5604</v>
      </c>
      <c r="D888" t="s">
        <v>7504</v>
      </c>
      <c r="E888" t="s">
        <v>7505</v>
      </c>
    </row>
    <row r="889" spans="1:5" x14ac:dyDescent="0.3">
      <c r="A889" t="s">
        <v>1115</v>
      </c>
      <c r="B889" t="s">
        <v>5639</v>
      </c>
      <c r="C889" t="s">
        <v>5608</v>
      </c>
      <c r="D889" t="s">
        <v>7506</v>
      </c>
      <c r="E889" t="s">
        <v>7507</v>
      </c>
    </row>
    <row r="890" spans="1:5" x14ac:dyDescent="0.3">
      <c r="A890" t="s">
        <v>68</v>
      </c>
      <c r="B890" t="s">
        <v>5685</v>
      </c>
      <c r="C890" t="s">
        <v>5608</v>
      </c>
      <c r="D890" t="s">
        <v>7508</v>
      </c>
      <c r="E890" t="s">
        <v>7509</v>
      </c>
    </row>
    <row r="891" spans="1:5" x14ac:dyDescent="0.3">
      <c r="A891" t="s">
        <v>2383</v>
      </c>
      <c r="B891" t="s">
        <v>5685</v>
      </c>
      <c r="C891" t="s">
        <v>5632</v>
      </c>
      <c r="D891" t="s">
        <v>7510</v>
      </c>
      <c r="E891" t="s">
        <v>7511</v>
      </c>
    </row>
    <row r="892" spans="1:5" x14ac:dyDescent="0.3">
      <c r="A892" t="s">
        <v>1786</v>
      </c>
      <c r="B892" t="s">
        <v>5598</v>
      </c>
      <c r="C892" t="s">
        <v>5611</v>
      </c>
      <c r="D892" t="s">
        <v>7512</v>
      </c>
      <c r="E892" t="s">
        <v>7513</v>
      </c>
    </row>
    <row r="893" spans="1:5" x14ac:dyDescent="0.3">
      <c r="A893" t="s">
        <v>2197</v>
      </c>
      <c r="B893" t="s">
        <v>5624</v>
      </c>
      <c r="C893" t="s">
        <v>5608</v>
      </c>
      <c r="D893" t="s">
        <v>7514</v>
      </c>
      <c r="E893" t="s">
        <v>7515</v>
      </c>
    </row>
    <row r="894" spans="1:5" x14ac:dyDescent="0.3">
      <c r="A894" t="s">
        <v>4515</v>
      </c>
      <c r="B894" t="s">
        <v>5621</v>
      </c>
      <c r="C894" t="s">
        <v>5608</v>
      </c>
      <c r="D894" t="s">
        <v>7516</v>
      </c>
      <c r="E894" t="s">
        <v>7517</v>
      </c>
    </row>
    <row r="895" spans="1:5" x14ac:dyDescent="0.3">
      <c r="A895" t="s">
        <v>4236</v>
      </c>
      <c r="B895" t="s">
        <v>5603</v>
      </c>
      <c r="C895" t="s">
        <v>5599</v>
      </c>
      <c r="D895" t="s">
        <v>7518</v>
      </c>
      <c r="E895" t="s">
        <v>7519</v>
      </c>
    </row>
    <row r="896" spans="1:5" x14ac:dyDescent="0.3">
      <c r="A896" t="s">
        <v>1548</v>
      </c>
      <c r="B896" t="s">
        <v>5639</v>
      </c>
      <c r="C896" t="s">
        <v>5611</v>
      </c>
      <c r="D896" t="s">
        <v>7520</v>
      </c>
      <c r="E896" t="s">
        <v>7521</v>
      </c>
    </row>
    <row r="897" spans="1:5" x14ac:dyDescent="0.3">
      <c r="A897" t="s">
        <v>666</v>
      </c>
      <c r="B897" t="s">
        <v>5624</v>
      </c>
      <c r="C897" t="s">
        <v>5655</v>
      </c>
      <c r="D897" t="s">
        <v>7522</v>
      </c>
      <c r="E897" t="s">
        <v>7523</v>
      </c>
    </row>
    <row r="898" spans="1:5" x14ac:dyDescent="0.3">
      <c r="A898" t="s">
        <v>897</v>
      </c>
      <c r="B898" t="s">
        <v>5685</v>
      </c>
      <c r="C898" t="s">
        <v>5618</v>
      </c>
      <c r="D898" t="s">
        <v>7524</v>
      </c>
      <c r="E898" t="s">
        <v>7525</v>
      </c>
    </row>
    <row r="899" spans="1:5" x14ac:dyDescent="0.3">
      <c r="A899" t="s">
        <v>4068</v>
      </c>
      <c r="B899" t="s">
        <v>5624</v>
      </c>
      <c r="C899" t="s">
        <v>5618</v>
      </c>
      <c r="D899" t="s">
        <v>7526</v>
      </c>
      <c r="E899" t="s">
        <v>7527</v>
      </c>
    </row>
    <row r="900" spans="1:5" x14ac:dyDescent="0.3">
      <c r="A900" t="s">
        <v>4165</v>
      </c>
      <c r="B900" t="s">
        <v>5614</v>
      </c>
      <c r="C900" t="s">
        <v>5608</v>
      </c>
      <c r="D900" t="s">
        <v>7528</v>
      </c>
      <c r="E900" t="s">
        <v>7529</v>
      </c>
    </row>
    <row r="901" spans="1:5" x14ac:dyDescent="0.3">
      <c r="A901" t="s">
        <v>536</v>
      </c>
      <c r="B901" t="s">
        <v>5685</v>
      </c>
      <c r="C901" t="s">
        <v>5604</v>
      </c>
      <c r="D901" t="s">
        <v>7530</v>
      </c>
      <c r="E901" t="s">
        <v>7531</v>
      </c>
    </row>
    <row r="902" spans="1:5" x14ac:dyDescent="0.3">
      <c r="A902" t="s">
        <v>2040</v>
      </c>
      <c r="B902" t="s">
        <v>5614</v>
      </c>
      <c r="C902" t="s">
        <v>5611</v>
      </c>
      <c r="D902" t="s">
        <v>7532</v>
      </c>
      <c r="E902" t="s">
        <v>7533</v>
      </c>
    </row>
    <row r="903" spans="1:5" x14ac:dyDescent="0.3">
      <c r="A903" t="s">
        <v>2031</v>
      </c>
      <c r="B903" t="s">
        <v>5621</v>
      </c>
      <c r="C903" t="s">
        <v>5611</v>
      </c>
      <c r="D903" t="s">
        <v>7534</v>
      </c>
      <c r="E903" t="s">
        <v>7535</v>
      </c>
    </row>
    <row r="904" spans="1:5" x14ac:dyDescent="0.3">
      <c r="A904" t="s">
        <v>5529</v>
      </c>
      <c r="B904" t="s">
        <v>5614</v>
      </c>
      <c r="C904" t="s">
        <v>5627</v>
      </c>
      <c r="D904" t="s">
        <v>7536</v>
      </c>
      <c r="E904" t="s">
        <v>7537</v>
      </c>
    </row>
    <row r="905" spans="1:5" x14ac:dyDescent="0.3">
      <c r="A905" t="s">
        <v>2139</v>
      </c>
      <c r="B905" t="s">
        <v>5614</v>
      </c>
      <c r="C905" t="s">
        <v>5632</v>
      </c>
      <c r="D905" t="s">
        <v>7538</v>
      </c>
      <c r="E905" t="s">
        <v>7539</v>
      </c>
    </row>
    <row r="906" spans="1:5" x14ac:dyDescent="0.3">
      <c r="A906" t="s">
        <v>893</v>
      </c>
      <c r="B906" t="s">
        <v>5639</v>
      </c>
      <c r="C906" t="s">
        <v>5627</v>
      </c>
      <c r="D906" t="s">
        <v>7540</v>
      </c>
      <c r="E906" t="s">
        <v>7541</v>
      </c>
    </row>
    <row r="907" spans="1:5" x14ac:dyDescent="0.3">
      <c r="A907" t="s">
        <v>742</v>
      </c>
      <c r="B907" t="s">
        <v>5603</v>
      </c>
      <c r="C907" t="s">
        <v>5678</v>
      </c>
      <c r="D907" t="s">
        <v>7542</v>
      </c>
      <c r="E907" t="s">
        <v>7543</v>
      </c>
    </row>
    <row r="908" spans="1:5" x14ac:dyDescent="0.3">
      <c r="A908" t="s">
        <v>4281</v>
      </c>
      <c r="B908" t="s">
        <v>5685</v>
      </c>
      <c r="C908" t="s">
        <v>5678</v>
      </c>
      <c r="D908" t="s">
        <v>7544</v>
      </c>
      <c r="E908" t="s">
        <v>7545</v>
      </c>
    </row>
    <row r="909" spans="1:5" x14ac:dyDescent="0.3">
      <c r="A909" t="s">
        <v>2883</v>
      </c>
      <c r="B909" t="s">
        <v>5617</v>
      </c>
      <c r="C909" t="s">
        <v>5655</v>
      </c>
      <c r="D909" t="s">
        <v>7546</v>
      </c>
      <c r="E909" t="s">
        <v>7547</v>
      </c>
    </row>
    <row r="910" spans="1:5" x14ac:dyDescent="0.3">
      <c r="A910" t="s">
        <v>3492</v>
      </c>
      <c r="B910" t="s">
        <v>5624</v>
      </c>
      <c r="C910" t="s">
        <v>5604</v>
      </c>
      <c r="D910" t="s">
        <v>7548</v>
      </c>
      <c r="E910" t="s">
        <v>7549</v>
      </c>
    </row>
    <row r="911" spans="1:5" x14ac:dyDescent="0.3">
      <c r="A911" t="s">
        <v>2988</v>
      </c>
      <c r="B911" t="s">
        <v>5607</v>
      </c>
      <c r="C911" t="s">
        <v>5703</v>
      </c>
      <c r="D911" t="s">
        <v>7550</v>
      </c>
      <c r="E911" t="s">
        <v>7551</v>
      </c>
    </row>
    <row r="912" spans="1:5" x14ac:dyDescent="0.3">
      <c r="A912" t="s">
        <v>1691</v>
      </c>
      <c r="B912" t="s">
        <v>5603</v>
      </c>
      <c r="C912" t="s">
        <v>5703</v>
      </c>
      <c r="D912" t="s">
        <v>7552</v>
      </c>
      <c r="E912" t="s">
        <v>7553</v>
      </c>
    </row>
    <row r="913" spans="1:5" x14ac:dyDescent="0.3">
      <c r="A913" t="s">
        <v>7554</v>
      </c>
      <c r="B913" t="s">
        <v>5617</v>
      </c>
      <c r="C913" t="s">
        <v>5655</v>
      </c>
      <c r="D913" t="s">
        <v>7555</v>
      </c>
      <c r="E913" t="s">
        <v>7556</v>
      </c>
    </row>
    <row r="914" spans="1:5" x14ac:dyDescent="0.3">
      <c r="A914" t="s">
        <v>3235</v>
      </c>
      <c r="B914" t="s">
        <v>5598</v>
      </c>
      <c r="C914" t="s">
        <v>5703</v>
      </c>
      <c r="D914" t="s">
        <v>7557</v>
      </c>
      <c r="E914" t="s">
        <v>7558</v>
      </c>
    </row>
    <row r="915" spans="1:5" x14ac:dyDescent="0.3">
      <c r="A915" t="s">
        <v>7559</v>
      </c>
      <c r="B915" t="s">
        <v>5685</v>
      </c>
      <c r="C915" t="s">
        <v>5618</v>
      </c>
      <c r="D915" t="s">
        <v>7560</v>
      </c>
      <c r="E915" t="s">
        <v>7561</v>
      </c>
    </row>
    <row r="916" spans="1:5" x14ac:dyDescent="0.3">
      <c r="A916" t="s">
        <v>3019</v>
      </c>
      <c r="B916" t="s">
        <v>5685</v>
      </c>
      <c r="C916" t="s">
        <v>5608</v>
      </c>
      <c r="D916" t="s">
        <v>7562</v>
      </c>
      <c r="E916" t="s">
        <v>7563</v>
      </c>
    </row>
    <row r="917" spans="1:5" x14ac:dyDescent="0.3">
      <c r="A917" t="s">
        <v>4006</v>
      </c>
      <c r="B917" t="s">
        <v>5673</v>
      </c>
      <c r="C917" t="s">
        <v>5599</v>
      </c>
      <c r="D917" t="s">
        <v>7564</v>
      </c>
      <c r="E917" t="s">
        <v>7565</v>
      </c>
    </row>
    <row r="918" spans="1:5" x14ac:dyDescent="0.3">
      <c r="A918" t="s">
        <v>2347</v>
      </c>
      <c r="B918" t="s">
        <v>5617</v>
      </c>
      <c r="C918" t="s">
        <v>5611</v>
      </c>
      <c r="D918" t="s">
        <v>7566</v>
      </c>
      <c r="E918" t="s">
        <v>7567</v>
      </c>
    </row>
    <row r="919" spans="1:5" x14ac:dyDescent="0.3">
      <c r="A919" t="s">
        <v>1651</v>
      </c>
      <c r="B919" t="s">
        <v>5607</v>
      </c>
      <c r="C919" t="s">
        <v>5599</v>
      </c>
      <c r="D919" t="s">
        <v>7568</v>
      </c>
      <c r="E919" t="s">
        <v>7569</v>
      </c>
    </row>
    <row r="920" spans="1:5" x14ac:dyDescent="0.3">
      <c r="A920" t="s">
        <v>2922</v>
      </c>
      <c r="B920" t="s">
        <v>5607</v>
      </c>
      <c r="C920" t="s">
        <v>5678</v>
      </c>
      <c r="D920" t="s">
        <v>7570</v>
      </c>
      <c r="E920" t="s">
        <v>7571</v>
      </c>
    </row>
    <row r="921" spans="1:5" x14ac:dyDescent="0.3">
      <c r="A921" t="s">
        <v>7572</v>
      </c>
      <c r="B921" t="s">
        <v>5607</v>
      </c>
      <c r="C921" t="s">
        <v>5632</v>
      </c>
      <c r="D921" t="s">
        <v>7573</v>
      </c>
      <c r="E921" t="s">
        <v>7574</v>
      </c>
    </row>
    <row r="922" spans="1:5" x14ac:dyDescent="0.3">
      <c r="A922" t="s">
        <v>1023</v>
      </c>
      <c r="B922" t="s">
        <v>5673</v>
      </c>
      <c r="C922" t="s">
        <v>5604</v>
      </c>
      <c r="D922" t="s">
        <v>7575</v>
      </c>
      <c r="E922" t="s">
        <v>7576</v>
      </c>
    </row>
    <row r="923" spans="1:5" x14ac:dyDescent="0.3">
      <c r="A923" t="s">
        <v>1598</v>
      </c>
      <c r="B923" t="s">
        <v>5673</v>
      </c>
      <c r="C923" t="s">
        <v>5604</v>
      </c>
      <c r="D923" t="s">
        <v>7577</v>
      </c>
      <c r="E923" t="s">
        <v>7578</v>
      </c>
    </row>
    <row r="924" spans="1:5" x14ac:dyDescent="0.3">
      <c r="A924" t="s">
        <v>5064</v>
      </c>
      <c r="B924" t="s">
        <v>5685</v>
      </c>
      <c r="C924" t="s">
        <v>5703</v>
      </c>
      <c r="D924" t="s">
        <v>7579</v>
      </c>
      <c r="E924" t="s">
        <v>7580</v>
      </c>
    </row>
    <row r="925" spans="1:5" x14ac:dyDescent="0.3">
      <c r="A925" t="s">
        <v>4395</v>
      </c>
      <c r="B925" t="s">
        <v>5598</v>
      </c>
      <c r="C925" t="s">
        <v>5632</v>
      </c>
      <c r="D925" t="s">
        <v>7581</v>
      </c>
      <c r="E925" t="s">
        <v>7582</v>
      </c>
    </row>
    <row r="926" spans="1:5" x14ac:dyDescent="0.3">
      <c r="A926" t="s">
        <v>348</v>
      </c>
      <c r="B926" t="s">
        <v>5617</v>
      </c>
      <c r="C926" t="s">
        <v>5599</v>
      </c>
      <c r="D926" t="s">
        <v>7583</v>
      </c>
      <c r="E926" t="s">
        <v>7584</v>
      </c>
    </row>
    <row r="927" spans="1:5" x14ac:dyDescent="0.3">
      <c r="A927" t="s">
        <v>1831</v>
      </c>
      <c r="B927" t="s">
        <v>5639</v>
      </c>
      <c r="C927" t="s">
        <v>5678</v>
      </c>
      <c r="D927" t="s">
        <v>7585</v>
      </c>
      <c r="E927" t="s">
        <v>7586</v>
      </c>
    </row>
    <row r="928" spans="1:5" x14ac:dyDescent="0.3">
      <c r="A928" t="s">
        <v>7587</v>
      </c>
      <c r="B928" t="s">
        <v>5614</v>
      </c>
      <c r="C928" t="s">
        <v>5608</v>
      </c>
      <c r="D928" t="s">
        <v>7588</v>
      </c>
      <c r="E928" t="s">
        <v>7589</v>
      </c>
    </row>
    <row r="929" spans="1:5" x14ac:dyDescent="0.3">
      <c r="A929" t="s">
        <v>1041</v>
      </c>
      <c r="B929" t="s">
        <v>5617</v>
      </c>
      <c r="C929" t="s">
        <v>5627</v>
      </c>
      <c r="D929" t="s">
        <v>7590</v>
      </c>
      <c r="E929" t="s">
        <v>7591</v>
      </c>
    </row>
    <row r="930" spans="1:5" x14ac:dyDescent="0.3">
      <c r="A930" t="s">
        <v>1076</v>
      </c>
      <c r="B930" t="s">
        <v>5685</v>
      </c>
      <c r="C930" t="s">
        <v>5608</v>
      </c>
      <c r="D930" t="s">
        <v>7592</v>
      </c>
      <c r="E930" t="s">
        <v>7593</v>
      </c>
    </row>
    <row r="931" spans="1:5" x14ac:dyDescent="0.3">
      <c r="A931" t="s">
        <v>1971</v>
      </c>
      <c r="B931" t="s">
        <v>5673</v>
      </c>
      <c r="C931" t="s">
        <v>5599</v>
      </c>
      <c r="D931" t="s">
        <v>7594</v>
      </c>
      <c r="E931" t="s">
        <v>7595</v>
      </c>
    </row>
    <row r="932" spans="1:5" x14ac:dyDescent="0.3">
      <c r="A932" t="s">
        <v>7596</v>
      </c>
      <c r="B932" t="s">
        <v>5617</v>
      </c>
      <c r="C932" t="s">
        <v>5678</v>
      </c>
      <c r="D932" t="s">
        <v>7597</v>
      </c>
      <c r="E932" t="s">
        <v>7598</v>
      </c>
    </row>
    <row r="933" spans="1:5" x14ac:dyDescent="0.3">
      <c r="A933" t="s">
        <v>4174</v>
      </c>
      <c r="B933" t="s">
        <v>5685</v>
      </c>
      <c r="C933" t="s">
        <v>5618</v>
      </c>
      <c r="D933" t="s">
        <v>7599</v>
      </c>
      <c r="E933" t="s">
        <v>7600</v>
      </c>
    </row>
    <row r="934" spans="1:5" x14ac:dyDescent="0.3">
      <c r="A934" t="s">
        <v>1119</v>
      </c>
      <c r="B934" t="s">
        <v>5617</v>
      </c>
      <c r="C934" t="s">
        <v>5703</v>
      </c>
      <c r="D934" t="s">
        <v>7601</v>
      </c>
      <c r="E934" t="s">
        <v>7602</v>
      </c>
    </row>
    <row r="935" spans="1:5" x14ac:dyDescent="0.3">
      <c r="A935" t="s">
        <v>7603</v>
      </c>
      <c r="B935" t="s">
        <v>5624</v>
      </c>
      <c r="C935" t="s">
        <v>5599</v>
      </c>
      <c r="D935" t="s">
        <v>7604</v>
      </c>
      <c r="E935" t="s">
        <v>7605</v>
      </c>
    </row>
    <row r="936" spans="1:5" x14ac:dyDescent="0.3">
      <c r="A936" t="s">
        <v>1402</v>
      </c>
      <c r="B936" t="s">
        <v>5639</v>
      </c>
      <c r="C936" t="s">
        <v>5611</v>
      </c>
      <c r="D936" t="s">
        <v>7606</v>
      </c>
      <c r="E936" t="s">
        <v>7607</v>
      </c>
    </row>
    <row r="937" spans="1:5" x14ac:dyDescent="0.3">
      <c r="A937" t="s">
        <v>2276</v>
      </c>
      <c r="B937" t="s">
        <v>5607</v>
      </c>
      <c r="C937" t="s">
        <v>5604</v>
      </c>
      <c r="D937" t="s">
        <v>7608</v>
      </c>
      <c r="E937" t="s">
        <v>7609</v>
      </c>
    </row>
    <row r="938" spans="1:5" x14ac:dyDescent="0.3">
      <c r="A938" t="s">
        <v>2657</v>
      </c>
      <c r="B938" t="s">
        <v>5614</v>
      </c>
      <c r="C938" t="s">
        <v>5632</v>
      </c>
      <c r="D938" t="s">
        <v>7610</v>
      </c>
      <c r="E938" t="s">
        <v>7611</v>
      </c>
    </row>
    <row r="939" spans="1:5" x14ac:dyDescent="0.3">
      <c r="A939" t="s">
        <v>424</v>
      </c>
      <c r="B939" t="s">
        <v>5614</v>
      </c>
      <c r="C939" t="s">
        <v>5655</v>
      </c>
      <c r="D939" t="s">
        <v>7612</v>
      </c>
      <c r="E939" t="s">
        <v>7613</v>
      </c>
    </row>
    <row r="940" spans="1:5" x14ac:dyDescent="0.3">
      <c r="A940" t="s">
        <v>2070</v>
      </c>
      <c r="B940" t="s">
        <v>5639</v>
      </c>
      <c r="C940" t="s">
        <v>5627</v>
      </c>
      <c r="D940" t="s">
        <v>7614</v>
      </c>
      <c r="E940" t="s">
        <v>7615</v>
      </c>
    </row>
    <row r="941" spans="1:5" x14ac:dyDescent="0.3">
      <c r="A941" t="s">
        <v>4206</v>
      </c>
      <c r="B941" t="s">
        <v>5614</v>
      </c>
      <c r="C941" t="s">
        <v>5703</v>
      </c>
      <c r="D941" t="s">
        <v>7616</v>
      </c>
      <c r="E941" t="s">
        <v>7617</v>
      </c>
    </row>
    <row r="942" spans="1:5" x14ac:dyDescent="0.3">
      <c r="A942" t="s">
        <v>5430</v>
      </c>
      <c r="B942" t="s">
        <v>5617</v>
      </c>
      <c r="C942" t="s">
        <v>5604</v>
      </c>
      <c r="D942" t="s">
        <v>7618</v>
      </c>
      <c r="E942" t="s">
        <v>7619</v>
      </c>
    </row>
    <row r="943" spans="1:5" x14ac:dyDescent="0.3">
      <c r="A943" t="s">
        <v>1056</v>
      </c>
      <c r="B943" t="s">
        <v>5624</v>
      </c>
      <c r="C943" t="s">
        <v>5608</v>
      </c>
      <c r="D943" t="s">
        <v>7620</v>
      </c>
      <c r="E943" t="s">
        <v>7621</v>
      </c>
    </row>
    <row r="944" spans="1:5" x14ac:dyDescent="0.3">
      <c r="A944" t="s">
        <v>2561</v>
      </c>
      <c r="B944" t="s">
        <v>5617</v>
      </c>
      <c r="C944" t="s">
        <v>5703</v>
      </c>
      <c r="D944" t="s">
        <v>7622</v>
      </c>
      <c r="E944" t="s">
        <v>7623</v>
      </c>
    </row>
    <row r="945" spans="1:5" x14ac:dyDescent="0.3">
      <c r="A945" t="s">
        <v>7624</v>
      </c>
      <c r="B945" t="s">
        <v>5607</v>
      </c>
      <c r="C945" t="s">
        <v>5703</v>
      </c>
      <c r="D945" t="s">
        <v>7625</v>
      </c>
      <c r="E945" t="s">
        <v>7626</v>
      </c>
    </row>
    <row r="946" spans="1:5" x14ac:dyDescent="0.3">
      <c r="A946" t="s">
        <v>1998</v>
      </c>
      <c r="B946" t="s">
        <v>5614</v>
      </c>
      <c r="C946" t="s">
        <v>5627</v>
      </c>
      <c r="D946" t="s">
        <v>7627</v>
      </c>
      <c r="E946" t="s">
        <v>7628</v>
      </c>
    </row>
    <row r="947" spans="1:5" x14ac:dyDescent="0.3">
      <c r="A947" t="s">
        <v>1896</v>
      </c>
      <c r="B947" t="s">
        <v>5603</v>
      </c>
      <c r="C947" t="s">
        <v>5608</v>
      </c>
      <c r="D947" t="s">
        <v>7629</v>
      </c>
      <c r="E947" t="s">
        <v>7630</v>
      </c>
    </row>
    <row r="948" spans="1:5" x14ac:dyDescent="0.3">
      <c r="A948" t="s">
        <v>1550</v>
      </c>
      <c r="B948" t="s">
        <v>5639</v>
      </c>
      <c r="C948" t="s">
        <v>5627</v>
      </c>
      <c r="D948" t="s">
        <v>7631</v>
      </c>
      <c r="E948" t="s">
        <v>7632</v>
      </c>
    </row>
    <row r="949" spans="1:5" x14ac:dyDescent="0.3">
      <c r="A949" t="s">
        <v>5067</v>
      </c>
      <c r="B949" t="s">
        <v>5624</v>
      </c>
      <c r="C949" t="s">
        <v>5599</v>
      </c>
      <c r="D949" t="s">
        <v>7633</v>
      </c>
      <c r="E949" t="s">
        <v>7634</v>
      </c>
    </row>
    <row r="950" spans="1:5" x14ac:dyDescent="0.3">
      <c r="A950" t="s">
        <v>3828</v>
      </c>
      <c r="B950" t="s">
        <v>5617</v>
      </c>
      <c r="C950" t="s">
        <v>5632</v>
      </c>
      <c r="D950" t="s">
        <v>7635</v>
      </c>
      <c r="E950" t="s">
        <v>7636</v>
      </c>
    </row>
    <row r="951" spans="1:5" x14ac:dyDescent="0.3">
      <c r="A951" t="s">
        <v>1907</v>
      </c>
      <c r="B951" t="s">
        <v>5624</v>
      </c>
      <c r="C951" t="s">
        <v>5627</v>
      </c>
      <c r="D951" t="s">
        <v>7637</v>
      </c>
      <c r="E951" t="s">
        <v>7638</v>
      </c>
    </row>
    <row r="952" spans="1:5" x14ac:dyDescent="0.3">
      <c r="A952" t="s">
        <v>1726</v>
      </c>
      <c r="B952" t="s">
        <v>5624</v>
      </c>
      <c r="C952" t="s">
        <v>5627</v>
      </c>
      <c r="D952" t="s">
        <v>7639</v>
      </c>
      <c r="E952" t="s">
        <v>7640</v>
      </c>
    </row>
    <row r="953" spans="1:5" x14ac:dyDescent="0.3">
      <c r="A953" t="s">
        <v>3838</v>
      </c>
      <c r="B953" t="s">
        <v>5603</v>
      </c>
      <c r="C953" t="s">
        <v>5678</v>
      </c>
      <c r="D953" t="s">
        <v>7641</v>
      </c>
      <c r="E953" t="s">
        <v>7642</v>
      </c>
    </row>
    <row r="954" spans="1:5" x14ac:dyDescent="0.3">
      <c r="A954" t="s">
        <v>3207</v>
      </c>
      <c r="B954" t="s">
        <v>5624</v>
      </c>
      <c r="C954" t="s">
        <v>5703</v>
      </c>
      <c r="D954" t="s">
        <v>7643</v>
      </c>
      <c r="E954" t="s">
        <v>7644</v>
      </c>
    </row>
    <row r="955" spans="1:5" x14ac:dyDescent="0.3">
      <c r="A955" t="s">
        <v>2598</v>
      </c>
      <c r="B955" t="s">
        <v>5673</v>
      </c>
      <c r="C955" t="s">
        <v>5627</v>
      </c>
      <c r="D955" t="s">
        <v>7645</v>
      </c>
      <c r="E955" t="s">
        <v>7646</v>
      </c>
    </row>
    <row r="956" spans="1:5" x14ac:dyDescent="0.3">
      <c r="A956" t="s">
        <v>1134</v>
      </c>
      <c r="B956" t="s">
        <v>5617</v>
      </c>
      <c r="C956" t="s">
        <v>5678</v>
      </c>
      <c r="D956" t="s">
        <v>7647</v>
      </c>
      <c r="E956" t="s">
        <v>7648</v>
      </c>
    </row>
    <row r="957" spans="1:5" x14ac:dyDescent="0.3">
      <c r="A957" t="s">
        <v>3731</v>
      </c>
      <c r="B957" t="s">
        <v>5639</v>
      </c>
      <c r="C957" t="s">
        <v>5608</v>
      </c>
      <c r="D957" t="s">
        <v>7649</v>
      </c>
      <c r="E957" t="s">
        <v>7650</v>
      </c>
    </row>
    <row r="958" spans="1:5" x14ac:dyDescent="0.3">
      <c r="A958" t="s">
        <v>613</v>
      </c>
      <c r="B958" t="s">
        <v>5624</v>
      </c>
      <c r="C958" t="s">
        <v>5632</v>
      </c>
      <c r="D958" t="s">
        <v>7651</v>
      </c>
      <c r="E958" t="s">
        <v>7652</v>
      </c>
    </row>
    <row r="959" spans="1:5" x14ac:dyDescent="0.3">
      <c r="A959" t="s">
        <v>2537</v>
      </c>
      <c r="B959" t="s">
        <v>5621</v>
      </c>
      <c r="C959" t="s">
        <v>5611</v>
      </c>
      <c r="D959" t="s">
        <v>7653</v>
      </c>
      <c r="E959" t="s">
        <v>7654</v>
      </c>
    </row>
    <row r="960" spans="1:5" x14ac:dyDescent="0.3">
      <c r="A960" t="s">
        <v>3532</v>
      </c>
      <c r="B960" t="s">
        <v>5617</v>
      </c>
      <c r="C960" t="s">
        <v>5703</v>
      </c>
      <c r="D960" t="s">
        <v>7655</v>
      </c>
      <c r="E960" t="s">
        <v>7656</v>
      </c>
    </row>
    <row r="961" spans="1:5" x14ac:dyDescent="0.3">
      <c r="A961" t="s">
        <v>3215</v>
      </c>
      <c r="B961" t="s">
        <v>5624</v>
      </c>
      <c r="C961" t="s">
        <v>5632</v>
      </c>
      <c r="D961" t="s">
        <v>7657</v>
      </c>
      <c r="E961" t="s">
        <v>7658</v>
      </c>
    </row>
    <row r="962" spans="1:5" x14ac:dyDescent="0.3">
      <c r="A962" t="s">
        <v>4401</v>
      </c>
      <c r="B962" t="s">
        <v>5598</v>
      </c>
      <c r="C962" t="s">
        <v>5655</v>
      </c>
      <c r="D962" t="s">
        <v>7659</v>
      </c>
      <c r="E962" t="s">
        <v>7660</v>
      </c>
    </row>
    <row r="963" spans="1:5" x14ac:dyDescent="0.3">
      <c r="A963" t="s">
        <v>2845</v>
      </c>
      <c r="B963" t="s">
        <v>5614</v>
      </c>
      <c r="C963" t="s">
        <v>5632</v>
      </c>
      <c r="D963" t="s">
        <v>7661</v>
      </c>
      <c r="E963" t="s">
        <v>7662</v>
      </c>
    </row>
    <row r="964" spans="1:5" x14ac:dyDescent="0.3">
      <c r="A964" t="s">
        <v>1637</v>
      </c>
      <c r="B964" t="s">
        <v>5603</v>
      </c>
      <c r="C964" t="s">
        <v>5655</v>
      </c>
      <c r="D964" t="s">
        <v>7663</v>
      </c>
      <c r="E964" t="s">
        <v>7664</v>
      </c>
    </row>
    <row r="965" spans="1:5" x14ac:dyDescent="0.3">
      <c r="A965" t="s">
        <v>3471</v>
      </c>
      <c r="B965" t="s">
        <v>5621</v>
      </c>
      <c r="C965" t="s">
        <v>5599</v>
      </c>
      <c r="D965" t="s">
        <v>7665</v>
      </c>
      <c r="E965" t="s">
        <v>7666</v>
      </c>
    </row>
    <row r="966" spans="1:5" x14ac:dyDescent="0.3">
      <c r="A966" t="s">
        <v>1469</v>
      </c>
      <c r="B966" t="s">
        <v>5598</v>
      </c>
      <c r="C966" t="s">
        <v>5655</v>
      </c>
      <c r="D966" t="s">
        <v>7667</v>
      </c>
      <c r="E966" t="s">
        <v>7668</v>
      </c>
    </row>
    <row r="967" spans="1:5" x14ac:dyDescent="0.3">
      <c r="A967" t="s">
        <v>1749</v>
      </c>
      <c r="B967" t="s">
        <v>5614</v>
      </c>
      <c r="C967" t="s">
        <v>5608</v>
      </c>
      <c r="D967" t="s">
        <v>7669</v>
      </c>
      <c r="E967" t="s">
        <v>7670</v>
      </c>
    </row>
    <row r="968" spans="1:5" x14ac:dyDescent="0.3">
      <c r="A968" t="s">
        <v>2211</v>
      </c>
      <c r="B968" t="s">
        <v>5639</v>
      </c>
      <c r="C968" t="s">
        <v>5703</v>
      </c>
      <c r="D968" t="s">
        <v>7671</v>
      </c>
      <c r="E968" t="s">
        <v>7672</v>
      </c>
    </row>
    <row r="969" spans="1:5" x14ac:dyDescent="0.3">
      <c r="A969" t="s">
        <v>1736</v>
      </c>
      <c r="B969" t="s">
        <v>5624</v>
      </c>
      <c r="C969" t="s">
        <v>5678</v>
      </c>
      <c r="D969" t="s">
        <v>7673</v>
      </c>
      <c r="E969" t="s">
        <v>7674</v>
      </c>
    </row>
    <row r="970" spans="1:5" x14ac:dyDescent="0.3">
      <c r="A970" t="s">
        <v>3712</v>
      </c>
      <c r="B970" t="s">
        <v>5673</v>
      </c>
      <c r="C970" t="s">
        <v>5627</v>
      </c>
      <c r="D970" t="s">
        <v>7675</v>
      </c>
      <c r="E970" t="s">
        <v>7676</v>
      </c>
    </row>
    <row r="971" spans="1:5" x14ac:dyDescent="0.3">
      <c r="A971" t="s">
        <v>3356</v>
      </c>
      <c r="B971" t="s">
        <v>5639</v>
      </c>
      <c r="C971" t="s">
        <v>5618</v>
      </c>
      <c r="D971" t="s">
        <v>7677</v>
      </c>
      <c r="E971" t="s">
        <v>7678</v>
      </c>
    </row>
    <row r="972" spans="1:5" x14ac:dyDescent="0.3">
      <c r="A972" t="s">
        <v>1683</v>
      </c>
      <c r="B972" t="s">
        <v>5685</v>
      </c>
      <c r="C972" t="s">
        <v>5618</v>
      </c>
      <c r="D972" t="s">
        <v>7679</v>
      </c>
      <c r="E972" t="s">
        <v>7680</v>
      </c>
    </row>
    <row r="973" spans="1:5" x14ac:dyDescent="0.3">
      <c r="A973" t="s">
        <v>1811</v>
      </c>
      <c r="B973" t="s">
        <v>5673</v>
      </c>
      <c r="C973" t="s">
        <v>5611</v>
      </c>
      <c r="D973" t="s">
        <v>7681</v>
      </c>
      <c r="E973" t="s">
        <v>7682</v>
      </c>
    </row>
    <row r="974" spans="1:5" x14ac:dyDescent="0.3">
      <c r="A974" t="s">
        <v>1236</v>
      </c>
      <c r="B974" t="s">
        <v>5685</v>
      </c>
      <c r="C974" t="s">
        <v>5608</v>
      </c>
      <c r="D974" t="s">
        <v>7683</v>
      </c>
      <c r="E974" t="s">
        <v>7684</v>
      </c>
    </row>
    <row r="975" spans="1:5" x14ac:dyDescent="0.3">
      <c r="A975" t="s">
        <v>1354</v>
      </c>
      <c r="B975" t="s">
        <v>5639</v>
      </c>
      <c r="C975" t="s">
        <v>5618</v>
      </c>
      <c r="D975" t="s">
        <v>7685</v>
      </c>
      <c r="E975" t="s">
        <v>7686</v>
      </c>
    </row>
    <row r="976" spans="1:5" x14ac:dyDescent="0.3">
      <c r="A976" t="s">
        <v>4652</v>
      </c>
      <c r="B976" t="s">
        <v>5621</v>
      </c>
      <c r="C976" t="s">
        <v>5655</v>
      </c>
      <c r="D976" t="s">
        <v>7687</v>
      </c>
      <c r="E976" t="s">
        <v>7688</v>
      </c>
    </row>
    <row r="977" spans="1:5" x14ac:dyDescent="0.3">
      <c r="A977" t="s">
        <v>751</v>
      </c>
      <c r="B977" t="s">
        <v>5598</v>
      </c>
      <c r="C977" t="s">
        <v>5703</v>
      </c>
      <c r="D977" t="s">
        <v>7689</v>
      </c>
      <c r="E977" t="s">
        <v>7690</v>
      </c>
    </row>
    <row r="978" spans="1:5" x14ac:dyDescent="0.3">
      <c r="A978" t="s">
        <v>3041</v>
      </c>
      <c r="B978" t="s">
        <v>5617</v>
      </c>
      <c r="C978" t="s">
        <v>5632</v>
      </c>
      <c r="D978" t="s">
        <v>7691</v>
      </c>
      <c r="E978" t="s">
        <v>7692</v>
      </c>
    </row>
    <row r="979" spans="1:5" x14ac:dyDescent="0.3">
      <c r="A979" t="s">
        <v>7693</v>
      </c>
      <c r="B979" t="s">
        <v>5614</v>
      </c>
      <c r="C979" t="s">
        <v>5608</v>
      </c>
      <c r="D979" t="s">
        <v>7694</v>
      </c>
      <c r="E979" t="s">
        <v>7695</v>
      </c>
    </row>
    <row r="980" spans="1:5" x14ac:dyDescent="0.3">
      <c r="A980" t="s">
        <v>1579</v>
      </c>
      <c r="B980" t="s">
        <v>5685</v>
      </c>
      <c r="C980" t="s">
        <v>5604</v>
      </c>
      <c r="D980" t="s">
        <v>7696</v>
      </c>
      <c r="E980" t="s">
        <v>7697</v>
      </c>
    </row>
    <row r="981" spans="1:5" x14ac:dyDescent="0.3">
      <c r="A981" t="s">
        <v>2204</v>
      </c>
      <c r="B981" t="s">
        <v>5685</v>
      </c>
      <c r="C981" t="s">
        <v>5632</v>
      </c>
      <c r="D981" t="s">
        <v>7698</v>
      </c>
      <c r="E981" t="s">
        <v>7699</v>
      </c>
    </row>
    <row r="982" spans="1:5" x14ac:dyDescent="0.3">
      <c r="A982" t="s">
        <v>3438</v>
      </c>
      <c r="B982" t="s">
        <v>5603</v>
      </c>
      <c r="C982" t="s">
        <v>5632</v>
      </c>
      <c r="D982" t="s">
        <v>7700</v>
      </c>
      <c r="E982" t="s">
        <v>7701</v>
      </c>
    </row>
    <row r="983" spans="1:5" x14ac:dyDescent="0.3">
      <c r="A983" t="s">
        <v>39</v>
      </c>
      <c r="B983" t="s">
        <v>5621</v>
      </c>
      <c r="C983" t="s">
        <v>5608</v>
      </c>
      <c r="D983" t="s">
        <v>7702</v>
      </c>
      <c r="E983" t="s">
        <v>7703</v>
      </c>
    </row>
    <row r="984" spans="1:5" x14ac:dyDescent="0.3">
      <c r="A984" t="s">
        <v>939</v>
      </c>
      <c r="B984" t="s">
        <v>5621</v>
      </c>
      <c r="C984" t="s">
        <v>5627</v>
      </c>
      <c r="D984" t="s">
        <v>7704</v>
      </c>
      <c r="E984" t="s">
        <v>7705</v>
      </c>
    </row>
    <row r="985" spans="1:5" x14ac:dyDescent="0.3">
      <c r="A985" t="s">
        <v>7706</v>
      </c>
      <c r="B985" t="s">
        <v>5621</v>
      </c>
      <c r="C985" t="s">
        <v>5611</v>
      </c>
      <c r="D985" t="s">
        <v>7707</v>
      </c>
      <c r="E985" t="s">
        <v>7708</v>
      </c>
    </row>
    <row r="986" spans="1:5" x14ac:dyDescent="0.3">
      <c r="A986" t="s">
        <v>2026</v>
      </c>
      <c r="B986" t="s">
        <v>5603</v>
      </c>
      <c r="C986" t="s">
        <v>5599</v>
      </c>
      <c r="D986" t="s">
        <v>7709</v>
      </c>
      <c r="E986" t="s">
        <v>7710</v>
      </c>
    </row>
    <row r="987" spans="1:5" x14ac:dyDescent="0.3">
      <c r="A987" t="s">
        <v>987</v>
      </c>
      <c r="B987" t="s">
        <v>5673</v>
      </c>
      <c r="C987" t="s">
        <v>5599</v>
      </c>
      <c r="D987" t="s">
        <v>7711</v>
      </c>
      <c r="E987" t="s">
        <v>7712</v>
      </c>
    </row>
    <row r="988" spans="1:5" x14ac:dyDescent="0.3">
      <c r="A988" t="s">
        <v>3668</v>
      </c>
      <c r="B988" t="s">
        <v>5673</v>
      </c>
      <c r="C988" t="s">
        <v>5599</v>
      </c>
      <c r="D988" t="s">
        <v>7713</v>
      </c>
      <c r="E988" t="s">
        <v>7714</v>
      </c>
    </row>
    <row r="989" spans="1:5" x14ac:dyDescent="0.3">
      <c r="A989" t="s">
        <v>2408</v>
      </c>
      <c r="B989" t="s">
        <v>5624</v>
      </c>
      <c r="C989" t="s">
        <v>5632</v>
      </c>
      <c r="D989" t="s">
        <v>7715</v>
      </c>
      <c r="E989" t="s">
        <v>7716</v>
      </c>
    </row>
    <row r="990" spans="1:5" x14ac:dyDescent="0.3">
      <c r="A990" t="s">
        <v>2817</v>
      </c>
      <c r="B990" t="s">
        <v>5673</v>
      </c>
      <c r="C990" t="s">
        <v>5599</v>
      </c>
      <c r="D990" t="s">
        <v>7717</v>
      </c>
      <c r="E990" t="s">
        <v>7718</v>
      </c>
    </row>
    <row r="991" spans="1:5" x14ac:dyDescent="0.3">
      <c r="A991" t="s">
        <v>3379</v>
      </c>
      <c r="B991" t="s">
        <v>5624</v>
      </c>
      <c r="C991" t="s">
        <v>5608</v>
      </c>
      <c r="D991" t="s">
        <v>7719</v>
      </c>
      <c r="E991" t="s">
        <v>7720</v>
      </c>
    </row>
    <row r="992" spans="1:5" x14ac:dyDescent="0.3">
      <c r="A992" t="s">
        <v>4832</v>
      </c>
      <c r="B992" t="s">
        <v>5617</v>
      </c>
      <c r="C992" t="s">
        <v>5618</v>
      </c>
      <c r="D992" t="s">
        <v>7721</v>
      </c>
      <c r="E992" t="s">
        <v>7722</v>
      </c>
    </row>
    <row r="993" spans="1:5" x14ac:dyDescent="0.3">
      <c r="A993" t="s">
        <v>3028</v>
      </c>
      <c r="B993" t="s">
        <v>5598</v>
      </c>
      <c r="C993" t="s">
        <v>5618</v>
      </c>
      <c r="D993" t="s">
        <v>7723</v>
      </c>
      <c r="E993" t="s">
        <v>7724</v>
      </c>
    </row>
    <row r="994" spans="1:5" x14ac:dyDescent="0.3">
      <c r="A994" t="s">
        <v>2002</v>
      </c>
      <c r="B994" t="s">
        <v>5673</v>
      </c>
      <c r="C994" t="s">
        <v>5678</v>
      </c>
      <c r="D994" t="s">
        <v>7725</v>
      </c>
      <c r="E994" t="s">
        <v>7726</v>
      </c>
    </row>
    <row r="995" spans="1:5" x14ac:dyDescent="0.3">
      <c r="A995" t="s">
        <v>2971</v>
      </c>
      <c r="B995" t="s">
        <v>5639</v>
      </c>
      <c r="C995" t="s">
        <v>5627</v>
      </c>
      <c r="D995" t="s">
        <v>7727</v>
      </c>
      <c r="E995" t="s">
        <v>7728</v>
      </c>
    </row>
    <row r="996" spans="1:5" x14ac:dyDescent="0.3">
      <c r="A996" t="s">
        <v>4359</v>
      </c>
      <c r="B996" t="s">
        <v>5685</v>
      </c>
      <c r="C996" t="s">
        <v>5703</v>
      </c>
      <c r="D996" t="s">
        <v>7729</v>
      </c>
      <c r="E996" t="s">
        <v>7730</v>
      </c>
    </row>
    <row r="997" spans="1:5" x14ac:dyDescent="0.3">
      <c r="A997" t="s">
        <v>661</v>
      </c>
      <c r="B997" t="s">
        <v>5673</v>
      </c>
      <c r="C997" t="s">
        <v>5632</v>
      </c>
      <c r="D997" t="s">
        <v>7731</v>
      </c>
      <c r="E997" t="s">
        <v>7732</v>
      </c>
    </row>
    <row r="998" spans="1:5" x14ac:dyDescent="0.3">
      <c r="A998" t="s">
        <v>3689</v>
      </c>
      <c r="B998" t="s">
        <v>5614</v>
      </c>
      <c r="C998" t="s">
        <v>5655</v>
      </c>
      <c r="D998" t="s">
        <v>7733</v>
      </c>
      <c r="E998" t="s">
        <v>7734</v>
      </c>
    </row>
    <row r="999" spans="1:5" x14ac:dyDescent="0.3">
      <c r="A999" t="s">
        <v>1945</v>
      </c>
      <c r="B999" t="s">
        <v>5639</v>
      </c>
      <c r="C999" t="s">
        <v>5599</v>
      </c>
      <c r="D999" t="s">
        <v>7735</v>
      </c>
      <c r="E999" t="s">
        <v>7736</v>
      </c>
    </row>
    <row r="1000" spans="1:5" x14ac:dyDescent="0.3">
      <c r="A1000" t="s">
        <v>2753</v>
      </c>
      <c r="B1000" t="s">
        <v>5614</v>
      </c>
      <c r="C1000" t="s">
        <v>5703</v>
      </c>
      <c r="D1000" t="s">
        <v>7737</v>
      </c>
      <c r="E1000" t="s">
        <v>7738</v>
      </c>
    </row>
    <row r="1001" spans="1:5" x14ac:dyDescent="0.3">
      <c r="A1001" t="s">
        <v>1359</v>
      </c>
      <c r="B1001" t="s">
        <v>5614</v>
      </c>
      <c r="C1001" t="s">
        <v>5618</v>
      </c>
      <c r="D1001" t="s">
        <v>7739</v>
      </c>
      <c r="E1001" t="s">
        <v>7740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F1" sqref="F1:F1048576"/>
    </sheetView>
  </sheetViews>
  <sheetFormatPr defaultRowHeight="14.4" x14ac:dyDescent="0.3"/>
  <cols>
    <col min="1" max="1" width="11.88671875" customWidth="1"/>
    <col min="2" max="2" width="13.21875" customWidth="1"/>
    <col min="3" max="3" width="16.44140625" customWidth="1"/>
    <col min="4" max="4" width="15.33203125" customWidth="1"/>
    <col min="5" max="5" width="12.6640625" customWidth="1"/>
    <col min="6" max="6" width="13.21875" customWidth="1"/>
  </cols>
  <sheetData>
    <row r="1" spans="1:6" x14ac:dyDescent="0.3">
      <c r="A1" s="1" t="s">
        <v>4</v>
      </c>
      <c r="B1" s="1" t="s">
        <v>7741</v>
      </c>
      <c r="C1" s="1" t="s">
        <v>7742</v>
      </c>
      <c r="D1" s="1" t="s">
        <v>7743</v>
      </c>
      <c r="E1" s="1" t="s">
        <v>7744</v>
      </c>
      <c r="F1" s="1" t="s">
        <v>7745</v>
      </c>
    </row>
    <row r="2" spans="1:6" x14ac:dyDescent="0.3">
      <c r="A2" t="s">
        <v>14</v>
      </c>
      <c r="B2" t="s">
        <v>7746</v>
      </c>
      <c r="C2" t="s">
        <v>7747</v>
      </c>
      <c r="D2" t="s">
        <v>7748</v>
      </c>
      <c r="E2" t="s">
        <v>7749</v>
      </c>
      <c r="F2">
        <v>5</v>
      </c>
    </row>
    <row r="3" spans="1:6" x14ac:dyDescent="0.3">
      <c r="A3" t="s">
        <v>48</v>
      </c>
      <c r="B3" t="s">
        <v>7750</v>
      </c>
      <c r="C3" t="s">
        <v>7751</v>
      </c>
      <c r="D3" t="s">
        <v>7752</v>
      </c>
      <c r="E3" t="s">
        <v>7749</v>
      </c>
      <c r="F3">
        <v>3</v>
      </c>
    </row>
    <row r="4" spans="1:6" x14ac:dyDescent="0.3">
      <c r="A4" t="s">
        <v>314</v>
      </c>
      <c r="B4" t="s">
        <v>7753</v>
      </c>
      <c r="C4" t="s">
        <v>7754</v>
      </c>
      <c r="D4" t="s">
        <v>7755</v>
      </c>
      <c r="E4" t="s">
        <v>7749</v>
      </c>
      <c r="F4">
        <v>5</v>
      </c>
    </row>
    <row r="5" spans="1:6" x14ac:dyDescent="0.3">
      <c r="A5" t="s">
        <v>476</v>
      </c>
      <c r="B5" t="s">
        <v>7756</v>
      </c>
      <c r="C5" t="s">
        <v>7754</v>
      </c>
      <c r="D5" t="s">
        <v>7757</v>
      </c>
      <c r="E5" t="s">
        <v>7749</v>
      </c>
      <c r="F5">
        <v>3</v>
      </c>
    </row>
    <row r="6" spans="1:6" x14ac:dyDescent="0.3">
      <c r="A6" t="s">
        <v>201</v>
      </c>
      <c r="B6" t="s">
        <v>7758</v>
      </c>
      <c r="C6" t="s">
        <v>7759</v>
      </c>
      <c r="D6" t="s">
        <v>7748</v>
      </c>
      <c r="E6" t="s">
        <v>7749</v>
      </c>
      <c r="F6">
        <v>3</v>
      </c>
    </row>
    <row r="7" spans="1:6" x14ac:dyDescent="0.3">
      <c r="A7" t="s">
        <v>149</v>
      </c>
      <c r="B7" t="s">
        <v>7758</v>
      </c>
      <c r="C7" t="s">
        <v>7760</v>
      </c>
      <c r="D7" t="s">
        <v>7761</v>
      </c>
      <c r="E7" t="s">
        <v>7749</v>
      </c>
      <c r="F7">
        <v>3</v>
      </c>
    </row>
    <row r="8" spans="1:6" x14ac:dyDescent="0.3">
      <c r="A8" t="s">
        <v>63</v>
      </c>
      <c r="B8" t="s">
        <v>7762</v>
      </c>
      <c r="C8" t="s">
        <v>7754</v>
      </c>
      <c r="D8" t="s">
        <v>7761</v>
      </c>
      <c r="E8" t="s">
        <v>7749</v>
      </c>
      <c r="F8">
        <v>5</v>
      </c>
    </row>
    <row r="9" spans="1:6" x14ac:dyDescent="0.3">
      <c r="A9" t="s">
        <v>69</v>
      </c>
      <c r="B9" t="s">
        <v>7750</v>
      </c>
      <c r="C9" t="s">
        <v>7754</v>
      </c>
      <c r="D9" t="s">
        <v>7755</v>
      </c>
      <c r="E9" t="s">
        <v>7749</v>
      </c>
      <c r="F9">
        <v>3</v>
      </c>
    </row>
    <row r="10" spans="1:6" x14ac:dyDescent="0.3">
      <c r="A10" t="s">
        <v>85</v>
      </c>
      <c r="B10" t="s">
        <v>7763</v>
      </c>
      <c r="C10" t="s">
        <v>7759</v>
      </c>
      <c r="D10" t="s">
        <v>7757</v>
      </c>
      <c r="E10" t="s">
        <v>7749</v>
      </c>
      <c r="F10">
        <v>3</v>
      </c>
    </row>
    <row r="11" spans="1:6" x14ac:dyDescent="0.3">
      <c r="A11" t="s">
        <v>40</v>
      </c>
      <c r="B11" t="s">
        <v>7753</v>
      </c>
      <c r="C11" t="s">
        <v>7764</v>
      </c>
      <c r="D11" t="s">
        <v>7755</v>
      </c>
      <c r="E11" t="s">
        <v>7749</v>
      </c>
      <c r="F11">
        <v>3</v>
      </c>
    </row>
    <row r="12" spans="1:6" x14ac:dyDescent="0.3">
      <c r="A12" t="s">
        <v>32</v>
      </c>
      <c r="B12" t="s">
        <v>7765</v>
      </c>
      <c r="C12" t="s">
        <v>7747</v>
      </c>
      <c r="D12" t="s">
        <v>7755</v>
      </c>
      <c r="E12" t="s">
        <v>7749</v>
      </c>
      <c r="F12">
        <v>5</v>
      </c>
    </row>
    <row r="13" spans="1:6" x14ac:dyDescent="0.3">
      <c r="A13" t="s">
        <v>77</v>
      </c>
      <c r="B13" t="s">
        <v>7766</v>
      </c>
      <c r="C13" t="s">
        <v>7764</v>
      </c>
      <c r="D13" t="s">
        <v>7761</v>
      </c>
      <c r="E13" t="s">
        <v>7749</v>
      </c>
      <c r="F13">
        <v>4</v>
      </c>
    </row>
    <row r="14" spans="1:6" x14ac:dyDescent="0.3">
      <c r="A14" t="s">
        <v>117</v>
      </c>
      <c r="B14" t="s">
        <v>7767</v>
      </c>
      <c r="C14" t="s">
        <v>7747</v>
      </c>
      <c r="D14" t="s">
        <v>7761</v>
      </c>
      <c r="E14" t="s">
        <v>7749</v>
      </c>
      <c r="F14">
        <v>3</v>
      </c>
    </row>
    <row r="15" spans="1:6" x14ac:dyDescent="0.3">
      <c r="A15" t="s">
        <v>156</v>
      </c>
      <c r="B15" t="s">
        <v>7766</v>
      </c>
      <c r="C15" t="s">
        <v>7747</v>
      </c>
      <c r="D15" t="s">
        <v>7768</v>
      </c>
      <c r="E15" t="s">
        <v>7749</v>
      </c>
      <c r="F15">
        <v>3</v>
      </c>
    </row>
    <row r="16" spans="1:6" x14ac:dyDescent="0.3">
      <c r="A16" t="s">
        <v>546</v>
      </c>
      <c r="B16" t="s">
        <v>7763</v>
      </c>
      <c r="C16" t="s">
        <v>7769</v>
      </c>
      <c r="D16" t="s">
        <v>7768</v>
      </c>
      <c r="E16" t="s">
        <v>7749</v>
      </c>
      <c r="F16">
        <v>5</v>
      </c>
    </row>
    <row r="17" spans="1:6" x14ac:dyDescent="0.3">
      <c r="A17" t="s">
        <v>430</v>
      </c>
      <c r="B17" t="s">
        <v>7766</v>
      </c>
      <c r="C17" t="s">
        <v>7760</v>
      </c>
      <c r="D17" t="s">
        <v>7757</v>
      </c>
      <c r="E17" t="s">
        <v>7749</v>
      </c>
      <c r="F17">
        <v>3</v>
      </c>
    </row>
    <row r="18" spans="1:6" x14ac:dyDescent="0.3">
      <c r="A18" t="s">
        <v>214</v>
      </c>
      <c r="B18" t="s">
        <v>7763</v>
      </c>
      <c r="C18" t="s">
        <v>7754</v>
      </c>
      <c r="D18" t="s">
        <v>7748</v>
      </c>
      <c r="E18" t="s">
        <v>7749</v>
      </c>
      <c r="F18">
        <v>3</v>
      </c>
    </row>
    <row r="19" spans="1:6" x14ac:dyDescent="0.3">
      <c r="A19" t="s">
        <v>458</v>
      </c>
      <c r="B19" t="s">
        <v>7767</v>
      </c>
      <c r="C19" t="s">
        <v>7761</v>
      </c>
      <c r="D19" t="s">
        <v>7757</v>
      </c>
      <c r="E19" t="s">
        <v>7749</v>
      </c>
      <c r="F19">
        <v>3</v>
      </c>
    </row>
    <row r="20" spans="1:6" x14ac:dyDescent="0.3">
      <c r="A20" t="s">
        <v>23</v>
      </c>
      <c r="B20" t="s">
        <v>7765</v>
      </c>
      <c r="C20" t="s">
        <v>7759</v>
      </c>
      <c r="D20" t="s">
        <v>7755</v>
      </c>
      <c r="E20" t="s">
        <v>7749</v>
      </c>
      <c r="F20">
        <v>5</v>
      </c>
    </row>
    <row r="21" spans="1:6" x14ac:dyDescent="0.3">
      <c r="A21" t="s">
        <v>176</v>
      </c>
      <c r="B21" t="s">
        <v>7765</v>
      </c>
      <c r="C21" t="s">
        <v>7747</v>
      </c>
      <c r="D21" t="s">
        <v>7755</v>
      </c>
      <c r="E21" t="s">
        <v>7749</v>
      </c>
      <c r="F2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HotelBookings</vt:lpstr>
      <vt:lpstr>Date</vt:lpstr>
      <vt:lpstr>Room</vt:lpstr>
      <vt:lpstr>Customer</vt:lpstr>
      <vt:lpstr>HotelBranch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sahithi akula</cp:lastModifiedBy>
  <dcterms:created xsi:type="dcterms:W3CDTF">2025-10-24T18:50:39Z</dcterms:created>
  <dcterms:modified xsi:type="dcterms:W3CDTF">2025-10-25T06:09:24Z</dcterms:modified>
</cp:coreProperties>
</file>